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Assignments\Solutions\"/>
    </mc:Choice>
  </mc:AlternateContent>
  <xr:revisionPtr revIDLastSave="0" documentId="13_ncr:1_{7715C890-E046-4D51-A42B-7DFCE068355B}" xr6:coauthVersionLast="47" xr6:coauthVersionMax="47" xr10:uidLastSave="{00000000-0000-0000-0000-000000000000}"/>
  <bookViews>
    <workbookView xWindow="-110" yWindow="-110" windowWidth="19420" windowHeight="10420" tabRatio="601" firstSheet="3" activeTab="3" xr2:uid="{00000000-000D-0000-FFFF-FFFF00000000}"/>
  </bookViews>
  <sheets>
    <sheet name="Employees" sheetId="1" r:id="rId1"/>
    <sheet name="Lookup Practice" sheetId="2" r:id="rId2"/>
    <sheet name="Significant Overtime" sheetId="4" r:id="rId3"/>
    <sheet name="Classify employees based on Mon" sheetId="5" r:id="rId4"/>
    <sheet name="Experience Level" sheetId="6" r:id="rId5"/>
    <sheet name="Hardworking Employee" sheetId="7" r:id="rId6"/>
    <sheet name="Attendance Warning" sheetId="8" r:id="rId7"/>
    <sheet name="Bonus Eligibility" sheetId="9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oyW1K2I4ptFP8Qlogwgn4buV3mMWbIQqso8z8YTXee8="/>
    </ext>
  </extLst>
</workbook>
</file>

<file path=xl/calcChain.xml><?xml version="1.0" encoding="utf-8"?>
<calcChain xmlns="http://schemas.openxmlformats.org/spreadsheetml/2006/main">
  <c r="D2" i="8" l="1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D639" i="8"/>
  <c r="D640" i="8"/>
  <c r="D641" i="8"/>
  <c r="D642" i="8"/>
  <c r="D643" i="8"/>
  <c r="D644" i="8"/>
  <c r="D645" i="8"/>
  <c r="D646" i="8"/>
  <c r="D647" i="8"/>
  <c r="D648" i="8"/>
  <c r="D649" i="8"/>
  <c r="D650" i="8"/>
  <c r="D651" i="8"/>
  <c r="D652" i="8"/>
  <c r="D653" i="8"/>
  <c r="D654" i="8"/>
  <c r="D655" i="8"/>
  <c r="D656" i="8"/>
  <c r="D657" i="8"/>
  <c r="D658" i="8"/>
  <c r="D659" i="8"/>
  <c r="D660" i="8"/>
  <c r="D661" i="8"/>
  <c r="D662" i="8"/>
  <c r="D663" i="8"/>
  <c r="D664" i="8"/>
  <c r="D665" i="8"/>
  <c r="D666" i="8"/>
  <c r="D667" i="8"/>
  <c r="D668" i="8"/>
  <c r="D669" i="8"/>
  <c r="D670" i="8"/>
  <c r="D671" i="8"/>
  <c r="D672" i="8"/>
  <c r="D673" i="8"/>
  <c r="D674" i="8"/>
  <c r="D675" i="8"/>
  <c r="D676" i="8"/>
  <c r="D677" i="8"/>
  <c r="D678" i="8"/>
  <c r="D679" i="8"/>
  <c r="D680" i="8"/>
  <c r="D681" i="8"/>
  <c r="D682" i="8"/>
  <c r="D683" i="8"/>
  <c r="D684" i="8"/>
  <c r="D685" i="8"/>
  <c r="D686" i="8"/>
  <c r="D687" i="8"/>
  <c r="D688" i="8"/>
  <c r="D689" i="8"/>
  <c r="D690" i="8"/>
  <c r="B16" i="2"/>
  <c r="B17" i="2"/>
  <c r="B18" i="2"/>
  <c r="B19" i="2"/>
  <c r="B20" i="2"/>
  <c r="B21" i="2"/>
  <c r="B15" i="2"/>
  <c r="B5" i="2"/>
  <c r="B6" i="2"/>
  <c r="B7" i="2"/>
  <c r="B8" i="2"/>
  <c r="B9" i="2"/>
  <c r="B10" i="2"/>
  <c r="B4" i="2"/>
  <c r="N5" i="2"/>
  <c r="N6" i="2"/>
  <c r="N7" i="2"/>
  <c r="N8" i="2"/>
  <c r="N9" i="2"/>
  <c r="N10" i="2"/>
  <c r="N4" i="2"/>
  <c r="M15" i="2" a="1"/>
  <c r="M15" i="2" s="1"/>
  <c r="D16" i="2"/>
  <c r="D17" i="2"/>
  <c r="D18" i="2"/>
  <c r="D19" i="2"/>
  <c r="D20" i="2"/>
  <c r="D21" i="2"/>
  <c r="D15" i="2"/>
  <c r="C16" i="2"/>
  <c r="C17" i="2"/>
  <c r="C18" i="2"/>
  <c r="C19" i="2"/>
  <c r="C20" i="2"/>
  <c r="C21" i="2"/>
  <c r="C15" i="2"/>
  <c r="C5" i="2"/>
  <c r="C6" i="2"/>
  <c r="C7" i="2"/>
  <c r="C8" i="2"/>
  <c r="C9" i="2"/>
  <c r="C10" i="2"/>
  <c r="C4" i="2"/>
  <c r="D5" i="2"/>
  <c r="D6" i="2"/>
  <c r="D7" i="2"/>
  <c r="D8" i="2"/>
  <c r="D9" i="2"/>
  <c r="D10" i="2"/>
  <c r="D4" i="2"/>
  <c r="C2" i="4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C138" i="4"/>
  <c r="C139" i="4"/>
  <c r="C140" i="4"/>
  <c r="C141" i="4"/>
  <c r="C142" i="4"/>
  <c r="C143" i="4"/>
  <c r="C144" i="4"/>
  <c r="C145" i="4"/>
  <c r="C146" i="4"/>
  <c r="C147" i="4"/>
  <c r="C148" i="4"/>
  <c r="C149" i="4"/>
  <c r="C150" i="4"/>
  <c r="C151" i="4"/>
  <c r="C152" i="4"/>
  <c r="C153" i="4"/>
  <c r="C154" i="4"/>
  <c r="C155" i="4"/>
  <c r="C156" i="4"/>
  <c r="C157" i="4"/>
  <c r="C158" i="4"/>
  <c r="C159" i="4"/>
  <c r="C160" i="4"/>
  <c r="C161" i="4"/>
  <c r="C162" i="4"/>
  <c r="C163" i="4"/>
  <c r="C164" i="4"/>
  <c r="C165" i="4"/>
  <c r="C166" i="4"/>
  <c r="C167" i="4"/>
  <c r="C168" i="4"/>
  <c r="C169" i="4"/>
  <c r="C170" i="4"/>
  <c r="C171" i="4"/>
  <c r="C172" i="4"/>
  <c r="C173" i="4"/>
  <c r="C174" i="4"/>
  <c r="C175" i="4"/>
  <c r="C176" i="4"/>
  <c r="C177" i="4"/>
  <c r="C178" i="4"/>
  <c r="C179" i="4"/>
  <c r="C180" i="4"/>
  <c r="C181" i="4"/>
  <c r="C182" i="4"/>
  <c r="C183" i="4"/>
  <c r="C184" i="4"/>
  <c r="C185" i="4"/>
  <c r="C186" i="4"/>
  <c r="C187" i="4"/>
  <c r="C188" i="4"/>
  <c r="C189" i="4"/>
  <c r="C190" i="4"/>
  <c r="C191" i="4"/>
  <c r="C192" i="4"/>
  <c r="C193" i="4"/>
  <c r="C194" i="4"/>
  <c r="C195" i="4"/>
  <c r="C196" i="4"/>
  <c r="C197" i="4"/>
  <c r="C198" i="4"/>
  <c r="C199" i="4"/>
  <c r="C200" i="4"/>
  <c r="C201" i="4"/>
  <c r="C202" i="4"/>
  <c r="C203" i="4"/>
  <c r="C204" i="4"/>
  <c r="C205" i="4"/>
  <c r="C206" i="4"/>
  <c r="C207" i="4"/>
  <c r="C208" i="4"/>
  <c r="C209" i="4"/>
  <c r="C210" i="4"/>
  <c r="C211" i="4"/>
  <c r="C212" i="4"/>
  <c r="C213" i="4"/>
  <c r="C214" i="4"/>
  <c r="C215" i="4"/>
  <c r="C216" i="4"/>
  <c r="C217" i="4"/>
  <c r="C218" i="4"/>
  <c r="C219" i="4"/>
  <c r="C220" i="4"/>
  <c r="C221" i="4"/>
  <c r="C222" i="4"/>
  <c r="C223" i="4"/>
  <c r="C224" i="4"/>
  <c r="C225" i="4"/>
  <c r="C226" i="4"/>
  <c r="C227" i="4"/>
  <c r="C228" i="4"/>
  <c r="C229" i="4"/>
  <c r="C230" i="4"/>
  <c r="C231" i="4"/>
  <c r="C232" i="4"/>
  <c r="C233" i="4"/>
  <c r="C234" i="4"/>
  <c r="C235" i="4"/>
  <c r="C236" i="4"/>
  <c r="C237" i="4"/>
  <c r="C238" i="4"/>
  <c r="C239" i="4"/>
  <c r="C240" i="4"/>
  <c r="C241" i="4"/>
  <c r="C242" i="4"/>
  <c r="C243" i="4"/>
  <c r="C244" i="4"/>
  <c r="C245" i="4"/>
  <c r="C246" i="4"/>
  <c r="C247" i="4"/>
  <c r="C248" i="4"/>
  <c r="C249" i="4"/>
  <c r="C250" i="4"/>
  <c r="C251" i="4"/>
  <c r="C252" i="4"/>
  <c r="C253" i="4"/>
  <c r="C254" i="4"/>
  <c r="C255" i="4"/>
  <c r="C256" i="4"/>
  <c r="C257" i="4"/>
  <c r="C258" i="4"/>
  <c r="C259" i="4"/>
  <c r="C260" i="4"/>
  <c r="C261" i="4"/>
  <c r="C262" i="4"/>
  <c r="C263" i="4"/>
  <c r="C264" i="4"/>
  <c r="C265" i="4"/>
  <c r="C266" i="4"/>
  <c r="C267" i="4"/>
  <c r="C268" i="4"/>
  <c r="C269" i="4"/>
  <c r="C270" i="4"/>
  <c r="C271" i="4"/>
  <c r="C272" i="4"/>
  <c r="C273" i="4"/>
  <c r="C274" i="4"/>
  <c r="C275" i="4"/>
  <c r="C276" i="4"/>
  <c r="C277" i="4"/>
  <c r="C278" i="4"/>
  <c r="C279" i="4"/>
  <c r="C280" i="4"/>
  <c r="C281" i="4"/>
  <c r="C282" i="4"/>
  <c r="C283" i="4"/>
  <c r="C284" i="4"/>
  <c r="C285" i="4"/>
  <c r="C286" i="4"/>
  <c r="C287" i="4"/>
  <c r="C288" i="4"/>
  <c r="C289" i="4"/>
  <c r="C290" i="4"/>
  <c r="C291" i="4"/>
  <c r="C292" i="4"/>
  <c r="C293" i="4"/>
  <c r="C294" i="4"/>
  <c r="C295" i="4"/>
  <c r="C296" i="4"/>
  <c r="C297" i="4"/>
  <c r="C298" i="4"/>
  <c r="C299" i="4"/>
  <c r="C300" i="4"/>
  <c r="C301" i="4"/>
  <c r="C302" i="4"/>
  <c r="C303" i="4"/>
  <c r="C304" i="4"/>
  <c r="C305" i="4"/>
  <c r="C306" i="4"/>
  <c r="C307" i="4"/>
  <c r="C308" i="4"/>
  <c r="C309" i="4"/>
  <c r="C310" i="4"/>
  <c r="C311" i="4"/>
  <c r="C312" i="4"/>
  <c r="C313" i="4"/>
  <c r="C314" i="4"/>
  <c r="C315" i="4"/>
  <c r="C316" i="4"/>
  <c r="C317" i="4"/>
  <c r="C318" i="4"/>
  <c r="C319" i="4"/>
  <c r="C320" i="4"/>
  <c r="C321" i="4"/>
  <c r="C322" i="4"/>
  <c r="C323" i="4"/>
  <c r="C324" i="4"/>
  <c r="C325" i="4"/>
  <c r="C326" i="4"/>
  <c r="C327" i="4"/>
  <c r="C328" i="4"/>
  <c r="C329" i="4"/>
  <c r="C330" i="4"/>
  <c r="C331" i="4"/>
  <c r="C332" i="4"/>
  <c r="C333" i="4"/>
  <c r="C334" i="4"/>
  <c r="C335" i="4"/>
  <c r="C336" i="4"/>
  <c r="C337" i="4"/>
  <c r="C338" i="4"/>
  <c r="C339" i="4"/>
  <c r="C340" i="4"/>
  <c r="C341" i="4"/>
  <c r="C342" i="4"/>
  <c r="C343" i="4"/>
  <c r="C344" i="4"/>
  <c r="C345" i="4"/>
  <c r="C346" i="4"/>
  <c r="C347" i="4"/>
  <c r="C348" i="4"/>
  <c r="C349" i="4"/>
  <c r="C350" i="4"/>
  <c r="C351" i="4"/>
  <c r="C352" i="4"/>
  <c r="C353" i="4"/>
  <c r="C354" i="4"/>
  <c r="C355" i="4"/>
  <c r="C356" i="4"/>
  <c r="C357" i="4"/>
  <c r="C358" i="4"/>
  <c r="C359" i="4"/>
  <c r="C360" i="4"/>
  <c r="C361" i="4"/>
  <c r="C362" i="4"/>
  <c r="C363" i="4"/>
  <c r="C364" i="4"/>
  <c r="C365" i="4"/>
  <c r="C366" i="4"/>
  <c r="C367" i="4"/>
  <c r="C368" i="4"/>
  <c r="C369" i="4"/>
  <c r="C370" i="4"/>
  <c r="C371" i="4"/>
  <c r="C372" i="4"/>
  <c r="C373" i="4"/>
  <c r="C374" i="4"/>
  <c r="C375" i="4"/>
  <c r="C376" i="4"/>
  <c r="C377" i="4"/>
  <c r="C378" i="4"/>
  <c r="C379" i="4"/>
  <c r="C380" i="4"/>
  <c r="C381" i="4"/>
  <c r="C382" i="4"/>
  <c r="C383" i="4"/>
  <c r="C384" i="4"/>
  <c r="C385" i="4"/>
  <c r="C386" i="4"/>
  <c r="C387" i="4"/>
  <c r="C388" i="4"/>
  <c r="C389" i="4"/>
  <c r="C390" i="4"/>
  <c r="C391" i="4"/>
  <c r="C392" i="4"/>
  <c r="C393" i="4"/>
  <c r="C394" i="4"/>
  <c r="C395" i="4"/>
  <c r="C396" i="4"/>
  <c r="C397" i="4"/>
  <c r="C398" i="4"/>
  <c r="C399" i="4"/>
  <c r="C400" i="4"/>
  <c r="C401" i="4"/>
  <c r="C402" i="4"/>
  <c r="C403" i="4"/>
  <c r="C404" i="4"/>
  <c r="C405" i="4"/>
  <c r="C406" i="4"/>
  <c r="C407" i="4"/>
  <c r="C408" i="4"/>
  <c r="C409" i="4"/>
  <c r="C410" i="4"/>
  <c r="C411" i="4"/>
  <c r="C412" i="4"/>
  <c r="C413" i="4"/>
  <c r="C414" i="4"/>
  <c r="C415" i="4"/>
  <c r="C416" i="4"/>
  <c r="C417" i="4"/>
  <c r="C418" i="4"/>
  <c r="C419" i="4"/>
  <c r="C420" i="4"/>
  <c r="C421" i="4"/>
  <c r="C422" i="4"/>
  <c r="C423" i="4"/>
  <c r="C424" i="4"/>
  <c r="C425" i="4"/>
  <c r="C426" i="4"/>
  <c r="C427" i="4"/>
  <c r="C428" i="4"/>
  <c r="C429" i="4"/>
  <c r="C430" i="4"/>
  <c r="C431" i="4"/>
  <c r="C432" i="4"/>
  <c r="C433" i="4"/>
  <c r="C434" i="4"/>
  <c r="C435" i="4"/>
  <c r="C436" i="4"/>
  <c r="C437" i="4"/>
  <c r="C438" i="4"/>
  <c r="C439" i="4"/>
  <c r="C440" i="4"/>
  <c r="C441" i="4"/>
  <c r="C442" i="4"/>
  <c r="C443" i="4"/>
  <c r="C444" i="4"/>
  <c r="C445" i="4"/>
  <c r="C446" i="4"/>
  <c r="C447" i="4"/>
  <c r="C448" i="4"/>
  <c r="C449" i="4"/>
  <c r="C450" i="4"/>
  <c r="C451" i="4"/>
  <c r="C452" i="4"/>
  <c r="C453" i="4"/>
  <c r="C454" i="4"/>
  <c r="C455" i="4"/>
  <c r="C456" i="4"/>
  <c r="C457" i="4"/>
  <c r="C458" i="4"/>
  <c r="C459" i="4"/>
  <c r="C460" i="4"/>
  <c r="C461" i="4"/>
  <c r="C462" i="4"/>
  <c r="C463" i="4"/>
  <c r="C464" i="4"/>
  <c r="C465" i="4"/>
  <c r="C466" i="4"/>
  <c r="C467" i="4"/>
  <c r="C468" i="4"/>
  <c r="C469" i="4"/>
  <c r="C470" i="4"/>
  <c r="C471" i="4"/>
  <c r="C472" i="4"/>
  <c r="C473" i="4"/>
  <c r="C474" i="4"/>
  <c r="C475" i="4"/>
  <c r="C476" i="4"/>
  <c r="C477" i="4"/>
  <c r="C478" i="4"/>
  <c r="C479" i="4"/>
  <c r="C480" i="4"/>
  <c r="C481" i="4"/>
  <c r="C482" i="4"/>
  <c r="C483" i="4"/>
  <c r="C484" i="4"/>
  <c r="C485" i="4"/>
  <c r="C486" i="4"/>
  <c r="C487" i="4"/>
  <c r="C488" i="4"/>
  <c r="C489" i="4"/>
  <c r="C490" i="4"/>
  <c r="C491" i="4"/>
  <c r="C492" i="4"/>
  <c r="C493" i="4"/>
  <c r="C494" i="4"/>
  <c r="C495" i="4"/>
  <c r="C496" i="4"/>
  <c r="C497" i="4"/>
  <c r="C498" i="4"/>
  <c r="C499" i="4"/>
  <c r="C500" i="4"/>
  <c r="C501" i="4"/>
  <c r="C502" i="4"/>
  <c r="C503" i="4"/>
  <c r="C504" i="4"/>
  <c r="C505" i="4"/>
  <c r="C506" i="4"/>
  <c r="C507" i="4"/>
  <c r="C508" i="4"/>
  <c r="C509" i="4"/>
  <c r="C510" i="4"/>
  <c r="C511" i="4"/>
  <c r="C512" i="4"/>
  <c r="C513" i="4"/>
  <c r="C514" i="4"/>
  <c r="C515" i="4"/>
  <c r="C516" i="4"/>
  <c r="C517" i="4"/>
  <c r="C518" i="4"/>
  <c r="C519" i="4"/>
  <c r="C520" i="4"/>
  <c r="C521" i="4"/>
  <c r="C522" i="4"/>
  <c r="C523" i="4"/>
  <c r="C524" i="4"/>
  <c r="C525" i="4"/>
  <c r="C526" i="4"/>
  <c r="C527" i="4"/>
  <c r="C528" i="4"/>
  <c r="C529" i="4"/>
  <c r="C530" i="4"/>
  <c r="C531" i="4"/>
  <c r="C532" i="4"/>
  <c r="C533" i="4"/>
  <c r="C534" i="4"/>
  <c r="C535" i="4"/>
  <c r="C536" i="4"/>
  <c r="C537" i="4"/>
  <c r="C538" i="4"/>
  <c r="C539" i="4"/>
  <c r="C540" i="4"/>
  <c r="C541" i="4"/>
  <c r="C542" i="4"/>
  <c r="C543" i="4"/>
  <c r="C544" i="4"/>
  <c r="C545" i="4"/>
  <c r="C546" i="4"/>
  <c r="C547" i="4"/>
  <c r="C548" i="4"/>
  <c r="C549" i="4"/>
  <c r="C550" i="4"/>
  <c r="C551" i="4"/>
  <c r="C552" i="4"/>
  <c r="C553" i="4"/>
  <c r="C554" i="4"/>
  <c r="C555" i="4"/>
  <c r="C556" i="4"/>
  <c r="C557" i="4"/>
  <c r="C558" i="4"/>
  <c r="C559" i="4"/>
  <c r="C560" i="4"/>
  <c r="C561" i="4"/>
  <c r="C562" i="4"/>
  <c r="C563" i="4"/>
  <c r="C564" i="4"/>
  <c r="C565" i="4"/>
  <c r="C566" i="4"/>
  <c r="C567" i="4"/>
  <c r="C568" i="4"/>
  <c r="C569" i="4"/>
  <c r="C570" i="4"/>
  <c r="C571" i="4"/>
  <c r="C572" i="4"/>
  <c r="C573" i="4"/>
  <c r="C574" i="4"/>
  <c r="C575" i="4"/>
  <c r="C576" i="4"/>
  <c r="C577" i="4"/>
  <c r="C578" i="4"/>
  <c r="C579" i="4"/>
  <c r="C580" i="4"/>
  <c r="C581" i="4"/>
  <c r="C582" i="4"/>
  <c r="C583" i="4"/>
  <c r="C584" i="4"/>
  <c r="C585" i="4"/>
  <c r="C586" i="4"/>
  <c r="C587" i="4"/>
  <c r="C588" i="4"/>
  <c r="C589" i="4"/>
  <c r="C590" i="4"/>
  <c r="C591" i="4"/>
  <c r="C592" i="4"/>
  <c r="C593" i="4"/>
  <c r="C594" i="4"/>
  <c r="C595" i="4"/>
  <c r="C596" i="4"/>
  <c r="C597" i="4"/>
  <c r="C598" i="4"/>
  <c r="C599" i="4"/>
  <c r="C600" i="4"/>
  <c r="C601" i="4"/>
  <c r="C602" i="4"/>
  <c r="C603" i="4"/>
  <c r="C604" i="4"/>
  <c r="C605" i="4"/>
  <c r="C606" i="4"/>
  <c r="C607" i="4"/>
  <c r="C608" i="4"/>
  <c r="C609" i="4"/>
  <c r="C610" i="4"/>
  <c r="C611" i="4"/>
  <c r="C612" i="4"/>
  <c r="C613" i="4"/>
  <c r="C614" i="4"/>
  <c r="C615" i="4"/>
  <c r="C616" i="4"/>
  <c r="C617" i="4"/>
  <c r="C618" i="4"/>
  <c r="C619" i="4"/>
  <c r="C620" i="4"/>
  <c r="C621" i="4"/>
  <c r="C622" i="4"/>
  <c r="C623" i="4"/>
  <c r="C624" i="4"/>
  <c r="C625" i="4"/>
  <c r="C626" i="4"/>
  <c r="C627" i="4"/>
  <c r="C628" i="4"/>
  <c r="C629" i="4"/>
  <c r="C630" i="4"/>
  <c r="C631" i="4"/>
  <c r="C632" i="4"/>
  <c r="C633" i="4"/>
  <c r="C634" i="4"/>
  <c r="C635" i="4"/>
  <c r="C636" i="4"/>
  <c r="C637" i="4"/>
  <c r="C638" i="4"/>
  <c r="C639" i="4"/>
  <c r="C640" i="4"/>
  <c r="C641" i="4"/>
  <c r="C642" i="4"/>
  <c r="C643" i="4"/>
  <c r="C644" i="4"/>
  <c r="C645" i="4"/>
  <c r="C646" i="4"/>
  <c r="C647" i="4"/>
  <c r="C648" i="4"/>
  <c r="C649" i="4"/>
  <c r="C650" i="4"/>
  <c r="C651" i="4"/>
  <c r="C652" i="4"/>
  <c r="C653" i="4"/>
  <c r="C654" i="4"/>
  <c r="C655" i="4"/>
  <c r="C656" i="4"/>
  <c r="C657" i="4"/>
  <c r="C658" i="4"/>
  <c r="C659" i="4"/>
  <c r="C660" i="4"/>
  <c r="C661" i="4"/>
  <c r="C662" i="4"/>
  <c r="C663" i="4"/>
  <c r="C664" i="4"/>
  <c r="C665" i="4"/>
  <c r="C666" i="4"/>
  <c r="C667" i="4"/>
  <c r="C668" i="4"/>
  <c r="C669" i="4"/>
  <c r="C670" i="4"/>
  <c r="C671" i="4"/>
  <c r="C672" i="4"/>
  <c r="C673" i="4"/>
  <c r="C674" i="4"/>
  <c r="C675" i="4"/>
  <c r="C676" i="4"/>
  <c r="C677" i="4"/>
  <c r="C678" i="4"/>
  <c r="C679" i="4"/>
  <c r="C680" i="4"/>
  <c r="C681" i="4"/>
  <c r="C682" i="4"/>
  <c r="C683" i="4"/>
  <c r="C684" i="4"/>
  <c r="C685" i="4"/>
  <c r="C686" i="4"/>
  <c r="C687" i="4"/>
  <c r="C688" i="4"/>
  <c r="C689" i="4"/>
  <c r="C690" i="4"/>
  <c r="B690" i="9"/>
  <c r="F690" i="9" s="1"/>
  <c r="B689" i="9"/>
  <c r="F689" i="9" s="1"/>
  <c r="B688" i="9"/>
  <c r="F688" i="9" s="1"/>
  <c r="B687" i="9"/>
  <c r="F687" i="9" s="1"/>
  <c r="B686" i="9"/>
  <c r="F686" i="9" s="1"/>
  <c r="B685" i="9"/>
  <c r="F685" i="9" s="1"/>
  <c r="B684" i="9"/>
  <c r="F684" i="9" s="1"/>
  <c r="B683" i="9"/>
  <c r="F683" i="9" s="1"/>
  <c r="B682" i="9"/>
  <c r="F682" i="9" s="1"/>
  <c r="B681" i="9"/>
  <c r="F681" i="9" s="1"/>
  <c r="B680" i="9"/>
  <c r="F680" i="9" s="1"/>
  <c r="B679" i="9"/>
  <c r="F679" i="9" s="1"/>
  <c r="B678" i="9"/>
  <c r="F678" i="9" s="1"/>
  <c r="B677" i="9"/>
  <c r="F677" i="9" s="1"/>
  <c r="B676" i="9"/>
  <c r="F676" i="9" s="1"/>
  <c r="B675" i="9"/>
  <c r="F675" i="9" s="1"/>
  <c r="B674" i="9"/>
  <c r="F674" i="9" s="1"/>
  <c r="B673" i="9"/>
  <c r="F673" i="9" s="1"/>
  <c r="B672" i="9"/>
  <c r="F672" i="9" s="1"/>
  <c r="B671" i="9"/>
  <c r="F671" i="9" s="1"/>
  <c r="B670" i="9"/>
  <c r="F670" i="9" s="1"/>
  <c r="B669" i="9"/>
  <c r="F669" i="9" s="1"/>
  <c r="B668" i="9"/>
  <c r="F668" i="9" s="1"/>
  <c r="B667" i="9"/>
  <c r="F667" i="9" s="1"/>
  <c r="B666" i="9"/>
  <c r="F666" i="9" s="1"/>
  <c r="B665" i="9"/>
  <c r="F665" i="9" s="1"/>
  <c r="B664" i="9"/>
  <c r="F664" i="9" s="1"/>
  <c r="B663" i="9"/>
  <c r="F663" i="9" s="1"/>
  <c r="B662" i="9"/>
  <c r="F662" i="9" s="1"/>
  <c r="B661" i="9"/>
  <c r="F661" i="9" s="1"/>
  <c r="B660" i="9"/>
  <c r="F660" i="9" s="1"/>
  <c r="B659" i="9"/>
  <c r="F659" i="9" s="1"/>
  <c r="B658" i="9"/>
  <c r="F658" i="9" s="1"/>
  <c r="B657" i="9"/>
  <c r="F657" i="9" s="1"/>
  <c r="B656" i="9"/>
  <c r="F656" i="9" s="1"/>
  <c r="B655" i="9"/>
  <c r="F655" i="9" s="1"/>
  <c r="B654" i="9"/>
  <c r="F654" i="9" s="1"/>
  <c r="B653" i="9"/>
  <c r="F653" i="9" s="1"/>
  <c r="B652" i="9"/>
  <c r="F652" i="9" s="1"/>
  <c r="B651" i="9"/>
  <c r="F651" i="9" s="1"/>
  <c r="B650" i="9"/>
  <c r="F650" i="9" s="1"/>
  <c r="B649" i="9"/>
  <c r="F649" i="9" s="1"/>
  <c r="B648" i="9"/>
  <c r="F648" i="9" s="1"/>
  <c r="B647" i="9"/>
  <c r="F647" i="9" s="1"/>
  <c r="B646" i="9"/>
  <c r="F646" i="9" s="1"/>
  <c r="B645" i="9"/>
  <c r="F645" i="9" s="1"/>
  <c r="B644" i="9"/>
  <c r="F644" i="9" s="1"/>
  <c r="B643" i="9"/>
  <c r="F643" i="9" s="1"/>
  <c r="B642" i="9"/>
  <c r="F642" i="9" s="1"/>
  <c r="B641" i="9"/>
  <c r="F641" i="9" s="1"/>
  <c r="B640" i="9"/>
  <c r="F640" i="9" s="1"/>
  <c r="B639" i="9"/>
  <c r="F639" i="9" s="1"/>
  <c r="B638" i="9"/>
  <c r="F638" i="9" s="1"/>
  <c r="B637" i="9"/>
  <c r="F637" i="9" s="1"/>
  <c r="B636" i="9"/>
  <c r="F636" i="9" s="1"/>
  <c r="B635" i="9"/>
  <c r="F635" i="9" s="1"/>
  <c r="B634" i="9"/>
  <c r="F634" i="9" s="1"/>
  <c r="B633" i="9"/>
  <c r="F633" i="9" s="1"/>
  <c r="B632" i="9"/>
  <c r="F632" i="9" s="1"/>
  <c r="B631" i="9"/>
  <c r="F631" i="9" s="1"/>
  <c r="B630" i="9"/>
  <c r="F630" i="9" s="1"/>
  <c r="B629" i="9"/>
  <c r="F629" i="9" s="1"/>
  <c r="B628" i="9"/>
  <c r="F628" i="9" s="1"/>
  <c r="B627" i="9"/>
  <c r="F627" i="9" s="1"/>
  <c r="B626" i="9"/>
  <c r="F626" i="9" s="1"/>
  <c r="B625" i="9"/>
  <c r="F625" i="9" s="1"/>
  <c r="B624" i="9"/>
  <c r="F624" i="9" s="1"/>
  <c r="B623" i="9"/>
  <c r="F623" i="9" s="1"/>
  <c r="B622" i="9"/>
  <c r="F622" i="9" s="1"/>
  <c r="B621" i="9"/>
  <c r="F621" i="9" s="1"/>
  <c r="B620" i="9"/>
  <c r="F620" i="9" s="1"/>
  <c r="B619" i="9"/>
  <c r="F619" i="9" s="1"/>
  <c r="B618" i="9"/>
  <c r="F618" i="9" s="1"/>
  <c r="B617" i="9"/>
  <c r="F617" i="9" s="1"/>
  <c r="B616" i="9"/>
  <c r="F616" i="9" s="1"/>
  <c r="B615" i="9"/>
  <c r="F615" i="9" s="1"/>
  <c r="B614" i="9"/>
  <c r="F614" i="9" s="1"/>
  <c r="B613" i="9"/>
  <c r="F613" i="9" s="1"/>
  <c r="B612" i="9"/>
  <c r="F612" i="9" s="1"/>
  <c r="B611" i="9"/>
  <c r="F611" i="9" s="1"/>
  <c r="B610" i="9"/>
  <c r="F610" i="9" s="1"/>
  <c r="B609" i="9"/>
  <c r="F609" i="9" s="1"/>
  <c r="B608" i="9"/>
  <c r="F608" i="9" s="1"/>
  <c r="B607" i="9"/>
  <c r="F607" i="9" s="1"/>
  <c r="B606" i="9"/>
  <c r="F606" i="9" s="1"/>
  <c r="B605" i="9"/>
  <c r="F605" i="9" s="1"/>
  <c r="B604" i="9"/>
  <c r="F604" i="9" s="1"/>
  <c r="B603" i="9"/>
  <c r="F603" i="9" s="1"/>
  <c r="B602" i="9"/>
  <c r="F602" i="9" s="1"/>
  <c r="B601" i="9"/>
  <c r="F601" i="9" s="1"/>
  <c r="B600" i="9"/>
  <c r="F600" i="9" s="1"/>
  <c r="B599" i="9"/>
  <c r="F599" i="9" s="1"/>
  <c r="B598" i="9"/>
  <c r="F598" i="9" s="1"/>
  <c r="B597" i="9"/>
  <c r="F597" i="9" s="1"/>
  <c r="B596" i="9"/>
  <c r="F596" i="9" s="1"/>
  <c r="B595" i="9"/>
  <c r="F595" i="9" s="1"/>
  <c r="B594" i="9"/>
  <c r="F594" i="9" s="1"/>
  <c r="B593" i="9"/>
  <c r="F593" i="9" s="1"/>
  <c r="B592" i="9"/>
  <c r="F592" i="9" s="1"/>
  <c r="B591" i="9"/>
  <c r="F591" i="9" s="1"/>
  <c r="B590" i="9"/>
  <c r="F590" i="9" s="1"/>
  <c r="B589" i="9"/>
  <c r="F589" i="9" s="1"/>
  <c r="B588" i="9"/>
  <c r="F588" i="9" s="1"/>
  <c r="B587" i="9"/>
  <c r="F587" i="9" s="1"/>
  <c r="B586" i="9"/>
  <c r="F586" i="9" s="1"/>
  <c r="B585" i="9"/>
  <c r="F585" i="9" s="1"/>
  <c r="B584" i="9"/>
  <c r="F584" i="9" s="1"/>
  <c r="B583" i="9"/>
  <c r="F583" i="9" s="1"/>
  <c r="B582" i="9"/>
  <c r="F582" i="9" s="1"/>
  <c r="B581" i="9"/>
  <c r="F581" i="9" s="1"/>
  <c r="B580" i="9"/>
  <c r="F580" i="9" s="1"/>
  <c r="B579" i="9"/>
  <c r="F579" i="9" s="1"/>
  <c r="B578" i="9"/>
  <c r="F578" i="9" s="1"/>
  <c r="B577" i="9"/>
  <c r="F577" i="9" s="1"/>
  <c r="B576" i="9"/>
  <c r="F576" i="9" s="1"/>
  <c r="B575" i="9"/>
  <c r="F575" i="9" s="1"/>
  <c r="B574" i="9"/>
  <c r="F574" i="9" s="1"/>
  <c r="B573" i="9"/>
  <c r="F573" i="9" s="1"/>
  <c r="B572" i="9"/>
  <c r="F572" i="9" s="1"/>
  <c r="B571" i="9"/>
  <c r="F571" i="9" s="1"/>
  <c r="B570" i="9"/>
  <c r="F570" i="9" s="1"/>
  <c r="B569" i="9"/>
  <c r="F569" i="9" s="1"/>
  <c r="B568" i="9"/>
  <c r="F568" i="9" s="1"/>
  <c r="B567" i="9"/>
  <c r="F567" i="9" s="1"/>
  <c r="B566" i="9"/>
  <c r="F566" i="9" s="1"/>
  <c r="B565" i="9"/>
  <c r="F565" i="9" s="1"/>
  <c r="B564" i="9"/>
  <c r="F564" i="9" s="1"/>
  <c r="B563" i="9"/>
  <c r="F563" i="9" s="1"/>
  <c r="B562" i="9"/>
  <c r="F562" i="9" s="1"/>
  <c r="B561" i="9"/>
  <c r="F561" i="9" s="1"/>
  <c r="B560" i="9"/>
  <c r="F560" i="9" s="1"/>
  <c r="B559" i="9"/>
  <c r="F559" i="9" s="1"/>
  <c r="B558" i="9"/>
  <c r="F558" i="9" s="1"/>
  <c r="B557" i="9"/>
  <c r="F557" i="9" s="1"/>
  <c r="B556" i="9"/>
  <c r="F556" i="9" s="1"/>
  <c r="B555" i="9"/>
  <c r="F555" i="9" s="1"/>
  <c r="B554" i="9"/>
  <c r="F554" i="9" s="1"/>
  <c r="B553" i="9"/>
  <c r="F553" i="9" s="1"/>
  <c r="B552" i="9"/>
  <c r="F552" i="9" s="1"/>
  <c r="B551" i="9"/>
  <c r="F551" i="9" s="1"/>
  <c r="B550" i="9"/>
  <c r="F550" i="9" s="1"/>
  <c r="B549" i="9"/>
  <c r="F549" i="9" s="1"/>
  <c r="B548" i="9"/>
  <c r="F548" i="9" s="1"/>
  <c r="B547" i="9"/>
  <c r="F547" i="9" s="1"/>
  <c r="B546" i="9"/>
  <c r="F546" i="9" s="1"/>
  <c r="B545" i="9"/>
  <c r="F545" i="9" s="1"/>
  <c r="B544" i="9"/>
  <c r="F544" i="9" s="1"/>
  <c r="B543" i="9"/>
  <c r="F543" i="9" s="1"/>
  <c r="B542" i="9"/>
  <c r="F542" i="9" s="1"/>
  <c r="B541" i="9"/>
  <c r="F541" i="9" s="1"/>
  <c r="B540" i="9"/>
  <c r="F540" i="9" s="1"/>
  <c r="B539" i="9"/>
  <c r="F539" i="9" s="1"/>
  <c r="B538" i="9"/>
  <c r="F538" i="9" s="1"/>
  <c r="B537" i="9"/>
  <c r="F537" i="9" s="1"/>
  <c r="B536" i="9"/>
  <c r="F536" i="9" s="1"/>
  <c r="B535" i="9"/>
  <c r="F535" i="9" s="1"/>
  <c r="B534" i="9"/>
  <c r="F534" i="9" s="1"/>
  <c r="B533" i="9"/>
  <c r="F533" i="9" s="1"/>
  <c r="B532" i="9"/>
  <c r="F532" i="9" s="1"/>
  <c r="B531" i="9"/>
  <c r="F531" i="9" s="1"/>
  <c r="B530" i="9"/>
  <c r="F530" i="9" s="1"/>
  <c r="B529" i="9"/>
  <c r="F529" i="9" s="1"/>
  <c r="B528" i="9"/>
  <c r="F528" i="9" s="1"/>
  <c r="B527" i="9"/>
  <c r="F527" i="9" s="1"/>
  <c r="B526" i="9"/>
  <c r="F526" i="9" s="1"/>
  <c r="B525" i="9"/>
  <c r="F525" i="9" s="1"/>
  <c r="B524" i="9"/>
  <c r="F524" i="9" s="1"/>
  <c r="B523" i="9"/>
  <c r="F523" i="9" s="1"/>
  <c r="B522" i="9"/>
  <c r="F522" i="9" s="1"/>
  <c r="B521" i="9"/>
  <c r="F521" i="9" s="1"/>
  <c r="B520" i="9"/>
  <c r="F520" i="9" s="1"/>
  <c r="B519" i="9"/>
  <c r="F519" i="9" s="1"/>
  <c r="B518" i="9"/>
  <c r="F518" i="9" s="1"/>
  <c r="B517" i="9"/>
  <c r="F517" i="9" s="1"/>
  <c r="B516" i="9"/>
  <c r="F516" i="9" s="1"/>
  <c r="B515" i="9"/>
  <c r="F515" i="9" s="1"/>
  <c r="B514" i="9"/>
  <c r="F514" i="9" s="1"/>
  <c r="B513" i="9"/>
  <c r="F513" i="9" s="1"/>
  <c r="B512" i="9"/>
  <c r="F512" i="9" s="1"/>
  <c r="B511" i="9"/>
  <c r="F511" i="9" s="1"/>
  <c r="B510" i="9"/>
  <c r="F510" i="9" s="1"/>
  <c r="B509" i="9"/>
  <c r="F509" i="9" s="1"/>
  <c r="B508" i="9"/>
  <c r="F508" i="9" s="1"/>
  <c r="B507" i="9"/>
  <c r="F507" i="9" s="1"/>
  <c r="B506" i="9"/>
  <c r="F506" i="9" s="1"/>
  <c r="B505" i="9"/>
  <c r="F505" i="9" s="1"/>
  <c r="B504" i="9"/>
  <c r="F504" i="9" s="1"/>
  <c r="B503" i="9"/>
  <c r="F503" i="9" s="1"/>
  <c r="B502" i="9"/>
  <c r="F502" i="9" s="1"/>
  <c r="B501" i="9"/>
  <c r="F501" i="9" s="1"/>
  <c r="B500" i="9"/>
  <c r="F500" i="9" s="1"/>
  <c r="B499" i="9"/>
  <c r="F499" i="9" s="1"/>
  <c r="B498" i="9"/>
  <c r="F498" i="9" s="1"/>
  <c r="B497" i="9"/>
  <c r="F497" i="9" s="1"/>
  <c r="B496" i="9"/>
  <c r="F496" i="9" s="1"/>
  <c r="B495" i="9"/>
  <c r="F495" i="9" s="1"/>
  <c r="B494" i="9"/>
  <c r="F494" i="9" s="1"/>
  <c r="B493" i="9"/>
  <c r="F493" i="9" s="1"/>
  <c r="B492" i="9"/>
  <c r="F492" i="9" s="1"/>
  <c r="B491" i="9"/>
  <c r="F491" i="9" s="1"/>
  <c r="B490" i="9"/>
  <c r="F490" i="9" s="1"/>
  <c r="B489" i="9"/>
  <c r="F489" i="9" s="1"/>
  <c r="B488" i="9"/>
  <c r="F488" i="9" s="1"/>
  <c r="B487" i="9"/>
  <c r="F487" i="9" s="1"/>
  <c r="B486" i="9"/>
  <c r="F486" i="9" s="1"/>
  <c r="B485" i="9"/>
  <c r="F485" i="9" s="1"/>
  <c r="B484" i="9"/>
  <c r="F484" i="9" s="1"/>
  <c r="B483" i="9"/>
  <c r="F483" i="9" s="1"/>
  <c r="B482" i="9"/>
  <c r="F482" i="9" s="1"/>
  <c r="B481" i="9"/>
  <c r="F481" i="9" s="1"/>
  <c r="B480" i="9"/>
  <c r="F480" i="9" s="1"/>
  <c r="B479" i="9"/>
  <c r="F479" i="9" s="1"/>
  <c r="B478" i="9"/>
  <c r="F478" i="9" s="1"/>
  <c r="B477" i="9"/>
  <c r="F477" i="9" s="1"/>
  <c r="B476" i="9"/>
  <c r="F476" i="9" s="1"/>
  <c r="B475" i="9"/>
  <c r="F475" i="9" s="1"/>
  <c r="B474" i="9"/>
  <c r="F474" i="9" s="1"/>
  <c r="B473" i="9"/>
  <c r="F473" i="9" s="1"/>
  <c r="B472" i="9"/>
  <c r="F472" i="9" s="1"/>
  <c r="B471" i="9"/>
  <c r="F471" i="9" s="1"/>
  <c r="B470" i="9"/>
  <c r="F470" i="9" s="1"/>
  <c r="B469" i="9"/>
  <c r="F469" i="9" s="1"/>
  <c r="B468" i="9"/>
  <c r="F468" i="9" s="1"/>
  <c r="B467" i="9"/>
  <c r="F467" i="9" s="1"/>
  <c r="B466" i="9"/>
  <c r="F466" i="9" s="1"/>
  <c r="B465" i="9"/>
  <c r="F465" i="9" s="1"/>
  <c r="B464" i="9"/>
  <c r="F464" i="9" s="1"/>
  <c r="B463" i="9"/>
  <c r="F463" i="9" s="1"/>
  <c r="B462" i="9"/>
  <c r="F462" i="9" s="1"/>
  <c r="B461" i="9"/>
  <c r="F461" i="9" s="1"/>
  <c r="B460" i="9"/>
  <c r="F460" i="9" s="1"/>
  <c r="B459" i="9"/>
  <c r="F459" i="9" s="1"/>
  <c r="B458" i="9"/>
  <c r="F458" i="9" s="1"/>
  <c r="B457" i="9"/>
  <c r="F457" i="9" s="1"/>
  <c r="B456" i="9"/>
  <c r="F456" i="9" s="1"/>
  <c r="B455" i="9"/>
  <c r="F455" i="9" s="1"/>
  <c r="B454" i="9"/>
  <c r="F454" i="9" s="1"/>
  <c r="B453" i="9"/>
  <c r="F453" i="9" s="1"/>
  <c r="B452" i="9"/>
  <c r="F452" i="9" s="1"/>
  <c r="B451" i="9"/>
  <c r="F451" i="9" s="1"/>
  <c r="B450" i="9"/>
  <c r="F450" i="9" s="1"/>
  <c r="B449" i="9"/>
  <c r="F449" i="9" s="1"/>
  <c r="B448" i="9"/>
  <c r="F448" i="9" s="1"/>
  <c r="B447" i="9"/>
  <c r="F447" i="9" s="1"/>
  <c r="B446" i="9"/>
  <c r="F446" i="9" s="1"/>
  <c r="B445" i="9"/>
  <c r="F445" i="9" s="1"/>
  <c r="B444" i="9"/>
  <c r="F444" i="9" s="1"/>
  <c r="B443" i="9"/>
  <c r="F443" i="9" s="1"/>
  <c r="B442" i="9"/>
  <c r="F442" i="9" s="1"/>
  <c r="B441" i="9"/>
  <c r="F441" i="9" s="1"/>
  <c r="B440" i="9"/>
  <c r="F440" i="9" s="1"/>
  <c r="B439" i="9"/>
  <c r="F439" i="9" s="1"/>
  <c r="B438" i="9"/>
  <c r="F438" i="9" s="1"/>
  <c r="B437" i="9"/>
  <c r="F437" i="9" s="1"/>
  <c r="B436" i="9"/>
  <c r="F436" i="9" s="1"/>
  <c r="B435" i="9"/>
  <c r="F435" i="9" s="1"/>
  <c r="B434" i="9"/>
  <c r="F434" i="9" s="1"/>
  <c r="B433" i="9"/>
  <c r="F433" i="9" s="1"/>
  <c r="B432" i="9"/>
  <c r="F432" i="9" s="1"/>
  <c r="B431" i="9"/>
  <c r="F431" i="9" s="1"/>
  <c r="B430" i="9"/>
  <c r="F430" i="9" s="1"/>
  <c r="B429" i="9"/>
  <c r="F429" i="9" s="1"/>
  <c r="B428" i="9"/>
  <c r="F428" i="9" s="1"/>
  <c r="B427" i="9"/>
  <c r="F427" i="9" s="1"/>
  <c r="B426" i="9"/>
  <c r="F426" i="9" s="1"/>
  <c r="B425" i="9"/>
  <c r="F425" i="9" s="1"/>
  <c r="B424" i="9"/>
  <c r="F424" i="9" s="1"/>
  <c r="B423" i="9"/>
  <c r="F423" i="9" s="1"/>
  <c r="B422" i="9"/>
  <c r="F422" i="9" s="1"/>
  <c r="B421" i="9"/>
  <c r="F421" i="9" s="1"/>
  <c r="B420" i="9"/>
  <c r="F420" i="9" s="1"/>
  <c r="B419" i="9"/>
  <c r="F419" i="9" s="1"/>
  <c r="B418" i="9"/>
  <c r="F418" i="9" s="1"/>
  <c r="B417" i="9"/>
  <c r="F417" i="9" s="1"/>
  <c r="B416" i="9"/>
  <c r="F416" i="9" s="1"/>
  <c r="B415" i="9"/>
  <c r="F415" i="9" s="1"/>
  <c r="B414" i="9"/>
  <c r="F414" i="9" s="1"/>
  <c r="B413" i="9"/>
  <c r="F413" i="9" s="1"/>
  <c r="B412" i="9"/>
  <c r="F412" i="9" s="1"/>
  <c r="B411" i="9"/>
  <c r="F411" i="9" s="1"/>
  <c r="B410" i="9"/>
  <c r="F410" i="9" s="1"/>
  <c r="B409" i="9"/>
  <c r="F409" i="9" s="1"/>
  <c r="B408" i="9"/>
  <c r="F408" i="9" s="1"/>
  <c r="B407" i="9"/>
  <c r="F407" i="9" s="1"/>
  <c r="B406" i="9"/>
  <c r="F406" i="9" s="1"/>
  <c r="B405" i="9"/>
  <c r="F405" i="9" s="1"/>
  <c r="B404" i="9"/>
  <c r="F404" i="9" s="1"/>
  <c r="B403" i="9"/>
  <c r="F403" i="9" s="1"/>
  <c r="B402" i="9"/>
  <c r="F402" i="9" s="1"/>
  <c r="B401" i="9"/>
  <c r="F401" i="9" s="1"/>
  <c r="B400" i="9"/>
  <c r="F400" i="9" s="1"/>
  <c r="B399" i="9"/>
  <c r="F399" i="9" s="1"/>
  <c r="B398" i="9"/>
  <c r="F398" i="9" s="1"/>
  <c r="B397" i="9"/>
  <c r="F397" i="9" s="1"/>
  <c r="B396" i="9"/>
  <c r="F396" i="9" s="1"/>
  <c r="B395" i="9"/>
  <c r="F395" i="9" s="1"/>
  <c r="B394" i="9"/>
  <c r="F394" i="9" s="1"/>
  <c r="B393" i="9"/>
  <c r="F393" i="9" s="1"/>
  <c r="B392" i="9"/>
  <c r="F392" i="9" s="1"/>
  <c r="B391" i="9"/>
  <c r="F391" i="9" s="1"/>
  <c r="B390" i="9"/>
  <c r="F390" i="9" s="1"/>
  <c r="B389" i="9"/>
  <c r="F389" i="9" s="1"/>
  <c r="B388" i="9"/>
  <c r="F388" i="9" s="1"/>
  <c r="B387" i="9"/>
  <c r="F387" i="9" s="1"/>
  <c r="B386" i="9"/>
  <c r="F386" i="9" s="1"/>
  <c r="B385" i="9"/>
  <c r="F385" i="9" s="1"/>
  <c r="B384" i="9"/>
  <c r="F384" i="9" s="1"/>
  <c r="B383" i="9"/>
  <c r="F383" i="9" s="1"/>
  <c r="B382" i="9"/>
  <c r="F382" i="9" s="1"/>
  <c r="B381" i="9"/>
  <c r="F381" i="9" s="1"/>
  <c r="B380" i="9"/>
  <c r="F380" i="9" s="1"/>
  <c r="B379" i="9"/>
  <c r="F379" i="9" s="1"/>
  <c r="B378" i="9"/>
  <c r="F378" i="9" s="1"/>
  <c r="B377" i="9"/>
  <c r="F377" i="9" s="1"/>
  <c r="B376" i="9"/>
  <c r="F376" i="9" s="1"/>
  <c r="B375" i="9"/>
  <c r="F375" i="9" s="1"/>
  <c r="B374" i="9"/>
  <c r="F374" i="9" s="1"/>
  <c r="B373" i="9"/>
  <c r="F373" i="9" s="1"/>
  <c r="B372" i="9"/>
  <c r="F372" i="9" s="1"/>
  <c r="B371" i="9"/>
  <c r="F371" i="9" s="1"/>
  <c r="B370" i="9"/>
  <c r="F370" i="9" s="1"/>
  <c r="B369" i="9"/>
  <c r="F369" i="9" s="1"/>
  <c r="B368" i="9"/>
  <c r="F368" i="9" s="1"/>
  <c r="B367" i="9"/>
  <c r="F367" i="9" s="1"/>
  <c r="B366" i="9"/>
  <c r="F366" i="9" s="1"/>
  <c r="B365" i="9"/>
  <c r="F365" i="9" s="1"/>
  <c r="B364" i="9"/>
  <c r="F364" i="9" s="1"/>
  <c r="B363" i="9"/>
  <c r="F363" i="9" s="1"/>
  <c r="B362" i="9"/>
  <c r="F362" i="9" s="1"/>
  <c r="B361" i="9"/>
  <c r="F361" i="9" s="1"/>
  <c r="B360" i="9"/>
  <c r="F360" i="9" s="1"/>
  <c r="B359" i="9"/>
  <c r="F359" i="9" s="1"/>
  <c r="B358" i="9"/>
  <c r="F358" i="9" s="1"/>
  <c r="B357" i="9"/>
  <c r="F357" i="9" s="1"/>
  <c r="B356" i="9"/>
  <c r="F356" i="9" s="1"/>
  <c r="B355" i="9"/>
  <c r="F355" i="9" s="1"/>
  <c r="B354" i="9"/>
  <c r="F354" i="9" s="1"/>
  <c r="B353" i="9"/>
  <c r="F353" i="9" s="1"/>
  <c r="B352" i="9"/>
  <c r="F352" i="9" s="1"/>
  <c r="B351" i="9"/>
  <c r="F351" i="9" s="1"/>
  <c r="B350" i="9"/>
  <c r="F350" i="9" s="1"/>
  <c r="B349" i="9"/>
  <c r="F349" i="9" s="1"/>
  <c r="B348" i="9"/>
  <c r="F348" i="9" s="1"/>
  <c r="B347" i="9"/>
  <c r="F347" i="9" s="1"/>
  <c r="B346" i="9"/>
  <c r="F346" i="9" s="1"/>
  <c r="B345" i="9"/>
  <c r="F345" i="9" s="1"/>
  <c r="B344" i="9"/>
  <c r="F344" i="9" s="1"/>
  <c r="B343" i="9"/>
  <c r="F343" i="9" s="1"/>
  <c r="B342" i="9"/>
  <c r="F342" i="9" s="1"/>
  <c r="B341" i="9"/>
  <c r="F341" i="9" s="1"/>
  <c r="B340" i="9"/>
  <c r="F340" i="9" s="1"/>
  <c r="B339" i="9"/>
  <c r="F339" i="9" s="1"/>
  <c r="B338" i="9"/>
  <c r="F338" i="9" s="1"/>
  <c r="B337" i="9"/>
  <c r="F337" i="9" s="1"/>
  <c r="B336" i="9"/>
  <c r="F336" i="9" s="1"/>
  <c r="B335" i="9"/>
  <c r="F335" i="9" s="1"/>
  <c r="B334" i="9"/>
  <c r="F334" i="9" s="1"/>
  <c r="B333" i="9"/>
  <c r="F333" i="9" s="1"/>
  <c r="B332" i="9"/>
  <c r="F332" i="9" s="1"/>
  <c r="B331" i="9"/>
  <c r="F331" i="9" s="1"/>
  <c r="B330" i="9"/>
  <c r="F330" i="9" s="1"/>
  <c r="B329" i="9"/>
  <c r="F329" i="9" s="1"/>
  <c r="B328" i="9"/>
  <c r="F328" i="9" s="1"/>
  <c r="B327" i="9"/>
  <c r="F327" i="9" s="1"/>
  <c r="B326" i="9"/>
  <c r="F326" i="9" s="1"/>
  <c r="B325" i="9"/>
  <c r="F325" i="9" s="1"/>
  <c r="B324" i="9"/>
  <c r="F324" i="9" s="1"/>
  <c r="B323" i="9"/>
  <c r="F323" i="9" s="1"/>
  <c r="B322" i="9"/>
  <c r="F322" i="9" s="1"/>
  <c r="B321" i="9"/>
  <c r="F321" i="9" s="1"/>
  <c r="B320" i="9"/>
  <c r="F320" i="9" s="1"/>
  <c r="B319" i="9"/>
  <c r="F319" i="9" s="1"/>
  <c r="B318" i="9"/>
  <c r="F318" i="9" s="1"/>
  <c r="B317" i="9"/>
  <c r="F317" i="9" s="1"/>
  <c r="B316" i="9"/>
  <c r="F316" i="9" s="1"/>
  <c r="B315" i="9"/>
  <c r="F315" i="9" s="1"/>
  <c r="B314" i="9"/>
  <c r="F314" i="9" s="1"/>
  <c r="B313" i="9"/>
  <c r="F313" i="9" s="1"/>
  <c r="B312" i="9"/>
  <c r="F312" i="9" s="1"/>
  <c r="B311" i="9"/>
  <c r="F311" i="9" s="1"/>
  <c r="B310" i="9"/>
  <c r="F310" i="9" s="1"/>
  <c r="B309" i="9"/>
  <c r="F309" i="9" s="1"/>
  <c r="B308" i="9"/>
  <c r="F308" i="9" s="1"/>
  <c r="B307" i="9"/>
  <c r="F307" i="9" s="1"/>
  <c r="B306" i="9"/>
  <c r="F306" i="9" s="1"/>
  <c r="B305" i="9"/>
  <c r="F305" i="9" s="1"/>
  <c r="B304" i="9"/>
  <c r="F304" i="9" s="1"/>
  <c r="B303" i="9"/>
  <c r="F303" i="9" s="1"/>
  <c r="B302" i="9"/>
  <c r="F302" i="9" s="1"/>
  <c r="B301" i="9"/>
  <c r="F301" i="9" s="1"/>
  <c r="B300" i="9"/>
  <c r="F300" i="9" s="1"/>
  <c r="B299" i="9"/>
  <c r="F299" i="9" s="1"/>
  <c r="B298" i="9"/>
  <c r="F298" i="9" s="1"/>
  <c r="B297" i="9"/>
  <c r="F297" i="9" s="1"/>
  <c r="B296" i="9"/>
  <c r="F296" i="9" s="1"/>
  <c r="B295" i="9"/>
  <c r="F295" i="9" s="1"/>
  <c r="B294" i="9"/>
  <c r="F294" i="9" s="1"/>
  <c r="B293" i="9"/>
  <c r="F293" i="9" s="1"/>
  <c r="B292" i="9"/>
  <c r="F292" i="9" s="1"/>
  <c r="B291" i="9"/>
  <c r="F291" i="9" s="1"/>
  <c r="B290" i="9"/>
  <c r="F290" i="9" s="1"/>
  <c r="B289" i="9"/>
  <c r="F289" i="9" s="1"/>
  <c r="B288" i="9"/>
  <c r="F288" i="9" s="1"/>
  <c r="B287" i="9"/>
  <c r="F287" i="9" s="1"/>
  <c r="B286" i="9"/>
  <c r="F286" i="9" s="1"/>
  <c r="B285" i="9"/>
  <c r="F285" i="9" s="1"/>
  <c r="B284" i="9"/>
  <c r="F284" i="9" s="1"/>
  <c r="B283" i="9"/>
  <c r="F283" i="9" s="1"/>
  <c r="B282" i="9"/>
  <c r="F282" i="9" s="1"/>
  <c r="B281" i="9"/>
  <c r="F281" i="9" s="1"/>
  <c r="B280" i="9"/>
  <c r="F280" i="9" s="1"/>
  <c r="B279" i="9"/>
  <c r="F279" i="9" s="1"/>
  <c r="B278" i="9"/>
  <c r="F278" i="9" s="1"/>
  <c r="B277" i="9"/>
  <c r="F277" i="9" s="1"/>
  <c r="B276" i="9"/>
  <c r="F276" i="9" s="1"/>
  <c r="B275" i="9"/>
  <c r="F275" i="9" s="1"/>
  <c r="B274" i="9"/>
  <c r="F274" i="9" s="1"/>
  <c r="B273" i="9"/>
  <c r="F273" i="9" s="1"/>
  <c r="B272" i="9"/>
  <c r="F272" i="9" s="1"/>
  <c r="B271" i="9"/>
  <c r="F271" i="9" s="1"/>
  <c r="B270" i="9"/>
  <c r="F270" i="9" s="1"/>
  <c r="B269" i="9"/>
  <c r="F269" i="9" s="1"/>
  <c r="B268" i="9"/>
  <c r="F268" i="9" s="1"/>
  <c r="B267" i="9"/>
  <c r="F267" i="9" s="1"/>
  <c r="B266" i="9"/>
  <c r="F266" i="9" s="1"/>
  <c r="B265" i="9"/>
  <c r="F265" i="9" s="1"/>
  <c r="B264" i="9"/>
  <c r="F264" i="9" s="1"/>
  <c r="B263" i="9"/>
  <c r="F263" i="9" s="1"/>
  <c r="B262" i="9"/>
  <c r="F262" i="9" s="1"/>
  <c r="B261" i="9"/>
  <c r="F261" i="9" s="1"/>
  <c r="B260" i="9"/>
  <c r="F260" i="9" s="1"/>
  <c r="B259" i="9"/>
  <c r="F259" i="9" s="1"/>
  <c r="B258" i="9"/>
  <c r="F258" i="9" s="1"/>
  <c r="B257" i="9"/>
  <c r="F257" i="9" s="1"/>
  <c r="B256" i="9"/>
  <c r="F256" i="9" s="1"/>
  <c r="B255" i="9"/>
  <c r="F255" i="9" s="1"/>
  <c r="B254" i="9"/>
  <c r="F254" i="9" s="1"/>
  <c r="B253" i="9"/>
  <c r="F253" i="9" s="1"/>
  <c r="B252" i="9"/>
  <c r="F252" i="9" s="1"/>
  <c r="B251" i="9"/>
  <c r="F251" i="9" s="1"/>
  <c r="B250" i="9"/>
  <c r="F250" i="9" s="1"/>
  <c r="B249" i="9"/>
  <c r="F249" i="9" s="1"/>
  <c r="B248" i="9"/>
  <c r="F248" i="9" s="1"/>
  <c r="B247" i="9"/>
  <c r="F247" i="9" s="1"/>
  <c r="B246" i="9"/>
  <c r="F246" i="9" s="1"/>
  <c r="B245" i="9"/>
  <c r="F245" i="9" s="1"/>
  <c r="B244" i="9"/>
  <c r="F244" i="9" s="1"/>
  <c r="B243" i="9"/>
  <c r="F243" i="9" s="1"/>
  <c r="B242" i="9"/>
  <c r="F242" i="9" s="1"/>
  <c r="B241" i="9"/>
  <c r="F241" i="9" s="1"/>
  <c r="B240" i="9"/>
  <c r="F240" i="9" s="1"/>
  <c r="B239" i="9"/>
  <c r="F239" i="9" s="1"/>
  <c r="B238" i="9"/>
  <c r="F238" i="9" s="1"/>
  <c r="B237" i="9"/>
  <c r="F237" i="9" s="1"/>
  <c r="B236" i="9"/>
  <c r="F236" i="9" s="1"/>
  <c r="B235" i="9"/>
  <c r="F235" i="9" s="1"/>
  <c r="B234" i="9"/>
  <c r="F234" i="9" s="1"/>
  <c r="B233" i="9"/>
  <c r="F233" i="9" s="1"/>
  <c r="B232" i="9"/>
  <c r="F232" i="9" s="1"/>
  <c r="B231" i="9"/>
  <c r="F231" i="9" s="1"/>
  <c r="B230" i="9"/>
  <c r="F230" i="9" s="1"/>
  <c r="B229" i="9"/>
  <c r="F229" i="9" s="1"/>
  <c r="B228" i="9"/>
  <c r="F228" i="9" s="1"/>
  <c r="B227" i="9"/>
  <c r="F227" i="9" s="1"/>
  <c r="B226" i="9"/>
  <c r="F226" i="9" s="1"/>
  <c r="B225" i="9"/>
  <c r="F225" i="9" s="1"/>
  <c r="B224" i="9"/>
  <c r="F224" i="9" s="1"/>
  <c r="B223" i="9"/>
  <c r="F223" i="9" s="1"/>
  <c r="B222" i="9"/>
  <c r="F222" i="9" s="1"/>
  <c r="B221" i="9"/>
  <c r="F221" i="9" s="1"/>
  <c r="B220" i="9"/>
  <c r="F220" i="9" s="1"/>
  <c r="B219" i="9"/>
  <c r="F219" i="9" s="1"/>
  <c r="B218" i="9"/>
  <c r="F218" i="9" s="1"/>
  <c r="B217" i="9"/>
  <c r="F217" i="9" s="1"/>
  <c r="B216" i="9"/>
  <c r="F216" i="9" s="1"/>
  <c r="B215" i="9"/>
  <c r="F215" i="9" s="1"/>
  <c r="B214" i="9"/>
  <c r="F214" i="9" s="1"/>
  <c r="B213" i="9"/>
  <c r="F213" i="9" s="1"/>
  <c r="B212" i="9"/>
  <c r="F212" i="9" s="1"/>
  <c r="B211" i="9"/>
  <c r="F211" i="9" s="1"/>
  <c r="B210" i="9"/>
  <c r="F210" i="9" s="1"/>
  <c r="B209" i="9"/>
  <c r="F209" i="9" s="1"/>
  <c r="B208" i="9"/>
  <c r="F208" i="9" s="1"/>
  <c r="B207" i="9"/>
  <c r="F207" i="9" s="1"/>
  <c r="B206" i="9"/>
  <c r="F206" i="9" s="1"/>
  <c r="B205" i="9"/>
  <c r="F205" i="9" s="1"/>
  <c r="B204" i="9"/>
  <c r="F204" i="9" s="1"/>
  <c r="B203" i="9"/>
  <c r="F203" i="9" s="1"/>
  <c r="B202" i="9"/>
  <c r="F202" i="9" s="1"/>
  <c r="B201" i="9"/>
  <c r="F201" i="9" s="1"/>
  <c r="B200" i="9"/>
  <c r="F200" i="9" s="1"/>
  <c r="B199" i="9"/>
  <c r="F199" i="9" s="1"/>
  <c r="B198" i="9"/>
  <c r="F198" i="9" s="1"/>
  <c r="B197" i="9"/>
  <c r="F197" i="9" s="1"/>
  <c r="B196" i="9"/>
  <c r="F196" i="9" s="1"/>
  <c r="B195" i="9"/>
  <c r="F195" i="9" s="1"/>
  <c r="B194" i="9"/>
  <c r="F194" i="9" s="1"/>
  <c r="B193" i="9"/>
  <c r="F193" i="9" s="1"/>
  <c r="B192" i="9"/>
  <c r="F192" i="9" s="1"/>
  <c r="B191" i="9"/>
  <c r="F191" i="9" s="1"/>
  <c r="B190" i="9"/>
  <c r="F190" i="9" s="1"/>
  <c r="B189" i="9"/>
  <c r="F189" i="9" s="1"/>
  <c r="B188" i="9"/>
  <c r="F188" i="9" s="1"/>
  <c r="B187" i="9"/>
  <c r="F187" i="9" s="1"/>
  <c r="B186" i="9"/>
  <c r="F186" i="9" s="1"/>
  <c r="B185" i="9"/>
  <c r="F185" i="9" s="1"/>
  <c r="B184" i="9"/>
  <c r="F184" i="9" s="1"/>
  <c r="B183" i="9"/>
  <c r="F183" i="9" s="1"/>
  <c r="B182" i="9"/>
  <c r="F182" i="9" s="1"/>
  <c r="B181" i="9"/>
  <c r="F181" i="9" s="1"/>
  <c r="B180" i="9"/>
  <c r="F180" i="9" s="1"/>
  <c r="B179" i="9"/>
  <c r="F179" i="9" s="1"/>
  <c r="B178" i="9"/>
  <c r="F178" i="9" s="1"/>
  <c r="B177" i="9"/>
  <c r="F177" i="9" s="1"/>
  <c r="B176" i="9"/>
  <c r="F176" i="9" s="1"/>
  <c r="B175" i="9"/>
  <c r="F175" i="9" s="1"/>
  <c r="B174" i="9"/>
  <c r="F174" i="9" s="1"/>
  <c r="B173" i="9"/>
  <c r="F173" i="9" s="1"/>
  <c r="B172" i="9"/>
  <c r="F172" i="9" s="1"/>
  <c r="B171" i="9"/>
  <c r="F171" i="9" s="1"/>
  <c r="B170" i="9"/>
  <c r="F170" i="9" s="1"/>
  <c r="B169" i="9"/>
  <c r="F169" i="9" s="1"/>
  <c r="B168" i="9"/>
  <c r="F168" i="9" s="1"/>
  <c r="B167" i="9"/>
  <c r="F167" i="9" s="1"/>
  <c r="B166" i="9"/>
  <c r="F166" i="9" s="1"/>
  <c r="B165" i="9"/>
  <c r="F165" i="9" s="1"/>
  <c r="B164" i="9"/>
  <c r="F164" i="9" s="1"/>
  <c r="B163" i="9"/>
  <c r="F163" i="9" s="1"/>
  <c r="B162" i="9"/>
  <c r="F162" i="9" s="1"/>
  <c r="B161" i="9"/>
  <c r="F161" i="9" s="1"/>
  <c r="B160" i="9"/>
  <c r="F160" i="9" s="1"/>
  <c r="B159" i="9"/>
  <c r="F159" i="9" s="1"/>
  <c r="B158" i="9"/>
  <c r="F158" i="9" s="1"/>
  <c r="B157" i="9"/>
  <c r="F157" i="9" s="1"/>
  <c r="B156" i="9"/>
  <c r="F156" i="9" s="1"/>
  <c r="B155" i="9"/>
  <c r="F155" i="9" s="1"/>
  <c r="B154" i="9"/>
  <c r="F154" i="9" s="1"/>
  <c r="B153" i="9"/>
  <c r="F153" i="9" s="1"/>
  <c r="B152" i="9"/>
  <c r="F152" i="9" s="1"/>
  <c r="B151" i="9"/>
  <c r="F151" i="9" s="1"/>
  <c r="B150" i="9"/>
  <c r="F150" i="9" s="1"/>
  <c r="B149" i="9"/>
  <c r="F149" i="9" s="1"/>
  <c r="B148" i="9"/>
  <c r="F148" i="9" s="1"/>
  <c r="B147" i="9"/>
  <c r="F147" i="9" s="1"/>
  <c r="B146" i="9"/>
  <c r="F146" i="9" s="1"/>
  <c r="B145" i="9"/>
  <c r="F145" i="9" s="1"/>
  <c r="B144" i="9"/>
  <c r="F144" i="9" s="1"/>
  <c r="B143" i="9"/>
  <c r="F143" i="9" s="1"/>
  <c r="B142" i="9"/>
  <c r="F142" i="9" s="1"/>
  <c r="B141" i="9"/>
  <c r="F141" i="9" s="1"/>
  <c r="B140" i="9"/>
  <c r="F140" i="9" s="1"/>
  <c r="B139" i="9"/>
  <c r="F139" i="9" s="1"/>
  <c r="B138" i="9"/>
  <c r="F138" i="9" s="1"/>
  <c r="B137" i="9"/>
  <c r="F137" i="9" s="1"/>
  <c r="B136" i="9"/>
  <c r="F136" i="9" s="1"/>
  <c r="B135" i="9"/>
  <c r="F135" i="9" s="1"/>
  <c r="B134" i="9"/>
  <c r="F134" i="9" s="1"/>
  <c r="B133" i="9"/>
  <c r="F133" i="9" s="1"/>
  <c r="B132" i="9"/>
  <c r="F132" i="9" s="1"/>
  <c r="B131" i="9"/>
  <c r="F131" i="9" s="1"/>
  <c r="B130" i="9"/>
  <c r="F130" i="9" s="1"/>
  <c r="B129" i="9"/>
  <c r="F129" i="9" s="1"/>
  <c r="B128" i="9"/>
  <c r="F128" i="9" s="1"/>
  <c r="B127" i="9"/>
  <c r="F127" i="9" s="1"/>
  <c r="B126" i="9"/>
  <c r="F126" i="9" s="1"/>
  <c r="B125" i="9"/>
  <c r="F125" i="9" s="1"/>
  <c r="B124" i="9"/>
  <c r="F124" i="9" s="1"/>
  <c r="B123" i="9"/>
  <c r="F123" i="9" s="1"/>
  <c r="B122" i="9"/>
  <c r="F122" i="9" s="1"/>
  <c r="B121" i="9"/>
  <c r="F121" i="9" s="1"/>
  <c r="B120" i="9"/>
  <c r="F120" i="9" s="1"/>
  <c r="B119" i="9"/>
  <c r="F119" i="9" s="1"/>
  <c r="B118" i="9"/>
  <c r="F118" i="9" s="1"/>
  <c r="B117" i="9"/>
  <c r="F117" i="9" s="1"/>
  <c r="B116" i="9"/>
  <c r="F116" i="9" s="1"/>
  <c r="B115" i="9"/>
  <c r="F115" i="9" s="1"/>
  <c r="B114" i="9"/>
  <c r="F114" i="9" s="1"/>
  <c r="B113" i="9"/>
  <c r="F113" i="9" s="1"/>
  <c r="B112" i="9"/>
  <c r="F112" i="9" s="1"/>
  <c r="B111" i="9"/>
  <c r="F111" i="9" s="1"/>
  <c r="B110" i="9"/>
  <c r="F110" i="9" s="1"/>
  <c r="B109" i="9"/>
  <c r="F109" i="9" s="1"/>
  <c r="B108" i="9"/>
  <c r="F108" i="9" s="1"/>
  <c r="B107" i="9"/>
  <c r="F107" i="9" s="1"/>
  <c r="B106" i="9"/>
  <c r="F106" i="9" s="1"/>
  <c r="B105" i="9"/>
  <c r="F105" i="9" s="1"/>
  <c r="B104" i="9"/>
  <c r="F104" i="9" s="1"/>
  <c r="B103" i="9"/>
  <c r="F103" i="9" s="1"/>
  <c r="B102" i="9"/>
  <c r="F102" i="9" s="1"/>
  <c r="B101" i="9"/>
  <c r="F101" i="9" s="1"/>
  <c r="B100" i="9"/>
  <c r="F100" i="9" s="1"/>
  <c r="B99" i="9"/>
  <c r="F99" i="9" s="1"/>
  <c r="B98" i="9"/>
  <c r="F98" i="9" s="1"/>
  <c r="B97" i="9"/>
  <c r="F97" i="9" s="1"/>
  <c r="B96" i="9"/>
  <c r="F96" i="9" s="1"/>
  <c r="B95" i="9"/>
  <c r="F95" i="9" s="1"/>
  <c r="B94" i="9"/>
  <c r="F94" i="9" s="1"/>
  <c r="B93" i="9"/>
  <c r="F93" i="9" s="1"/>
  <c r="B92" i="9"/>
  <c r="F92" i="9" s="1"/>
  <c r="B91" i="9"/>
  <c r="F91" i="9" s="1"/>
  <c r="B90" i="9"/>
  <c r="F90" i="9" s="1"/>
  <c r="B89" i="9"/>
  <c r="F89" i="9" s="1"/>
  <c r="B88" i="9"/>
  <c r="F88" i="9" s="1"/>
  <c r="B87" i="9"/>
  <c r="F87" i="9" s="1"/>
  <c r="B86" i="9"/>
  <c r="F86" i="9" s="1"/>
  <c r="B85" i="9"/>
  <c r="F85" i="9" s="1"/>
  <c r="B84" i="9"/>
  <c r="F84" i="9" s="1"/>
  <c r="B83" i="9"/>
  <c r="F83" i="9" s="1"/>
  <c r="B82" i="9"/>
  <c r="F82" i="9" s="1"/>
  <c r="B81" i="9"/>
  <c r="F81" i="9" s="1"/>
  <c r="B80" i="9"/>
  <c r="F80" i="9" s="1"/>
  <c r="B79" i="9"/>
  <c r="F79" i="9" s="1"/>
  <c r="B78" i="9"/>
  <c r="F78" i="9" s="1"/>
  <c r="B77" i="9"/>
  <c r="F77" i="9" s="1"/>
  <c r="B76" i="9"/>
  <c r="F76" i="9" s="1"/>
  <c r="B75" i="9"/>
  <c r="F75" i="9" s="1"/>
  <c r="B74" i="9"/>
  <c r="F74" i="9" s="1"/>
  <c r="B73" i="9"/>
  <c r="F73" i="9" s="1"/>
  <c r="B72" i="9"/>
  <c r="F72" i="9" s="1"/>
  <c r="B71" i="9"/>
  <c r="F71" i="9" s="1"/>
  <c r="B70" i="9"/>
  <c r="F70" i="9" s="1"/>
  <c r="B69" i="9"/>
  <c r="F69" i="9" s="1"/>
  <c r="B68" i="9"/>
  <c r="F68" i="9" s="1"/>
  <c r="B67" i="9"/>
  <c r="F67" i="9" s="1"/>
  <c r="B66" i="9"/>
  <c r="F66" i="9" s="1"/>
  <c r="B65" i="9"/>
  <c r="F65" i="9" s="1"/>
  <c r="B64" i="9"/>
  <c r="F64" i="9" s="1"/>
  <c r="B63" i="9"/>
  <c r="F63" i="9" s="1"/>
  <c r="B62" i="9"/>
  <c r="F62" i="9" s="1"/>
  <c r="B61" i="9"/>
  <c r="F61" i="9" s="1"/>
  <c r="B60" i="9"/>
  <c r="F60" i="9" s="1"/>
  <c r="B59" i="9"/>
  <c r="F59" i="9" s="1"/>
  <c r="B58" i="9"/>
  <c r="F58" i="9" s="1"/>
  <c r="B57" i="9"/>
  <c r="F57" i="9" s="1"/>
  <c r="B56" i="9"/>
  <c r="F56" i="9" s="1"/>
  <c r="B55" i="9"/>
  <c r="F55" i="9" s="1"/>
  <c r="B54" i="9"/>
  <c r="F54" i="9" s="1"/>
  <c r="B53" i="9"/>
  <c r="F53" i="9" s="1"/>
  <c r="B52" i="9"/>
  <c r="F52" i="9" s="1"/>
  <c r="B51" i="9"/>
  <c r="F51" i="9" s="1"/>
  <c r="B50" i="9"/>
  <c r="F50" i="9" s="1"/>
  <c r="B49" i="9"/>
  <c r="F49" i="9" s="1"/>
  <c r="B48" i="9"/>
  <c r="F48" i="9" s="1"/>
  <c r="B47" i="9"/>
  <c r="F47" i="9" s="1"/>
  <c r="B46" i="9"/>
  <c r="F46" i="9" s="1"/>
  <c r="B45" i="9"/>
  <c r="F45" i="9" s="1"/>
  <c r="B44" i="9"/>
  <c r="F44" i="9" s="1"/>
  <c r="B43" i="9"/>
  <c r="F43" i="9" s="1"/>
  <c r="B42" i="9"/>
  <c r="F42" i="9" s="1"/>
  <c r="B41" i="9"/>
  <c r="F41" i="9" s="1"/>
  <c r="B40" i="9"/>
  <c r="F40" i="9" s="1"/>
  <c r="B39" i="9"/>
  <c r="F39" i="9" s="1"/>
  <c r="B38" i="9"/>
  <c r="F38" i="9" s="1"/>
  <c r="B37" i="9"/>
  <c r="F37" i="9" s="1"/>
  <c r="B36" i="9"/>
  <c r="F36" i="9" s="1"/>
  <c r="B35" i="9"/>
  <c r="F35" i="9" s="1"/>
  <c r="B34" i="9"/>
  <c r="F34" i="9" s="1"/>
  <c r="B33" i="9"/>
  <c r="F33" i="9" s="1"/>
  <c r="B32" i="9"/>
  <c r="F32" i="9" s="1"/>
  <c r="B31" i="9"/>
  <c r="F31" i="9" s="1"/>
  <c r="B30" i="9"/>
  <c r="F30" i="9" s="1"/>
  <c r="B29" i="9"/>
  <c r="F29" i="9" s="1"/>
  <c r="B28" i="9"/>
  <c r="F28" i="9" s="1"/>
  <c r="B27" i="9"/>
  <c r="F27" i="9" s="1"/>
  <c r="B26" i="9"/>
  <c r="F26" i="9" s="1"/>
  <c r="B25" i="9"/>
  <c r="F25" i="9" s="1"/>
  <c r="B24" i="9"/>
  <c r="F24" i="9" s="1"/>
  <c r="B23" i="9"/>
  <c r="F23" i="9" s="1"/>
  <c r="B22" i="9"/>
  <c r="F22" i="9" s="1"/>
  <c r="B21" i="9"/>
  <c r="F21" i="9" s="1"/>
  <c r="B20" i="9"/>
  <c r="F20" i="9" s="1"/>
  <c r="B19" i="9"/>
  <c r="F19" i="9" s="1"/>
  <c r="B18" i="9"/>
  <c r="F18" i="9" s="1"/>
  <c r="B17" i="9"/>
  <c r="F17" i="9" s="1"/>
  <c r="B16" i="9"/>
  <c r="F16" i="9" s="1"/>
  <c r="B15" i="9"/>
  <c r="F15" i="9" s="1"/>
  <c r="B14" i="9"/>
  <c r="F14" i="9" s="1"/>
  <c r="B13" i="9"/>
  <c r="F13" i="9" s="1"/>
  <c r="B12" i="9"/>
  <c r="F12" i="9" s="1"/>
  <c r="B11" i="9"/>
  <c r="F11" i="9" s="1"/>
  <c r="B10" i="9"/>
  <c r="F10" i="9" s="1"/>
  <c r="B9" i="9"/>
  <c r="F9" i="9" s="1"/>
  <c r="B8" i="9"/>
  <c r="F8" i="9" s="1"/>
  <c r="B7" i="9"/>
  <c r="F7" i="9" s="1"/>
  <c r="B6" i="9"/>
  <c r="F6" i="9" s="1"/>
  <c r="B5" i="9"/>
  <c r="F5" i="9" s="1"/>
  <c r="B4" i="9"/>
  <c r="F4" i="9" s="1"/>
  <c r="B3" i="9"/>
  <c r="F3" i="9" s="1"/>
  <c r="B2" i="9"/>
  <c r="F2" i="9" s="1"/>
  <c r="A690" i="9"/>
  <c r="A689" i="9"/>
  <c r="A688" i="9"/>
  <c r="A687" i="9"/>
  <c r="A686" i="9"/>
  <c r="A685" i="9"/>
  <c r="A684" i="9"/>
  <c r="A683" i="9"/>
  <c r="A682" i="9"/>
  <c r="A681" i="9"/>
  <c r="A680" i="9"/>
  <c r="A679" i="9"/>
  <c r="A678" i="9"/>
  <c r="A677" i="9"/>
  <c r="A676" i="9"/>
  <c r="A675" i="9"/>
  <c r="A674" i="9"/>
  <c r="A673" i="9"/>
  <c r="A672" i="9"/>
  <c r="A671" i="9"/>
  <c r="A670" i="9"/>
  <c r="A669" i="9"/>
  <c r="A668" i="9"/>
  <c r="A667" i="9"/>
  <c r="A666" i="9"/>
  <c r="A665" i="9"/>
  <c r="A664" i="9"/>
  <c r="A663" i="9"/>
  <c r="A662" i="9"/>
  <c r="A661" i="9"/>
  <c r="A660" i="9"/>
  <c r="A659" i="9"/>
  <c r="A658" i="9"/>
  <c r="A657" i="9"/>
  <c r="A656" i="9"/>
  <c r="A655" i="9"/>
  <c r="A654" i="9"/>
  <c r="A653" i="9"/>
  <c r="A652" i="9"/>
  <c r="A651" i="9"/>
  <c r="A650" i="9"/>
  <c r="A649" i="9"/>
  <c r="A648" i="9"/>
  <c r="A647" i="9"/>
  <c r="A646" i="9"/>
  <c r="A645" i="9"/>
  <c r="A644" i="9"/>
  <c r="A643" i="9"/>
  <c r="A642" i="9"/>
  <c r="A641" i="9"/>
  <c r="A640" i="9"/>
  <c r="A639" i="9"/>
  <c r="A638" i="9"/>
  <c r="A637" i="9"/>
  <c r="A636" i="9"/>
  <c r="A635" i="9"/>
  <c r="A634" i="9"/>
  <c r="A633" i="9"/>
  <c r="A632" i="9"/>
  <c r="A631" i="9"/>
  <c r="A630" i="9"/>
  <c r="A629" i="9"/>
  <c r="A628" i="9"/>
  <c r="A627" i="9"/>
  <c r="A626" i="9"/>
  <c r="A625" i="9"/>
  <c r="A624" i="9"/>
  <c r="A623" i="9"/>
  <c r="A622" i="9"/>
  <c r="A621" i="9"/>
  <c r="A620" i="9"/>
  <c r="A619" i="9"/>
  <c r="A618" i="9"/>
  <c r="A617" i="9"/>
  <c r="A616" i="9"/>
  <c r="A615" i="9"/>
  <c r="A614" i="9"/>
  <c r="A613" i="9"/>
  <c r="A612" i="9"/>
  <c r="A611" i="9"/>
  <c r="A610" i="9"/>
  <c r="A609" i="9"/>
  <c r="A608" i="9"/>
  <c r="A607" i="9"/>
  <c r="A606" i="9"/>
  <c r="A605" i="9"/>
  <c r="A604" i="9"/>
  <c r="A603" i="9"/>
  <c r="A602" i="9"/>
  <c r="A601" i="9"/>
  <c r="A600" i="9"/>
  <c r="A599" i="9"/>
  <c r="A598" i="9"/>
  <c r="A597" i="9"/>
  <c r="A596" i="9"/>
  <c r="A595" i="9"/>
  <c r="A594" i="9"/>
  <c r="A593" i="9"/>
  <c r="A592" i="9"/>
  <c r="A591" i="9"/>
  <c r="A590" i="9"/>
  <c r="A589" i="9"/>
  <c r="A588" i="9"/>
  <c r="A587" i="9"/>
  <c r="A586" i="9"/>
  <c r="A585" i="9"/>
  <c r="A584" i="9"/>
  <c r="A583" i="9"/>
  <c r="A582" i="9"/>
  <c r="A581" i="9"/>
  <c r="A580" i="9"/>
  <c r="A579" i="9"/>
  <c r="A578" i="9"/>
  <c r="A577" i="9"/>
  <c r="A576" i="9"/>
  <c r="A575" i="9"/>
  <c r="A574" i="9"/>
  <c r="A573" i="9"/>
  <c r="A572" i="9"/>
  <c r="A571" i="9"/>
  <c r="A570" i="9"/>
  <c r="A569" i="9"/>
  <c r="A568" i="9"/>
  <c r="A567" i="9"/>
  <c r="A566" i="9"/>
  <c r="A565" i="9"/>
  <c r="A564" i="9"/>
  <c r="A563" i="9"/>
  <c r="A562" i="9"/>
  <c r="A561" i="9"/>
  <c r="A560" i="9"/>
  <c r="A559" i="9"/>
  <c r="A558" i="9"/>
  <c r="A557" i="9"/>
  <c r="A556" i="9"/>
  <c r="A555" i="9"/>
  <c r="A554" i="9"/>
  <c r="A553" i="9"/>
  <c r="A552" i="9"/>
  <c r="A551" i="9"/>
  <c r="A550" i="9"/>
  <c r="A549" i="9"/>
  <c r="A548" i="9"/>
  <c r="A547" i="9"/>
  <c r="A546" i="9"/>
  <c r="A545" i="9"/>
  <c r="A544" i="9"/>
  <c r="A543" i="9"/>
  <c r="A542" i="9"/>
  <c r="A541" i="9"/>
  <c r="A540" i="9"/>
  <c r="A539" i="9"/>
  <c r="A538" i="9"/>
  <c r="A537" i="9"/>
  <c r="A536" i="9"/>
  <c r="A535" i="9"/>
  <c r="A534" i="9"/>
  <c r="A533" i="9"/>
  <c r="A532" i="9"/>
  <c r="A531" i="9"/>
  <c r="A530" i="9"/>
  <c r="A529" i="9"/>
  <c r="A528" i="9"/>
  <c r="A527" i="9"/>
  <c r="A526" i="9"/>
  <c r="A525" i="9"/>
  <c r="A524" i="9"/>
  <c r="A523" i="9"/>
  <c r="A522" i="9"/>
  <c r="A521" i="9"/>
  <c r="A520" i="9"/>
  <c r="A519" i="9"/>
  <c r="A518" i="9"/>
  <c r="A517" i="9"/>
  <c r="A516" i="9"/>
  <c r="A515" i="9"/>
  <c r="A514" i="9"/>
  <c r="A513" i="9"/>
  <c r="A512" i="9"/>
  <c r="A511" i="9"/>
  <c r="A510" i="9"/>
  <c r="A509" i="9"/>
  <c r="A508" i="9"/>
  <c r="A507" i="9"/>
  <c r="A506" i="9"/>
  <c r="A505" i="9"/>
  <c r="A504" i="9"/>
  <c r="A503" i="9"/>
  <c r="A502" i="9"/>
  <c r="A501" i="9"/>
  <c r="A500" i="9"/>
  <c r="A499" i="9"/>
  <c r="A498" i="9"/>
  <c r="A497" i="9"/>
  <c r="A496" i="9"/>
  <c r="A495" i="9"/>
  <c r="A494" i="9"/>
  <c r="A493" i="9"/>
  <c r="A492" i="9"/>
  <c r="A491" i="9"/>
  <c r="A490" i="9"/>
  <c r="A489" i="9"/>
  <c r="A488" i="9"/>
  <c r="A487" i="9"/>
  <c r="A486" i="9"/>
  <c r="A485" i="9"/>
  <c r="A484" i="9"/>
  <c r="A483" i="9"/>
  <c r="A482" i="9"/>
  <c r="A481" i="9"/>
  <c r="A480" i="9"/>
  <c r="A479" i="9"/>
  <c r="A478" i="9"/>
  <c r="A477" i="9"/>
  <c r="A476" i="9"/>
  <c r="A475" i="9"/>
  <c r="A474" i="9"/>
  <c r="A473" i="9"/>
  <c r="A472" i="9"/>
  <c r="A471" i="9"/>
  <c r="A470" i="9"/>
  <c r="A469" i="9"/>
  <c r="A468" i="9"/>
  <c r="A467" i="9"/>
  <c r="A466" i="9"/>
  <c r="A465" i="9"/>
  <c r="A464" i="9"/>
  <c r="A463" i="9"/>
  <c r="A462" i="9"/>
  <c r="A461" i="9"/>
  <c r="A460" i="9"/>
  <c r="A459" i="9"/>
  <c r="A458" i="9"/>
  <c r="A457" i="9"/>
  <c r="A456" i="9"/>
  <c r="A455" i="9"/>
  <c r="A454" i="9"/>
  <c r="A453" i="9"/>
  <c r="A452" i="9"/>
  <c r="A451" i="9"/>
  <c r="A450" i="9"/>
  <c r="A449" i="9"/>
  <c r="A448" i="9"/>
  <c r="A447" i="9"/>
  <c r="A446" i="9"/>
  <c r="A445" i="9"/>
  <c r="A444" i="9"/>
  <c r="A443" i="9"/>
  <c r="A442" i="9"/>
  <c r="A441" i="9"/>
  <c r="A440" i="9"/>
  <c r="A439" i="9"/>
  <c r="A438" i="9"/>
  <c r="A437" i="9"/>
  <c r="A436" i="9"/>
  <c r="A435" i="9"/>
  <c r="A434" i="9"/>
  <c r="A433" i="9"/>
  <c r="A432" i="9"/>
  <c r="A431" i="9"/>
  <c r="A430" i="9"/>
  <c r="A429" i="9"/>
  <c r="A428" i="9"/>
  <c r="A427" i="9"/>
  <c r="A426" i="9"/>
  <c r="A425" i="9"/>
  <c r="A424" i="9"/>
  <c r="A423" i="9"/>
  <c r="A422" i="9"/>
  <c r="A421" i="9"/>
  <c r="A420" i="9"/>
  <c r="A419" i="9"/>
  <c r="A418" i="9"/>
  <c r="A417" i="9"/>
  <c r="A416" i="9"/>
  <c r="A415" i="9"/>
  <c r="A414" i="9"/>
  <c r="A413" i="9"/>
  <c r="A412" i="9"/>
  <c r="A411" i="9"/>
  <c r="A410" i="9"/>
  <c r="A409" i="9"/>
  <c r="A408" i="9"/>
  <c r="A407" i="9"/>
  <c r="A406" i="9"/>
  <c r="A405" i="9"/>
  <c r="A404" i="9"/>
  <c r="A403" i="9"/>
  <c r="A402" i="9"/>
  <c r="A401" i="9"/>
  <c r="A400" i="9"/>
  <c r="A399" i="9"/>
  <c r="A398" i="9"/>
  <c r="A397" i="9"/>
  <c r="A396" i="9"/>
  <c r="A395" i="9"/>
  <c r="A394" i="9"/>
  <c r="A393" i="9"/>
  <c r="A392" i="9"/>
  <c r="A391" i="9"/>
  <c r="A390" i="9"/>
  <c r="A389" i="9"/>
  <c r="A388" i="9"/>
  <c r="A387" i="9"/>
  <c r="A386" i="9"/>
  <c r="A385" i="9"/>
  <c r="A384" i="9"/>
  <c r="A383" i="9"/>
  <c r="A382" i="9"/>
  <c r="A381" i="9"/>
  <c r="A380" i="9"/>
  <c r="A379" i="9"/>
  <c r="A378" i="9"/>
  <c r="A377" i="9"/>
  <c r="A376" i="9"/>
  <c r="A375" i="9"/>
  <c r="A374" i="9"/>
  <c r="A373" i="9"/>
  <c r="A372" i="9"/>
  <c r="A371" i="9"/>
  <c r="A370" i="9"/>
  <c r="A369" i="9"/>
  <c r="A368" i="9"/>
  <c r="A367" i="9"/>
  <c r="A366" i="9"/>
  <c r="A365" i="9"/>
  <c r="A364" i="9"/>
  <c r="A363" i="9"/>
  <c r="A362" i="9"/>
  <c r="A361" i="9"/>
  <c r="A360" i="9"/>
  <c r="A359" i="9"/>
  <c r="A358" i="9"/>
  <c r="A357" i="9"/>
  <c r="A356" i="9"/>
  <c r="A355" i="9"/>
  <c r="A354" i="9"/>
  <c r="A353" i="9"/>
  <c r="A352" i="9"/>
  <c r="A351" i="9"/>
  <c r="A350" i="9"/>
  <c r="A349" i="9"/>
  <c r="A348" i="9"/>
  <c r="A347" i="9"/>
  <c r="A346" i="9"/>
  <c r="A345" i="9"/>
  <c r="A344" i="9"/>
  <c r="A343" i="9"/>
  <c r="A342" i="9"/>
  <c r="A341" i="9"/>
  <c r="A340" i="9"/>
  <c r="A339" i="9"/>
  <c r="A338" i="9"/>
  <c r="A337" i="9"/>
  <c r="A336" i="9"/>
  <c r="A335" i="9"/>
  <c r="A334" i="9"/>
  <c r="A333" i="9"/>
  <c r="A332" i="9"/>
  <c r="A331" i="9"/>
  <c r="A330" i="9"/>
  <c r="A329" i="9"/>
  <c r="A328" i="9"/>
  <c r="A327" i="9"/>
  <c r="A326" i="9"/>
  <c r="A325" i="9"/>
  <c r="A324" i="9"/>
  <c r="A323" i="9"/>
  <c r="A322" i="9"/>
  <c r="A321" i="9"/>
  <c r="A320" i="9"/>
  <c r="A319" i="9"/>
  <c r="A318" i="9"/>
  <c r="A317" i="9"/>
  <c r="A316" i="9"/>
  <c r="A315" i="9"/>
  <c r="A314" i="9"/>
  <c r="A313" i="9"/>
  <c r="A312" i="9"/>
  <c r="A311" i="9"/>
  <c r="A310" i="9"/>
  <c r="A309" i="9"/>
  <c r="A308" i="9"/>
  <c r="A307" i="9"/>
  <c r="A306" i="9"/>
  <c r="A305" i="9"/>
  <c r="A304" i="9"/>
  <c r="A303" i="9"/>
  <c r="A302" i="9"/>
  <c r="A301" i="9"/>
  <c r="A300" i="9"/>
  <c r="A299" i="9"/>
  <c r="A298" i="9"/>
  <c r="A297" i="9"/>
  <c r="A296" i="9"/>
  <c r="A295" i="9"/>
  <c r="A294" i="9"/>
  <c r="A293" i="9"/>
  <c r="A292" i="9"/>
  <c r="A291" i="9"/>
  <c r="A290" i="9"/>
  <c r="A289" i="9"/>
  <c r="A288" i="9"/>
  <c r="A287" i="9"/>
  <c r="A286" i="9"/>
  <c r="A285" i="9"/>
  <c r="A284" i="9"/>
  <c r="A283" i="9"/>
  <c r="A282" i="9"/>
  <c r="A281" i="9"/>
  <c r="A280" i="9"/>
  <c r="A279" i="9"/>
  <c r="A278" i="9"/>
  <c r="A277" i="9"/>
  <c r="A276" i="9"/>
  <c r="A275" i="9"/>
  <c r="A274" i="9"/>
  <c r="A273" i="9"/>
  <c r="A272" i="9"/>
  <c r="A271" i="9"/>
  <c r="A270" i="9"/>
  <c r="A269" i="9"/>
  <c r="A268" i="9"/>
  <c r="A267" i="9"/>
  <c r="A266" i="9"/>
  <c r="A265" i="9"/>
  <c r="A264" i="9"/>
  <c r="A263" i="9"/>
  <c r="A262" i="9"/>
  <c r="A261" i="9"/>
  <c r="A260" i="9"/>
  <c r="A259" i="9"/>
  <c r="A258" i="9"/>
  <c r="A257" i="9"/>
  <c r="A256" i="9"/>
  <c r="A255" i="9"/>
  <c r="A254" i="9"/>
  <c r="A253" i="9"/>
  <c r="A252" i="9"/>
  <c r="A251" i="9"/>
  <c r="A250" i="9"/>
  <c r="A249" i="9"/>
  <c r="A248" i="9"/>
  <c r="A247" i="9"/>
  <c r="A246" i="9"/>
  <c r="A245" i="9"/>
  <c r="A244" i="9"/>
  <c r="A243" i="9"/>
  <c r="A242" i="9"/>
  <c r="A241" i="9"/>
  <c r="A240" i="9"/>
  <c r="A239" i="9"/>
  <c r="A238" i="9"/>
  <c r="A237" i="9"/>
  <c r="A236" i="9"/>
  <c r="A235" i="9"/>
  <c r="A234" i="9"/>
  <c r="A233" i="9"/>
  <c r="A232" i="9"/>
  <c r="A231" i="9"/>
  <c r="A230" i="9"/>
  <c r="A229" i="9"/>
  <c r="A228" i="9"/>
  <c r="A227" i="9"/>
  <c r="A226" i="9"/>
  <c r="A225" i="9"/>
  <c r="A224" i="9"/>
  <c r="A223" i="9"/>
  <c r="A222" i="9"/>
  <c r="A221" i="9"/>
  <c r="A220" i="9"/>
  <c r="A219" i="9"/>
  <c r="A218" i="9"/>
  <c r="A217" i="9"/>
  <c r="A216" i="9"/>
  <c r="A215" i="9"/>
  <c r="A214" i="9"/>
  <c r="A213" i="9"/>
  <c r="A212" i="9"/>
  <c r="A211" i="9"/>
  <c r="A210" i="9"/>
  <c r="A209" i="9"/>
  <c r="A208" i="9"/>
  <c r="A207" i="9"/>
  <c r="A206" i="9"/>
  <c r="A205" i="9"/>
  <c r="A204" i="9"/>
  <c r="A203" i="9"/>
  <c r="A202" i="9"/>
  <c r="A201" i="9"/>
  <c r="A200" i="9"/>
  <c r="A199" i="9"/>
  <c r="A198" i="9"/>
  <c r="A197" i="9"/>
  <c r="A196" i="9"/>
  <c r="A195" i="9"/>
  <c r="A194" i="9"/>
  <c r="A193" i="9"/>
  <c r="A192" i="9"/>
  <c r="A191" i="9"/>
  <c r="A190" i="9"/>
  <c r="A189" i="9"/>
  <c r="A188" i="9"/>
  <c r="A187" i="9"/>
  <c r="A186" i="9"/>
  <c r="A185" i="9"/>
  <c r="A184" i="9"/>
  <c r="A183" i="9"/>
  <c r="A182" i="9"/>
  <c r="A181" i="9"/>
  <c r="A180" i="9"/>
  <c r="A179" i="9"/>
  <c r="A178" i="9"/>
  <c r="A177" i="9"/>
  <c r="A176" i="9"/>
  <c r="A175" i="9"/>
  <c r="A174" i="9"/>
  <c r="A173" i="9"/>
  <c r="A172" i="9"/>
  <c r="A171" i="9"/>
  <c r="A170" i="9"/>
  <c r="A169" i="9"/>
  <c r="A168" i="9"/>
  <c r="A167" i="9"/>
  <c r="A166" i="9"/>
  <c r="A165" i="9"/>
  <c r="A164" i="9"/>
  <c r="A163" i="9"/>
  <c r="A162" i="9"/>
  <c r="A161" i="9"/>
  <c r="A160" i="9"/>
  <c r="A159" i="9"/>
  <c r="A158" i="9"/>
  <c r="A157" i="9"/>
  <c r="A156" i="9"/>
  <c r="A155" i="9"/>
  <c r="A154" i="9"/>
  <c r="A153" i="9"/>
  <c r="A152" i="9"/>
  <c r="A151" i="9"/>
  <c r="A150" i="9"/>
  <c r="A149" i="9"/>
  <c r="A148" i="9"/>
  <c r="A147" i="9"/>
  <c r="A146" i="9"/>
  <c r="A145" i="9"/>
  <c r="A144" i="9"/>
  <c r="A143" i="9"/>
  <c r="A142" i="9"/>
  <c r="A141" i="9"/>
  <c r="A140" i="9"/>
  <c r="A139" i="9"/>
  <c r="A138" i="9"/>
  <c r="A137" i="9"/>
  <c r="A136" i="9"/>
  <c r="A135" i="9"/>
  <c r="A134" i="9"/>
  <c r="A133" i="9"/>
  <c r="A132" i="9"/>
  <c r="A131" i="9"/>
  <c r="A130" i="9"/>
  <c r="A129" i="9"/>
  <c r="A128" i="9"/>
  <c r="A127" i="9"/>
  <c r="A126" i="9"/>
  <c r="A125" i="9"/>
  <c r="A124" i="9"/>
  <c r="A123" i="9"/>
  <c r="A122" i="9"/>
  <c r="A121" i="9"/>
  <c r="A120" i="9"/>
  <c r="A119" i="9"/>
  <c r="A118" i="9"/>
  <c r="A117" i="9"/>
  <c r="A116" i="9"/>
  <c r="A115" i="9"/>
  <c r="A114" i="9"/>
  <c r="A113" i="9"/>
  <c r="A112" i="9"/>
  <c r="A111" i="9"/>
  <c r="A110" i="9"/>
  <c r="A109" i="9"/>
  <c r="A108" i="9"/>
  <c r="A107" i="9"/>
  <c r="A106" i="9"/>
  <c r="A105" i="9"/>
  <c r="A104" i="9"/>
  <c r="A103" i="9"/>
  <c r="A102" i="9"/>
  <c r="A101" i="9"/>
  <c r="A100" i="9"/>
  <c r="A99" i="9"/>
  <c r="A98" i="9"/>
  <c r="A97" i="9"/>
  <c r="A96" i="9"/>
  <c r="A95" i="9"/>
  <c r="A94" i="9"/>
  <c r="A93" i="9"/>
  <c r="A92" i="9"/>
  <c r="A91" i="9"/>
  <c r="A90" i="9"/>
  <c r="A89" i="9"/>
  <c r="A88" i="9"/>
  <c r="A87" i="9"/>
  <c r="A86" i="9"/>
  <c r="A85" i="9"/>
  <c r="A84" i="9"/>
  <c r="A83" i="9"/>
  <c r="A82" i="9"/>
  <c r="A81" i="9"/>
  <c r="A80" i="9"/>
  <c r="A79" i="9"/>
  <c r="A78" i="9"/>
  <c r="A77" i="9"/>
  <c r="A76" i="9"/>
  <c r="A75" i="9"/>
  <c r="A74" i="9"/>
  <c r="A73" i="9"/>
  <c r="A72" i="9"/>
  <c r="A71" i="9"/>
  <c r="A70" i="9"/>
  <c r="A69" i="9"/>
  <c r="A68" i="9"/>
  <c r="A67" i="9"/>
  <c r="A66" i="9"/>
  <c r="A65" i="9"/>
  <c r="A64" i="9"/>
  <c r="A63" i="9"/>
  <c r="A62" i="9"/>
  <c r="A61" i="9"/>
  <c r="A60" i="9"/>
  <c r="A59" i="9"/>
  <c r="A58" i="9"/>
  <c r="A57" i="9"/>
  <c r="A56" i="9"/>
  <c r="A55" i="9"/>
  <c r="A54" i="9"/>
  <c r="A53" i="9"/>
  <c r="A52" i="9"/>
  <c r="A51" i="9"/>
  <c r="A50" i="9"/>
  <c r="A49" i="9"/>
  <c r="A48" i="9"/>
  <c r="A47" i="9"/>
  <c r="A46" i="9"/>
  <c r="A45" i="9"/>
  <c r="A44" i="9"/>
  <c r="A43" i="9"/>
  <c r="A42" i="9"/>
  <c r="A41" i="9"/>
  <c r="A40" i="9"/>
  <c r="A39" i="9"/>
  <c r="A38" i="9"/>
  <c r="A37" i="9"/>
  <c r="A36" i="9"/>
  <c r="A35" i="9"/>
  <c r="A34" i="9"/>
  <c r="A33" i="9"/>
  <c r="A32" i="9"/>
  <c r="A31" i="9"/>
  <c r="A30" i="9"/>
  <c r="A29" i="9"/>
  <c r="A28" i="9"/>
  <c r="A27" i="9"/>
  <c r="A26" i="9"/>
  <c r="A25" i="9"/>
  <c r="A24" i="9"/>
  <c r="A23" i="9"/>
  <c r="A22" i="9"/>
  <c r="A21" i="9"/>
  <c r="A20" i="9"/>
  <c r="A19" i="9"/>
  <c r="A18" i="9"/>
  <c r="A17" i="9"/>
  <c r="A16" i="9"/>
  <c r="A15" i="9"/>
  <c r="A14" i="9"/>
  <c r="A13" i="9"/>
  <c r="A12" i="9"/>
  <c r="A11" i="9"/>
  <c r="A10" i="9"/>
  <c r="A9" i="9"/>
  <c r="A8" i="9"/>
  <c r="A7" i="9"/>
  <c r="A6" i="9"/>
  <c r="A5" i="9"/>
  <c r="A4" i="9"/>
  <c r="A3" i="9"/>
  <c r="A2" i="9"/>
  <c r="A690" i="8"/>
  <c r="A689" i="8"/>
  <c r="A688" i="8"/>
  <c r="A687" i="8"/>
  <c r="A686" i="8"/>
  <c r="A685" i="8"/>
  <c r="A684" i="8"/>
  <c r="A683" i="8"/>
  <c r="A682" i="8"/>
  <c r="A681" i="8"/>
  <c r="A680" i="8"/>
  <c r="A679" i="8"/>
  <c r="A678" i="8"/>
  <c r="A677" i="8"/>
  <c r="A676" i="8"/>
  <c r="A675" i="8"/>
  <c r="A674" i="8"/>
  <c r="A673" i="8"/>
  <c r="A672" i="8"/>
  <c r="A671" i="8"/>
  <c r="A670" i="8"/>
  <c r="A669" i="8"/>
  <c r="A668" i="8"/>
  <c r="A667" i="8"/>
  <c r="A666" i="8"/>
  <c r="A665" i="8"/>
  <c r="A664" i="8"/>
  <c r="A663" i="8"/>
  <c r="A662" i="8"/>
  <c r="A661" i="8"/>
  <c r="A660" i="8"/>
  <c r="A659" i="8"/>
  <c r="A658" i="8"/>
  <c r="A657" i="8"/>
  <c r="A656" i="8"/>
  <c r="A655" i="8"/>
  <c r="A654" i="8"/>
  <c r="A653" i="8"/>
  <c r="A652" i="8"/>
  <c r="A651" i="8"/>
  <c r="A650" i="8"/>
  <c r="A649" i="8"/>
  <c r="A648" i="8"/>
  <c r="A647" i="8"/>
  <c r="A646" i="8"/>
  <c r="A645" i="8"/>
  <c r="A644" i="8"/>
  <c r="A643" i="8"/>
  <c r="A642" i="8"/>
  <c r="A641" i="8"/>
  <c r="A640" i="8"/>
  <c r="A639" i="8"/>
  <c r="A638" i="8"/>
  <c r="A637" i="8"/>
  <c r="A636" i="8"/>
  <c r="A635" i="8"/>
  <c r="A634" i="8"/>
  <c r="A633" i="8"/>
  <c r="A632" i="8"/>
  <c r="A631" i="8"/>
  <c r="A630" i="8"/>
  <c r="A629" i="8"/>
  <c r="A628" i="8"/>
  <c r="A627" i="8"/>
  <c r="A626" i="8"/>
  <c r="A625" i="8"/>
  <c r="A624" i="8"/>
  <c r="A623" i="8"/>
  <c r="A622" i="8"/>
  <c r="A621" i="8"/>
  <c r="A620" i="8"/>
  <c r="A619" i="8"/>
  <c r="A618" i="8"/>
  <c r="A617" i="8"/>
  <c r="A616" i="8"/>
  <c r="A615" i="8"/>
  <c r="A614" i="8"/>
  <c r="A613" i="8"/>
  <c r="A612" i="8"/>
  <c r="A611" i="8"/>
  <c r="A610" i="8"/>
  <c r="A609" i="8"/>
  <c r="A608" i="8"/>
  <c r="A607" i="8"/>
  <c r="A606" i="8"/>
  <c r="A605" i="8"/>
  <c r="A604" i="8"/>
  <c r="A603" i="8"/>
  <c r="A602" i="8"/>
  <c r="A601" i="8"/>
  <c r="A600" i="8"/>
  <c r="A599" i="8"/>
  <c r="A598" i="8"/>
  <c r="A597" i="8"/>
  <c r="A596" i="8"/>
  <c r="A595" i="8"/>
  <c r="A594" i="8"/>
  <c r="A593" i="8"/>
  <c r="A592" i="8"/>
  <c r="A591" i="8"/>
  <c r="A590" i="8"/>
  <c r="A589" i="8"/>
  <c r="A588" i="8"/>
  <c r="A587" i="8"/>
  <c r="A586" i="8"/>
  <c r="A585" i="8"/>
  <c r="A584" i="8"/>
  <c r="A583" i="8"/>
  <c r="A582" i="8"/>
  <c r="A581" i="8"/>
  <c r="A580" i="8"/>
  <c r="A579" i="8"/>
  <c r="A578" i="8"/>
  <c r="A577" i="8"/>
  <c r="A576" i="8"/>
  <c r="A575" i="8"/>
  <c r="A574" i="8"/>
  <c r="A573" i="8"/>
  <c r="A572" i="8"/>
  <c r="A571" i="8"/>
  <c r="A570" i="8"/>
  <c r="A569" i="8"/>
  <c r="A568" i="8"/>
  <c r="A567" i="8"/>
  <c r="A566" i="8"/>
  <c r="A565" i="8"/>
  <c r="A564" i="8"/>
  <c r="A563" i="8"/>
  <c r="A562" i="8"/>
  <c r="A561" i="8"/>
  <c r="A560" i="8"/>
  <c r="A559" i="8"/>
  <c r="A558" i="8"/>
  <c r="A557" i="8"/>
  <c r="A556" i="8"/>
  <c r="A555" i="8"/>
  <c r="A554" i="8"/>
  <c r="A553" i="8"/>
  <c r="A552" i="8"/>
  <c r="A551" i="8"/>
  <c r="A550" i="8"/>
  <c r="A549" i="8"/>
  <c r="A548" i="8"/>
  <c r="A547" i="8"/>
  <c r="A546" i="8"/>
  <c r="A545" i="8"/>
  <c r="A544" i="8"/>
  <c r="A543" i="8"/>
  <c r="A542" i="8"/>
  <c r="A541" i="8"/>
  <c r="A540" i="8"/>
  <c r="A539" i="8"/>
  <c r="A538" i="8"/>
  <c r="A537" i="8"/>
  <c r="A536" i="8"/>
  <c r="A535" i="8"/>
  <c r="A534" i="8"/>
  <c r="A533" i="8"/>
  <c r="A532" i="8"/>
  <c r="A531" i="8"/>
  <c r="A530" i="8"/>
  <c r="A529" i="8"/>
  <c r="A528" i="8"/>
  <c r="A527" i="8"/>
  <c r="A526" i="8"/>
  <c r="A525" i="8"/>
  <c r="A524" i="8"/>
  <c r="A523" i="8"/>
  <c r="A522" i="8"/>
  <c r="A521" i="8"/>
  <c r="A520" i="8"/>
  <c r="A519" i="8"/>
  <c r="A518" i="8"/>
  <c r="A517" i="8"/>
  <c r="A516" i="8"/>
  <c r="A515" i="8"/>
  <c r="A514" i="8"/>
  <c r="A513" i="8"/>
  <c r="A512" i="8"/>
  <c r="A511" i="8"/>
  <c r="A510" i="8"/>
  <c r="A509" i="8"/>
  <c r="A508" i="8"/>
  <c r="A507" i="8"/>
  <c r="A506" i="8"/>
  <c r="A505" i="8"/>
  <c r="A504" i="8"/>
  <c r="A503" i="8"/>
  <c r="A502" i="8"/>
  <c r="A501" i="8"/>
  <c r="A500" i="8"/>
  <c r="A499" i="8"/>
  <c r="A498" i="8"/>
  <c r="A497" i="8"/>
  <c r="A496" i="8"/>
  <c r="A495" i="8"/>
  <c r="A494" i="8"/>
  <c r="A493" i="8"/>
  <c r="A492" i="8"/>
  <c r="A491" i="8"/>
  <c r="A490" i="8"/>
  <c r="A489" i="8"/>
  <c r="A488" i="8"/>
  <c r="A487" i="8"/>
  <c r="A486" i="8"/>
  <c r="A485" i="8"/>
  <c r="A484" i="8"/>
  <c r="A483" i="8"/>
  <c r="A482" i="8"/>
  <c r="A481" i="8"/>
  <c r="A480" i="8"/>
  <c r="A479" i="8"/>
  <c r="A478" i="8"/>
  <c r="A477" i="8"/>
  <c r="A476" i="8"/>
  <c r="A475" i="8"/>
  <c r="A474" i="8"/>
  <c r="A473" i="8"/>
  <c r="A472" i="8"/>
  <c r="A471" i="8"/>
  <c r="A470" i="8"/>
  <c r="A469" i="8"/>
  <c r="A468" i="8"/>
  <c r="A467" i="8"/>
  <c r="A466" i="8"/>
  <c r="A465" i="8"/>
  <c r="A464" i="8"/>
  <c r="A463" i="8"/>
  <c r="A462" i="8"/>
  <c r="A461" i="8"/>
  <c r="A460" i="8"/>
  <c r="A459" i="8"/>
  <c r="A458" i="8"/>
  <c r="A457" i="8"/>
  <c r="A456" i="8"/>
  <c r="A455" i="8"/>
  <c r="A454" i="8"/>
  <c r="A453" i="8"/>
  <c r="A452" i="8"/>
  <c r="A451" i="8"/>
  <c r="A450" i="8"/>
  <c r="A449" i="8"/>
  <c r="A448" i="8"/>
  <c r="A447" i="8"/>
  <c r="A446" i="8"/>
  <c r="A445" i="8"/>
  <c r="A444" i="8"/>
  <c r="A443" i="8"/>
  <c r="A442" i="8"/>
  <c r="A441" i="8"/>
  <c r="A440" i="8"/>
  <c r="A439" i="8"/>
  <c r="A438" i="8"/>
  <c r="A437" i="8"/>
  <c r="A436" i="8"/>
  <c r="A435" i="8"/>
  <c r="A434" i="8"/>
  <c r="A433" i="8"/>
  <c r="A432" i="8"/>
  <c r="A431" i="8"/>
  <c r="A430" i="8"/>
  <c r="A429" i="8"/>
  <c r="A428" i="8"/>
  <c r="A427" i="8"/>
  <c r="A426" i="8"/>
  <c r="A425" i="8"/>
  <c r="A424" i="8"/>
  <c r="A423" i="8"/>
  <c r="A422" i="8"/>
  <c r="A421" i="8"/>
  <c r="A420" i="8"/>
  <c r="A419" i="8"/>
  <c r="A418" i="8"/>
  <c r="A417" i="8"/>
  <c r="A416" i="8"/>
  <c r="A415" i="8"/>
  <c r="A414" i="8"/>
  <c r="A413" i="8"/>
  <c r="A412" i="8"/>
  <c r="A411" i="8"/>
  <c r="A410" i="8"/>
  <c r="A409" i="8"/>
  <c r="A408" i="8"/>
  <c r="A407" i="8"/>
  <c r="A406" i="8"/>
  <c r="A405" i="8"/>
  <c r="A404" i="8"/>
  <c r="A403" i="8"/>
  <c r="A402" i="8"/>
  <c r="A401" i="8"/>
  <c r="A400" i="8"/>
  <c r="A399" i="8"/>
  <c r="A398" i="8"/>
  <c r="A397" i="8"/>
  <c r="A396" i="8"/>
  <c r="A395" i="8"/>
  <c r="A394" i="8"/>
  <c r="A393" i="8"/>
  <c r="A392" i="8"/>
  <c r="A391" i="8"/>
  <c r="A390" i="8"/>
  <c r="A389" i="8"/>
  <c r="A388" i="8"/>
  <c r="A387" i="8"/>
  <c r="A386" i="8"/>
  <c r="A385" i="8"/>
  <c r="A384" i="8"/>
  <c r="A383" i="8"/>
  <c r="A382" i="8"/>
  <c r="A381" i="8"/>
  <c r="A380" i="8"/>
  <c r="A379" i="8"/>
  <c r="A378" i="8"/>
  <c r="A377" i="8"/>
  <c r="A376" i="8"/>
  <c r="A375" i="8"/>
  <c r="A374" i="8"/>
  <c r="A373" i="8"/>
  <c r="A372" i="8"/>
  <c r="A371" i="8"/>
  <c r="A370" i="8"/>
  <c r="A369" i="8"/>
  <c r="A368" i="8"/>
  <c r="A367" i="8"/>
  <c r="A366" i="8"/>
  <c r="A365" i="8"/>
  <c r="A364" i="8"/>
  <c r="A363" i="8"/>
  <c r="A362" i="8"/>
  <c r="A361" i="8"/>
  <c r="A360" i="8"/>
  <c r="A359" i="8"/>
  <c r="A358" i="8"/>
  <c r="A357" i="8"/>
  <c r="A356" i="8"/>
  <c r="A355" i="8"/>
  <c r="A354" i="8"/>
  <c r="A353" i="8"/>
  <c r="A352" i="8"/>
  <c r="A351" i="8"/>
  <c r="A350" i="8"/>
  <c r="A349" i="8"/>
  <c r="A348" i="8"/>
  <c r="A347" i="8"/>
  <c r="A346" i="8"/>
  <c r="A345" i="8"/>
  <c r="A344" i="8"/>
  <c r="A343" i="8"/>
  <c r="A342" i="8"/>
  <c r="A341" i="8"/>
  <c r="A340" i="8"/>
  <c r="A339" i="8"/>
  <c r="A338" i="8"/>
  <c r="A337" i="8"/>
  <c r="A336" i="8"/>
  <c r="A335" i="8"/>
  <c r="A334" i="8"/>
  <c r="A333" i="8"/>
  <c r="A332" i="8"/>
  <c r="A331" i="8"/>
  <c r="A330" i="8"/>
  <c r="A329" i="8"/>
  <c r="A328" i="8"/>
  <c r="A327" i="8"/>
  <c r="A326" i="8"/>
  <c r="A325" i="8"/>
  <c r="A324" i="8"/>
  <c r="A323" i="8"/>
  <c r="A322" i="8"/>
  <c r="A321" i="8"/>
  <c r="A320" i="8"/>
  <c r="A319" i="8"/>
  <c r="A318" i="8"/>
  <c r="A317" i="8"/>
  <c r="A316" i="8"/>
  <c r="A315" i="8"/>
  <c r="A314" i="8"/>
  <c r="A313" i="8"/>
  <c r="A312" i="8"/>
  <c r="A311" i="8"/>
  <c r="A310" i="8"/>
  <c r="A309" i="8"/>
  <c r="A308" i="8"/>
  <c r="A307" i="8"/>
  <c r="A306" i="8"/>
  <c r="A305" i="8"/>
  <c r="A304" i="8"/>
  <c r="A303" i="8"/>
  <c r="A302" i="8"/>
  <c r="A301" i="8"/>
  <c r="A300" i="8"/>
  <c r="A299" i="8"/>
  <c r="A298" i="8"/>
  <c r="A297" i="8"/>
  <c r="A296" i="8"/>
  <c r="A295" i="8"/>
  <c r="A294" i="8"/>
  <c r="A293" i="8"/>
  <c r="A292" i="8"/>
  <c r="A291" i="8"/>
  <c r="A290" i="8"/>
  <c r="A289" i="8"/>
  <c r="A288" i="8"/>
  <c r="A287" i="8"/>
  <c r="A286" i="8"/>
  <c r="A285" i="8"/>
  <c r="A284" i="8"/>
  <c r="A283" i="8"/>
  <c r="A282" i="8"/>
  <c r="A281" i="8"/>
  <c r="A280" i="8"/>
  <c r="A279" i="8"/>
  <c r="A278" i="8"/>
  <c r="A277" i="8"/>
  <c r="A276" i="8"/>
  <c r="A275" i="8"/>
  <c r="A274" i="8"/>
  <c r="A273" i="8"/>
  <c r="A272" i="8"/>
  <c r="A271" i="8"/>
  <c r="A270" i="8"/>
  <c r="A269" i="8"/>
  <c r="A268" i="8"/>
  <c r="A267" i="8"/>
  <c r="A266" i="8"/>
  <c r="A265" i="8"/>
  <c r="A264" i="8"/>
  <c r="A263" i="8"/>
  <c r="A262" i="8"/>
  <c r="A261" i="8"/>
  <c r="A260" i="8"/>
  <c r="A259" i="8"/>
  <c r="A258" i="8"/>
  <c r="A257" i="8"/>
  <c r="A256" i="8"/>
  <c r="A255" i="8"/>
  <c r="A254" i="8"/>
  <c r="A253" i="8"/>
  <c r="A252" i="8"/>
  <c r="A251" i="8"/>
  <c r="A250" i="8"/>
  <c r="A249" i="8"/>
  <c r="A248" i="8"/>
  <c r="A247" i="8"/>
  <c r="A246" i="8"/>
  <c r="A245" i="8"/>
  <c r="A244" i="8"/>
  <c r="A243" i="8"/>
  <c r="A242" i="8"/>
  <c r="A241" i="8"/>
  <c r="A240" i="8"/>
  <c r="A239" i="8"/>
  <c r="A238" i="8"/>
  <c r="A237" i="8"/>
  <c r="A236" i="8"/>
  <c r="A235" i="8"/>
  <c r="A234" i="8"/>
  <c r="A233" i="8"/>
  <c r="A232" i="8"/>
  <c r="A231" i="8"/>
  <c r="A230" i="8"/>
  <c r="A229" i="8"/>
  <c r="A228" i="8"/>
  <c r="A227" i="8"/>
  <c r="A226" i="8"/>
  <c r="A225" i="8"/>
  <c r="A224" i="8"/>
  <c r="A223" i="8"/>
  <c r="A222" i="8"/>
  <c r="A221" i="8"/>
  <c r="A220" i="8"/>
  <c r="A219" i="8"/>
  <c r="A218" i="8"/>
  <c r="A217" i="8"/>
  <c r="A216" i="8"/>
  <c r="A215" i="8"/>
  <c r="A214" i="8"/>
  <c r="A213" i="8"/>
  <c r="A212" i="8"/>
  <c r="A211" i="8"/>
  <c r="A210" i="8"/>
  <c r="A209" i="8"/>
  <c r="A208" i="8"/>
  <c r="A207" i="8"/>
  <c r="A206" i="8"/>
  <c r="A205" i="8"/>
  <c r="A204" i="8"/>
  <c r="A203" i="8"/>
  <c r="A202" i="8"/>
  <c r="A201" i="8"/>
  <c r="A200" i="8"/>
  <c r="A199" i="8"/>
  <c r="A198" i="8"/>
  <c r="A197" i="8"/>
  <c r="A196" i="8"/>
  <c r="A195" i="8"/>
  <c r="A194" i="8"/>
  <c r="A193" i="8"/>
  <c r="A192" i="8"/>
  <c r="A191" i="8"/>
  <c r="A190" i="8"/>
  <c r="A189" i="8"/>
  <c r="A188" i="8"/>
  <c r="A187" i="8"/>
  <c r="A186" i="8"/>
  <c r="A185" i="8"/>
  <c r="A184" i="8"/>
  <c r="A183" i="8"/>
  <c r="A182" i="8"/>
  <c r="A181" i="8"/>
  <c r="A180" i="8"/>
  <c r="A179" i="8"/>
  <c r="A178" i="8"/>
  <c r="A177" i="8"/>
  <c r="A176" i="8"/>
  <c r="A175" i="8"/>
  <c r="A174" i="8"/>
  <c r="A173" i="8"/>
  <c r="A172" i="8"/>
  <c r="A171" i="8"/>
  <c r="A170" i="8"/>
  <c r="A169" i="8"/>
  <c r="A168" i="8"/>
  <c r="A167" i="8"/>
  <c r="A166" i="8"/>
  <c r="A165" i="8"/>
  <c r="A164" i="8"/>
  <c r="A163" i="8"/>
  <c r="A162" i="8"/>
  <c r="A161" i="8"/>
  <c r="A160" i="8"/>
  <c r="A159" i="8"/>
  <c r="A158" i="8"/>
  <c r="A157" i="8"/>
  <c r="A156" i="8"/>
  <c r="A155" i="8"/>
  <c r="A154" i="8"/>
  <c r="A153" i="8"/>
  <c r="A152" i="8"/>
  <c r="A151" i="8"/>
  <c r="A150" i="8"/>
  <c r="A149" i="8"/>
  <c r="A148" i="8"/>
  <c r="A147" i="8"/>
  <c r="A146" i="8"/>
  <c r="A145" i="8"/>
  <c r="A144" i="8"/>
  <c r="A143" i="8"/>
  <c r="A142" i="8"/>
  <c r="A141" i="8"/>
  <c r="A140" i="8"/>
  <c r="A139" i="8"/>
  <c r="A138" i="8"/>
  <c r="A137" i="8"/>
  <c r="A136" i="8"/>
  <c r="A135" i="8"/>
  <c r="A134" i="8"/>
  <c r="A133" i="8"/>
  <c r="A132" i="8"/>
  <c r="A131" i="8"/>
  <c r="A130" i="8"/>
  <c r="A129" i="8"/>
  <c r="A128" i="8"/>
  <c r="A127" i="8"/>
  <c r="A126" i="8"/>
  <c r="A125" i="8"/>
  <c r="A124" i="8"/>
  <c r="A123" i="8"/>
  <c r="A122" i="8"/>
  <c r="A121" i="8"/>
  <c r="A120" i="8"/>
  <c r="A119" i="8"/>
  <c r="A118" i="8"/>
  <c r="A117" i="8"/>
  <c r="A116" i="8"/>
  <c r="A115" i="8"/>
  <c r="A114" i="8"/>
  <c r="A113" i="8"/>
  <c r="A112" i="8"/>
  <c r="A111" i="8"/>
  <c r="A110" i="8"/>
  <c r="A109" i="8"/>
  <c r="A108" i="8"/>
  <c r="A107" i="8"/>
  <c r="A106" i="8"/>
  <c r="A105" i="8"/>
  <c r="A104" i="8"/>
  <c r="A103" i="8"/>
  <c r="A102" i="8"/>
  <c r="A101" i="8"/>
  <c r="A100" i="8"/>
  <c r="A99" i="8"/>
  <c r="A98" i="8"/>
  <c r="A97" i="8"/>
  <c r="A96" i="8"/>
  <c r="A95" i="8"/>
  <c r="A94" i="8"/>
  <c r="A93" i="8"/>
  <c r="A92" i="8"/>
  <c r="A91" i="8"/>
  <c r="A90" i="8"/>
  <c r="A89" i="8"/>
  <c r="A88" i="8"/>
  <c r="A87" i="8"/>
  <c r="A86" i="8"/>
  <c r="A85" i="8"/>
  <c r="A84" i="8"/>
  <c r="A83" i="8"/>
  <c r="A82" i="8"/>
  <c r="A81" i="8"/>
  <c r="A80" i="8"/>
  <c r="A79" i="8"/>
  <c r="A78" i="8"/>
  <c r="A77" i="8"/>
  <c r="A76" i="8"/>
  <c r="A75" i="8"/>
  <c r="A74" i="8"/>
  <c r="A73" i="8"/>
  <c r="A72" i="8"/>
  <c r="A71" i="8"/>
  <c r="A70" i="8"/>
  <c r="A69" i="8"/>
  <c r="A68" i="8"/>
  <c r="A67" i="8"/>
  <c r="A66" i="8"/>
  <c r="A65" i="8"/>
  <c r="A64" i="8"/>
  <c r="A63" i="8"/>
  <c r="A62" i="8"/>
  <c r="A61" i="8"/>
  <c r="A60" i="8"/>
  <c r="A59" i="8"/>
  <c r="A58" i="8"/>
  <c r="A57" i="8"/>
  <c r="A56" i="8"/>
  <c r="A55" i="8"/>
  <c r="A54" i="8"/>
  <c r="A53" i="8"/>
  <c r="A52" i="8"/>
  <c r="A51" i="8"/>
  <c r="A50" i="8"/>
  <c r="A49" i="8"/>
  <c r="A48" i="8"/>
  <c r="A47" i="8"/>
  <c r="A46" i="8"/>
  <c r="A45" i="8"/>
  <c r="A44" i="8"/>
  <c r="A43" i="8"/>
  <c r="A42" i="8"/>
  <c r="A41" i="8"/>
  <c r="A40" i="8"/>
  <c r="A39" i="8"/>
  <c r="A38" i="8"/>
  <c r="A37" i="8"/>
  <c r="A36" i="8"/>
  <c r="A35" i="8"/>
  <c r="A34" i="8"/>
  <c r="A33" i="8"/>
  <c r="A32" i="8"/>
  <c r="A31" i="8"/>
  <c r="A30" i="8"/>
  <c r="A29" i="8"/>
  <c r="A28" i="8"/>
  <c r="A27" i="8"/>
  <c r="A26" i="8"/>
  <c r="A25" i="8"/>
  <c r="A24" i="8"/>
  <c r="A23" i="8"/>
  <c r="A22" i="8"/>
  <c r="A21" i="8"/>
  <c r="A20" i="8"/>
  <c r="A19" i="8"/>
  <c r="A18" i="8"/>
  <c r="A17" i="8"/>
  <c r="A16" i="8"/>
  <c r="A15" i="8"/>
  <c r="A14" i="8"/>
  <c r="A13" i="8"/>
  <c r="A12" i="8"/>
  <c r="A11" i="8"/>
  <c r="A10" i="8"/>
  <c r="A9" i="8"/>
  <c r="A8" i="8"/>
  <c r="A7" i="8"/>
  <c r="A6" i="8"/>
  <c r="A5" i="8"/>
  <c r="A4" i="8"/>
  <c r="A3" i="8"/>
  <c r="A2" i="8"/>
  <c r="B690" i="7"/>
  <c r="D690" i="7" s="1"/>
  <c r="B689" i="7"/>
  <c r="D689" i="7" s="1"/>
  <c r="B688" i="7"/>
  <c r="D688" i="7" s="1"/>
  <c r="B687" i="7"/>
  <c r="D687" i="7" s="1"/>
  <c r="B686" i="7"/>
  <c r="D686" i="7" s="1"/>
  <c r="B685" i="7"/>
  <c r="D685" i="7" s="1"/>
  <c r="B684" i="7"/>
  <c r="D684" i="7" s="1"/>
  <c r="B683" i="7"/>
  <c r="D683" i="7" s="1"/>
  <c r="B682" i="7"/>
  <c r="D682" i="7" s="1"/>
  <c r="B681" i="7"/>
  <c r="D681" i="7" s="1"/>
  <c r="B680" i="7"/>
  <c r="D680" i="7" s="1"/>
  <c r="B679" i="7"/>
  <c r="D679" i="7" s="1"/>
  <c r="B678" i="7"/>
  <c r="D678" i="7" s="1"/>
  <c r="B677" i="7"/>
  <c r="D677" i="7" s="1"/>
  <c r="B676" i="7"/>
  <c r="D676" i="7" s="1"/>
  <c r="B675" i="7"/>
  <c r="D675" i="7" s="1"/>
  <c r="B674" i="7"/>
  <c r="D674" i="7" s="1"/>
  <c r="B673" i="7"/>
  <c r="D673" i="7" s="1"/>
  <c r="B672" i="7"/>
  <c r="D672" i="7" s="1"/>
  <c r="B671" i="7"/>
  <c r="D671" i="7" s="1"/>
  <c r="B670" i="7"/>
  <c r="D670" i="7" s="1"/>
  <c r="B669" i="7"/>
  <c r="D669" i="7" s="1"/>
  <c r="B668" i="7"/>
  <c r="D668" i="7" s="1"/>
  <c r="B667" i="7"/>
  <c r="D667" i="7" s="1"/>
  <c r="B666" i="7"/>
  <c r="D666" i="7" s="1"/>
  <c r="B665" i="7"/>
  <c r="D665" i="7" s="1"/>
  <c r="B664" i="7"/>
  <c r="D664" i="7" s="1"/>
  <c r="B663" i="7"/>
  <c r="D663" i="7" s="1"/>
  <c r="B662" i="7"/>
  <c r="D662" i="7" s="1"/>
  <c r="B661" i="7"/>
  <c r="D661" i="7" s="1"/>
  <c r="B660" i="7"/>
  <c r="D660" i="7" s="1"/>
  <c r="B659" i="7"/>
  <c r="D659" i="7" s="1"/>
  <c r="B658" i="7"/>
  <c r="D658" i="7" s="1"/>
  <c r="B657" i="7"/>
  <c r="D657" i="7" s="1"/>
  <c r="B656" i="7"/>
  <c r="D656" i="7" s="1"/>
  <c r="B655" i="7"/>
  <c r="D655" i="7" s="1"/>
  <c r="B654" i="7"/>
  <c r="D654" i="7" s="1"/>
  <c r="B653" i="7"/>
  <c r="D653" i="7" s="1"/>
  <c r="B652" i="7"/>
  <c r="D652" i="7" s="1"/>
  <c r="B651" i="7"/>
  <c r="D651" i="7" s="1"/>
  <c r="B650" i="7"/>
  <c r="D650" i="7" s="1"/>
  <c r="B649" i="7"/>
  <c r="D649" i="7" s="1"/>
  <c r="B648" i="7"/>
  <c r="D648" i="7" s="1"/>
  <c r="B647" i="7"/>
  <c r="D647" i="7" s="1"/>
  <c r="B646" i="7"/>
  <c r="D646" i="7" s="1"/>
  <c r="B645" i="7"/>
  <c r="D645" i="7" s="1"/>
  <c r="B644" i="7"/>
  <c r="D644" i="7" s="1"/>
  <c r="B643" i="7"/>
  <c r="D643" i="7" s="1"/>
  <c r="B642" i="7"/>
  <c r="D642" i="7" s="1"/>
  <c r="B641" i="7"/>
  <c r="D641" i="7" s="1"/>
  <c r="B640" i="7"/>
  <c r="D640" i="7" s="1"/>
  <c r="B639" i="7"/>
  <c r="D639" i="7" s="1"/>
  <c r="B638" i="7"/>
  <c r="D638" i="7" s="1"/>
  <c r="B637" i="7"/>
  <c r="D637" i="7" s="1"/>
  <c r="B636" i="7"/>
  <c r="D636" i="7" s="1"/>
  <c r="B635" i="7"/>
  <c r="D635" i="7" s="1"/>
  <c r="B634" i="7"/>
  <c r="D634" i="7" s="1"/>
  <c r="B633" i="7"/>
  <c r="D633" i="7" s="1"/>
  <c r="B632" i="7"/>
  <c r="D632" i="7" s="1"/>
  <c r="B631" i="7"/>
  <c r="D631" i="7" s="1"/>
  <c r="B630" i="7"/>
  <c r="D630" i="7" s="1"/>
  <c r="B629" i="7"/>
  <c r="D629" i="7" s="1"/>
  <c r="B628" i="7"/>
  <c r="D628" i="7" s="1"/>
  <c r="B627" i="7"/>
  <c r="D627" i="7" s="1"/>
  <c r="B626" i="7"/>
  <c r="D626" i="7" s="1"/>
  <c r="B625" i="7"/>
  <c r="D625" i="7" s="1"/>
  <c r="B624" i="7"/>
  <c r="D624" i="7" s="1"/>
  <c r="B623" i="7"/>
  <c r="D623" i="7" s="1"/>
  <c r="B622" i="7"/>
  <c r="D622" i="7" s="1"/>
  <c r="B621" i="7"/>
  <c r="D621" i="7" s="1"/>
  <c r="B620" i="7"/>
  <c r="D620" i="7" s="1"/>
  <c r="B619" i="7"/>
  <c r="D619" i="7" s="1"/>
  <c r="B618" i="7"/>
  <c r="D618" i="7" s="1"/>
  <c r="B617" i="7"/>
  <c r="D617" i="7" s="1"/>
  <c r="B616" i="7"/>
  <c r="D616" i="7" s="1"/>
  <c r="B615" i="7"/>
  <c r="D615" i="7" s="1"/>
  <c r="B614" i="7"/>
  <c r="D614" i="7" s="1"/>
  <c r="B613" i="7"/>
  <c r="D613" i="7" s="1"/>
  <c r="B612" i="7"/>
  <c r="D612" i="7" s="1"/>
  <c r="B611" i="7"/>
  <c r="D611" i="7" s="1"/>
  <c r="B610" i="7"/>
  <c r="D610" i="7" s="1"/>
  <c r="B609" i="7"/>
  <c r="D609" i="7" s="1"/>
  <c r="B608" i="7"/>
  <c r="D608" i="7" s="1"/>
  <c r="B607" i="7"/>
  <c r="D607" i="7" s="1"/>
  <c r="B606" i="7"/>
  <c r="D606" i="7" s="1"/>
  <c r="B605" i="7"/>
  <c r="D605" i="7" s="1"/>
  <c r="B604" i="7"/>
  <c r="D604" i="7" s="1"/>
  <c r="B603" i="7"/>
  <c r="D603" i="7" s="1"/>
  <c r="B602" i="7"/>
  <c r="D602" i="7" s="1"/>
  <c r="B601" i="7"/>
  <c r="D601" i="7" s="1"/>
  <c r="B600" i="7"/>
  <c r="D600" i="7" s="1"/>
  <c r="B599" i="7"/>
  <c r="D599" i="7" s="1"/>
  <c r="B598" i="7"/>
  <c r="D598" i="7" s="1"/>
  <c r="B597" i="7"/>
  <c r="D597" i="7" s="1"/>
  <c r="B596" i="7"/>
  <c r="D596" i="7" s="1"/>
  <c r="B595" i="7"/>
  <c r="D595" i="7" s="1"/>
  <c r="B594" i="7"/>
  <c r="D594" i="7" s="1"/>
  <c r="B593" i="7"/>
  <c r="D593" i="7" s="1"/>
  <c r="B592" i="7"/>
  <c r="D592" i="7" s="1"/>
  <c r="B591" i="7"/>
  <c r="D591" i="7" s="1"/>
  <c r="B590" i="7"/>
  <c r="D590" i="7" s="1"/>
  <c r="B589" i="7"/>
  <c r="D589" i="7" s="1"/>
  <c r="B588" i="7"/>
  <c r="D588" i="7" s="1"/>
  <c r="B587" i="7"/>
  <c r="D587" i="7" s="1"/>
  <c r="B586" i="7"/>
  <c r="D586" i="7" s="1"/>
  <c r="B585" i="7"/>
  <c r="D585" i="7" s="1"/>
  <c r="B584" i="7"/>
  <c r="D584" i="7" s="1"/>
  <c r="B583" i="7"/>
  <c r="D583" i="7" s="1"/>
  <c r="B582" i="7"/>
  <c r="D582" i="7" s="1"/>
  <c r="B581" i="7"/>
  <c r="D581" i="7" s="1"/>
  <c r="B580" i="7"/>
  <c r="D580" i="7" s="1"/>
  <c r="B579" i="7"/>
  <c r="D579" i="7" s="1"/>
  <c r="B578" i="7"/>
  <c r="D578" i="7" s="1"/>
  <c r="B577" i="7"/>
  <c r="D577" i="7" s="1"/>
  <c r="B576" i="7"/>
  <c r="D576" i="7" s="1"/>
  <c r="B575" i="7"/>
  <c r="D575" i="7" s="1"/>
  <c r="B574" i="7"/>
  <c r="D574" i="7" s="1"/>
  <c r="B573" i="7"/>
  <c r="D573" i="7" s="1"/>
  <c r="B572" i="7"/>
  <c r="D572" i="7" s="1"/>
  <c r="B571" i="7"/>
  <c r="D571" i="7" s="1"/>
  <c r="B570" i="7"/>
  <c r="D570" i="7" s="1"/>
  <c r="B569" i="7"/>
  <c r="D569" i="7" s="1"/>
  <c r="B568" i="7"/>
  <c r="D568" i="7" s="1"/>
  <c r="B567" i="7"/>
  <c r="D567" i="7" s="1"/>
  <c r="B566" i="7"/>
  <c r="D566" i="7" s="1"/>
  <c r="B565" i="7"/>
  <c r="D565" i="7" s="1"/>
  <c r="B564" i="7"/>
  <c r="D564" i="7" s="1"/>
  <c r="B563" i="7"/>
  <c r="D563" i="7" s="1"/>
  <c r="B562" i="7"/>
  <c r="D562" i="7" s="1"/>
  <c r="B561" i="7"/>
  <c r="D561" i="7" s="1"/>
  <c r="B560" i="7"/>
  <c r="D560" i="7" s="1"/>
  <c r="B559" i="7"/>
  <c r="D559" i="7" s="1"/>
  <c r="B558" i="7"/>
  <c r="D558" i="7" s="1"/>
  <c r="B557" i="7"/>
  <c r="D557" i="7" s="1"/>
  <c r="B556" i="7"/>
  <c r="D556" i="7" s="1"/>
  <c r="B555" i="7"/>
  <c r="D555" i="7" s="1"/>
  <c r="B554" i="7"/>
  <c r="D554" i="7" s="1"/>
  <c r="B553" i="7"/>
  <c r="D553" i="7" s="1"/>
  <c r="B552" i="7"/>
  <c r="D552" i="7" s="1"/>
  <c r="B551" i="7"/>
  <c r="D551" i="7" s="1"/>
  <c r="B550" i="7"/>
  <c r="D550" i="7" s="1"/>
  <c r="B549" i="7"/>
  <c r="D549" i="7" s="1"/>
  <c r="B548" i="7"/>
  <c r="D548" i="7" s="1"/>
  <c r="B547" i="7"/>
  <c r="D547" i="7" s="1"/>
  <c r="B546" i="7"/>
  <c r="D546" i="7" s="1"/>
  <c r="B545" i="7"/>
  <c r="D545" i="7" s="1"/>
  <c r="B544" i="7"/>
  <c r="D544" i="7" s="1"/>
  <c r="B543" i="7"/>
  <c r="D543" i="7" s="1"/>
  <c r="B542" i="7"/>
  <c r="D542" i="7" s="1"/>
  <c r="B541" i="7"/>
  <c r="D541" i="7" s="1"/>
  <c r="B540" i="7"/>
  <c r="D540" i="7" s="1"/>
  <c r="B539" i="7"/>
  <c r="D539" i="7" s="1"/>
  <c r="B538" i="7"/>
  <c r="D538" i="7" s="1"/>
  <c r="B537" i="7"/>
  <c r="D537" i="7" s="1"/>
  <c r="B536" i="7"/>
  <c r="D536" i="7" s="1"/>
  <c r="B535" i="7"/>
  <c r="D535" i="7" s="1"/>
  <c r="B534" i="7"/>
  <c r="D534" i="7" s="1"/>
  <c r="B533" i="7"/>
  <c r="D533" i="7" s="1"/>
  <c r="B532" i="7"/>
  <c r="D532" i="7" s="1"/>
  <c r="B531" i="7"/>
  <c r="D531" i="7" s="1"/>
  <c r="B530" i="7"/>
  <c r="D530" i="7" s="1"/>
  <c r="B529" i="7"/>
  <c r="D529" i="7" s="1"/>
  <c r="B528" i="7"/>
  <c r="D528" i="7" s="1"/>
  <c r="B527" i="7"/>
  <c r="D527" i="7" s="1"/>
  <c r="B526" i="7"/>
  <c r="D526" i="7" s="1"/>
  <c r="B525" i="7"/>
  <c r="D525" i="7" s="1"/>
  <c r="B524" i="7"/>
  <c r="D524" i="7" s="1"/>
  <c r="B523" i="7"/>
  <c r="D523" i="7" s="1"/>
  <c r="B522" i="7"/>
  <c r="D522" i="7" s="1"/>
  <c r="B521" i="7"/>
  <c r="D521" i="7" s="1"/>
  <c r="B520" i="7"/>
  <c r="D520" i="7" s="1"/>
  <c r="B519" i="7"/>
  <c r="D519" i="7" s="1"/>
  <c r="B518" i="7"/>
  <c r="D518" i="7" s="1"/>
  <c r="B517" i="7"/>
  <c r="D517" i="7" s="1"/>
  <c r="B516" i="7"/>
  <c r="D516" i="7" s="1"/>
  <c r="B515" i="7"/>
  <c r="D515" i="7" s="1"/>
  <c r="B514" i="7"/>
  <c r="D514" i="7" s="1"/>
  <c r="B513" i="7"/>
  <c r="D513" i="7" s="1"/>
  <c r="B512" i="7"/>
  <c r="D512" i="7" s="1"/>
  <c r="B511" i="7"/>
  <c r="D511" i="7" s="1"/>
  <c r="B510" i="7"/>
  <c r="D510" i="7" s="1"/>
  <c r="B509" i="7"/>
  <c r="D509" i="7" s="1"/>
  <c r="B508" i="7"/>
  <c r="D508" i="7" s="1"/>
  <c r="B507" i="7"/>
  <c r="D507" i="7" s="1"/>
  <c r="B506" i="7"/>
  <c r="D506" i="7" s="1"/>
  <c r="B505" i="7"/>
  <c r="D505" i="7" s="1"/>
  <c r="B504" i="7"/>
  <c r="D504" i="7" s="1"/>
  <c r="B503" i="7"/>
  <c r="D503" i="7" s="1"/>
  <c r="B502" i="7"/>
  <c r="D502" i="7" s="1"/>
  <c r="B501" i="7"/>
  <c r="D501" i="7" s="1"/>
  <c r="B500" i="7"/>
  <c r="D500" i="7" s="1"/>
  <c r="B499" i="7"/>
  <c r="D499" i="7" s="1"/>
  <c r="B498" i="7"/>
  <c r="D498" i="7" s="1"/>
  <c r="B497" i="7"/>
  <c r="D497" i="7" s="1"/>
  <c r="B496" i="7"/>
  <c r="D496" i="7" s="1"/>
  <c r="B495" i="7"/>
  <c r="D495" i="7" s="1"/>
  <c r="B494" i="7"/>
  <c r="D494" i="7" s="1"/>
  <c r="B493" i="7"/>
  <c r="D493" i="7" s="1"/>
  <c r="B492" i="7"/>
  <c r="D492" i="7" s="1"/>
  <c r="B491" i="7"/>
  <c r="D491" i="7" s="1"/>
  <c r="B490" i="7"/>
  <c r="D490" i="7" s="1"/>
  <c r="B489" i="7"/>
  <c r="D489" i="7" s="1"/>
  <c r="B488" i="7"/>
  <c r="D488" i="7" s="1"/>
  <c r="B487" i="7"/>
  <c r="D487" i="7" s="1"/>
  <c r="B486" i="7"/>
  <c r="D486" i="7" s="1"/>
  <c r="B485" i="7"/>
  <c r="D485" i="7" s="1"/>
  <c r="B484" i="7"/>
  <c r="D484" i="7" s="1"/>
  <c r="B483" i="7"/>
  <c r="D483" i="7" s="1"/>
  <c r="B482" i="7"/>
  <c r="D482" i="7" s="1"/>
  <c r="B481" i="7"/>
  <c r="D481" i="7" s="1"/>
  <c r="B480" i="7"/>
  <c r="D480" i="7" s="1"/>
  <c r="B479" i="7"/>
  <c r="D479" i="7" s="1"/>
  <c r="B478" i="7"/>
  <c r="D478" i="7" s="1"/>
  <c r="B477" i="7"/>
  <c r="D477" i="7" s="1"/>
  <c r="B476" i="7"/>
  <c r="D476" i="7" s="1"/>
  <c r="B475" i="7"/>
  <c r="D475" i="7" s="1"/>
  <c r="B474" i="7"/>
  <c r="D474" i="7" s="1"/>
  <c r="B473" i="7"/>
  <c r="D473" i="7" s="1"/>
  <c r="B472" i="7"/>
  <c r="D472" i="7" s="1"/>
  <c r="B471" i="7"/>
  <c r="D471" i="7" s="1"/>
  <c r="B470" i="7"/>
  <c r="D470" i="7" s="1"/>
  <c r="B469" i="7"/>
  <c r="D469" i="7" s="1"/>
  <c r="B468" i="7"/>
  <c r="D468" i="7" s="1"/>
  <c r="B467" i="7"/>
  <c r="D467" i="7" s="1"/>
  <c r="B466" i="7"/>
  <c r="D466" i="7" s="1"/>
  <c r="B465" i="7"/>
  <c r="D465" i="7" s="1"/>
  <c r="B464" i="7"/>
  <c r="D464" i="7" s="1"/>
  <c r="B463" i="7"/>
  <c r="D463" i="7" s="1"/>
  <c r="B462" i="7"/>
  <c r="D462" i="7" s="1"/>
  <c r="B461" i="7"/>
  <c r="D461" i="7" s="1"/>
  <c r="B460" i="7"/>
  <c r="D460" i="7" s="1"/>
  <c r="B459" i="7"/>
  <c r="D459" i="7" s="1"/>
  <c r="B458" i="7"/>
  <c r="D458" i="7" s="1"/>
  <c r="B457" i="7"/>
  <c r="D457" i="7" s="1"/>
  <c r="B456" i="7"/>
  <c r="D456" i="7" s="1"/>
  <c r="B455" i="7"/>
  <c r="D455" i="7" s="1"/>
  <c r="B454" i="7"/>
  <c r="D454" i="7" s="1"/>
  <c r="B453" i="7"/>
  <c r="D453" i="7" s="1"/>
  <c r="B452" i="7"/>
  <c r="D452" i="7" s="1"/>
  <c r="B451" i="7"/>
  <c r="D451" i="7" s="1"/>
  <c r="B450" i="7"/>
  <c r="D450" i="7" s="1"/>
  <c r="B449" i="7"/>
  <c r="D449" i="7" s="1"/>
  <c r="B448" i="7"/>
  <c r="D448" i="7" s="1"/>
  <c r="B447" i="7"/>
  <c r="D447" i="7" s="1"/>
  <c r="B446" i="7"/>
  <c r="D446" i="7" s="1"/>
  <c r="B445" i="7"/>
  <c r="D445" i="7" s="1"/>
  <c r="B444" i="7"/>
  <c r="D444" i="7" s="1"/>
  <c r="B443" i="7"/>
  <c r="D443" i="7" s="1"/>
  <c r="B442" i="7"/>
  <c r="D442" i="7" s="1"/>
  <c r="B441" i="7"/>
  <c r="D441" i="7" s="1"/>
  <c r="B440" i="7"/>
  <c r="D440" i="7" s="1"/>
  <c r="B439" i="7"/>
  <c r="D439" i="7" s="1"/>
  <c r="B438" i="7"/>
  <c r="D438" i="7" s="1"/>
  <c r="B437" i="7"/>
  <c r="D437" i="7" s="1"/>
  <c r="B436" i="7"/>
  <c r="D436" i="7" s="1"/>
  <c r="B435" i="7"/>
  <c r="D435" i="7" s="1"/>
  <c r="B434" i="7"/>
  <c r="D434" i="7" s="1"/>
  <c r="B433" i="7"/>
  <c r="D433" i="7" s="1"/>
  <c r="B432" i="7"/>
  <c r="D432" i="7" s="1"/>
  <c r="B431" i="7"/>
  <c r="D431" i="7" s="1"/>
  <c r="B430" i="7"/>
  <c r="D430" i="7" s="1"/>
  <c r="B429" i="7"/>
  <c r="D429" i="7" s="1"/>
  <c r="B428" i="7"/>
  <c r="D428" i="7" s="1"/>
  <c r="B427" i="7"/>
  <c r="D427" i="7" s="1"/>
  <c r="B426" i="7"/>
  <c r="D426" i="7" s="1"/>
  <c r="B425" i="7"/>
  <c r="D425" i="7" s="1"/>
  <c r="B424" i="7"/>
  <c r="D424" i="7" s="1"/>
  <c r="B423" i="7"/>
  <c r="D423" i="7" s="1"/>
  <c r="B422" i="7"/>
  <c r="D422" i="7" s="1"/>
  <c r="B421" i="7"/>
  <c r="D421" i="7" s="1"/>
  <c r="B420" i="7"/>
  <c r="D420" i="7" s="1"/>
  <c r="B419" i="7"/>
  <c r="D419" i="7" s="1"/>
  <c r="B418" i="7"/>
  <c r="D418" i="7" s="1"/>
  <c r="B417" i="7"/>
  <c r="D417" i="7" s="1"/>
  <c r="B416" i="7"/>
  <c r="D416" i="7" s="1"/>
  <c r="B415" i="7"/>
  <c r="D415" i="7" s="1"/>
  <c r="B414" i="7"/>
  <c r="D414" i="7" s="1"/>
  <c r="B413" i="7"/>
  <c r="D413" i="7" s="1"/>
  <c r="B412" i="7"/>
  <c r="D412" i="7" s="1"/>
  <c r="B411" i="7"/>
  <c r="D411" i="7" s="1"/>
  <c r="B410" i="7"/>
  <c r="D410" i="7" s="1"/>
  <c r="B409" i="7"/>
  <c r="D409" i="7" s="1"/>
  <c r="B408" i="7"/>
  <c r="D408" i="7" s="1"/>
  <c r="B407" i="7"/>
  <c r="D407" i="7" s="1"/>
  <c r="B406" i="7"/>
  <c r="D406" i="7" s="1"/>
  <c r="B405" i="7"/>
  <c r="D405" i="7" s="1"/>
  <c r="B404" i="7"/>
  <c r="D404" i="7" s="1"/>
  <c r="B403" i="7"/>
  <c r="D403" i="7" s="1"/>
  <c r="B402" i="7"/>
  <c r="D402" i="7" s="1"/>
  <c r="B401" i="7"/>
  <c r="D401" i="7" s="1"/>
  <c r="B400" i="7"/>
  <c r="D400" i="7" s="1"/>
  <c r="B399" i="7"/>
  <c r="D399" i="7" s="1"/>
  <c r="B398" i="7"/>
  <c r="D398" i="7" s="1"/>
  <c r="B397" i="7"/>
  <c r="D397" i="7" s="1"/>
  <c r="B396" i="7"/>
  <c r="D396" i="7" s="1"/>
  <c r="B395" i="7"/>
  <c r="D395" i="7" s="1"/>
  <c r="B394" i="7"/>
  <c r="D394" i="7" s="1"/>
  <c r="B393" i="7"/>
  <c r="D393" i="7" s="1"/>
  <c r="B392" i="7"/>
  <c r="D392" i="7" s="1"/>
  <c r="B391" i="7"/>
  <c r="D391" i="7" s="1"/>
  <c r="B390" i="7"/>
  <c r="D390" i="7" s="1"/>
  <c r="B389" i="7"/>
  <c r="D389" i="7" s="1"/>
  <c r="B388" i="7"/>
  <c r="D388" i="7" s="1"/>
  <c r="B387" i="7"/>
  <c r="D387" i="7" s="1"/>
  <c r="B386" i="7"/>
  <c r="D386" i="7" s="1"/>
  <c r="B385" i="7"/>
  <c r="D385" i="7" s="1"/>
  <c r="B384" i="7"/>
  <c r="D384" i="7" s="1"/>
  <c r="B383" i="7"/>
  <c r="D383" i="7" s="1"/>
  <c r="B382" i="7"/>
  <c r="D382" i="7" s="1"/>
  <c r="B381" i="7"/>
  <c r="D381" i="7" s="1"/>
  <c r="B380" i="7"/>
  <c r="D380" i="7" s="1"/>
  <c r="B379" i="7"/>
  <c r="D379" i="7" s="1"/>
  <c r="B378" i="7"/>
  <c r="D378" i="7" s="1"/>
  <c r="B377" i="7"/>
  <c r="D377" i="7" s="1"/>
  <c r="B376" i="7"/>
  <c r="D376" i="7" s="1"/>
  <c r="B375" i="7"/>
  <c r="D375" i="7" s="1"/>
  <c r="B374" i="7"/>
  <c r="D374" i="7" s="1"/>
  <c r="B373" i="7"/>
  <c r="D373" i="7" s="1"/>
  <c r="B372" i="7"/>
  <c r="D372" i="7" s="1"/>
  <c r="B371" i="7"/>
  <c r="D371" i="7" s="1"/>
  <c r="B370" i="7"/>
  <c r="D370" i="7" s="1"/>
  <c r="B369" i="7"/>
  <c r="D369" i="7" s="1"/>
  <c r="B368" i="7"/>
  <c r="D368" i="7" s="1"/>
  <c r="B367" i="7"/>
  <c r="D367" i="7" s="1"/>
  <c r="B366" i="7"/>
  <c r="D366" i="7" s="1"/>
  <c r="B365" i="7"/>
  <c r="D365" i="7" s="1"/>
  <c r="B364" i="7"/>
  <c r="D364" i="7" s="1"/>
  <c r="B363" i="7"/>
  <c r="D363" i="7" s="1"/>
  <c r="B362" i="7"/>
  <c r="D362" i="7" s="1"/>
  <c r="B361" i="7"/>
  <c r="D361" i="7" s="1"/>
  <c r="B360" i="7"/>
  <c r="D360" i="7" s="1"/>
  <c r="B359" i="7"/>
  <c r="D359" i="7" s="1"/>
  <c r="B358" i="7"/>
  <c r="D358" i="7" s="1"/>
  <c r="B357" i="7"/>
  <c r="D357" i="7" s="1"/>
  <c r="B356" i="7"/>
  <c r="D356" i="7" s="1"/>
  <c r="B355" i="7"/>
  <c r="D355" i="7" s="1"/>
  <c r="B354" i="7"/>
  <c r="D354" i="7" s="1"/>
  <c r="B353" i="7"/>
  <c r="D353" i="7" s="1"/>
  <c r="B352" i="7"/>
  <c r="D352" i="7" s="1"/>
  <c r="B351" i="7"/>
  <c r="D351" i="7" s="1"/>
  <c r="B350" i="7"/>
  <c r="D350" i="7" s="1"/>
  <c r="B349" i="7"/>
  <c r="D349" i="7" s="1"/>
  <c r="B348" i="7"/>
  <c r="D348" i="7" s="1"/>
  <c r="B347" i="7"/>
  <c r="D347" i="7" s="1"/>
  <c r="B346" i="7"/>
  <c r="D346" i="7" s="1"/>
  <c r="B345" i="7"/>
  <c r="D345" i="7" s="1"/>
  <c r="B344" i="7"/>
  <c r="D344" i="7" s="1"/>
  <c r="B343" i="7"/>
  <c r="D343" i="7" s="1"/>
  <c r="B342" i="7"/>
  <c r="D342" i="7" s="1"/>
  <c r="B341" i="7"/>
  <c r="D341" i="7" s="1"/>
  <c r="B340" i="7"/>
  <c r="D340" i="7" s="1"/>
  <c r="B339" i="7"/>
  <c r="D339" i="7" s="1"/>
  <c r="B338" i="7"/>
  <c r="D338" i="7" s="1"/>
  <c r="B337" i="7"/>
  <c r="D337" i="7" s="1"/>
  <c r="B336" i="7"/>
  <c r="D336" i="7" s="1"/>
  <c r="B335" i="7"/>
  <c r="D335" i="7" s="1"/>
  <c r="B334" i="7"/>
  <c r="D334" i="7" s="1"/>
  <c r="B333" i="7"/>
  <c r="D333" i="7" s="1"/>
  <c r="B332" i="7"/>
  <c r="D332" i="7" s="1"/>
  <c r="B331" i="7"/>
  <c r="D331" i="7" s="1"/>
  <c r="B330" i="7"/>
  <c r="D330" i="7" s="1"/>
  <c r="B329" i="7"/>
  <c r="D329" i="7" s="1"/>
  <c r="B328" i="7"/>
  <c r="D328" i="7" s="1"/>
  <c r="B327" i="7"/>
  <c r="D327" i="7" s="1"/>
  <c r="B326" i="7"/>
  <c r="D326" i="7" s="1"/>
  <c r="B325" i="7"/>
  <c r="D325" i="7" s="1"/>
  <c r="B324" i="7"/>
  <c r="D324" i="7" s="1"/>
  <c r="B323" i="7"/>
  <c r="D323" i="7" s="1"/>
  <c r="B322" i="7"/>
  <c r="D322" i="7" s="1"/>
  <c r="B321" i="7"/>
  <c r="D321" i="7" s="1"/>
  <c r="B320" i="7"/>
  <c r="D320" i="7" s="1"/>
  <c r="B319" i="7"/>
  <c r="D319" i="7" s="1"/>
  <c r="B318" i="7"/>
  <c r="D318" i="7" s="1"/>
  <c r="B317" i="7"/>
  <c r="D317" i="7" s="1"/>
  <c r="B316" i="7"/>
  <c r="D316" i="7" s="1"/>
  <c r="B315" i="7"/>
  <c r="D315" i="7" s="1"/>
  <c r="B314" i="7"/>
  <c r="D314" i="7" s="1"/>
  <c r="B313" i="7"/>
  <c r="D313" i="7" s="1"/>
  <c r="B312" i="7"/>
  <c r="D312" i="7" s="1"/>
  <c r="B311" i="7"/>
  <c r="D311" i="7" s="1"/>
  <c r="B310" i="7"/>
  <c r="D310" i="7" s="1"/>
  <c r="B309" i="7"/>
  <c r="D309" i="7" s="1"/>
  <c r="B308" i="7"/>
  <c r="D308" i="7" s="1"/>
  <c r="B307" i="7"/>
  <c r="D307" i="7" s="1"/>
  <c r="B306" i="7"/>
  <c r="D306" i="7" s="1"/>
  <c r="B305" i="7"/>
  <c r="D305" i="7" s="1"/>
  <c r="B304" i="7"/>
  <c r="D304" i="7" s="1"/>
  <c r="B303" i="7"/>
  <c r="D303" i="7" s="1"/>
  <c r="B302" i="7"/>
  <c r="D302" i="7" s="1"/>
  <c r="B301" i="7"/>
  <c r="D301" i="7" s="1"/>
  <c r="B300" i="7"/>
  <c r="D300" i="7" s="1"/>
  <c r="B299" i="7"/>
  <c r="D299" i="7" s="1"/>
  <c r="B298" i="7"/>
  <c r="D298" i="7" s="1"/>
  <c r="B297" i="7"/>
  <c r="D297" i="7" s="1"/>
  <c r="B296" i="7"/>
  <c r="D296" i="7" s="1"/>
  <c r="B295" i="7"/>
  <c r="D295" i="7" s="1"/>
  <c r="B294" i="7"/>
  <c r="D294" i="7" s="1"/>
  <c r="B293" i="7"/>
  <c r="D293" i="7" s="1"/>
  <c r="B292" i="7"/>
  <c r="D292" i="7" s="1"/>
  <c r="B291" i="7"/>
  <c r="D291" i="7" s="1"/>
  <c r="B290" i="7"/>
  <c r="D290" i="7" s="1"/>
  <c r="B289" i="7"/>
  <c r="D289" i="7" s="1"/>
  <c r="B288" i="7"/>
  <c r="D288" i="7" s="1"/>
  <c r="B287" i="7"/>
  <c r="D287" i="7" s="1"/>
  <c r="B286" i="7"/>
  <c r="D286" i="7" s="1"/>
  <c r="B285" i="7"/>
  <c r="D285" i="7" s="1"/>
  <c r="B284" i="7"/>
  <c r="D284" i="7" s="1"/>
  <c r="B283" i="7"/>
  <c r="D283" i="7" s="1"/>
  <c r="B282" i="7"/>
  <c r="D282" i="7" s="1"/>
  <c r="B281" i="7"/>
  <c r="D281" i="7" s="1"/>
  <c r="B280" i="7"/>
  <c r="D280" i="7" s="1"/>
  <c r="B279" i="7"/>
  <c r="D279" i="7" s="1"/>
  <c r="B278" i="7"/>
  <c r="D278" i="7" s="1"/>
  <c r="B277" i="7"/>
  <c r="D277" i="7" s="1"/>
  <c r="B276" i="7"/>
  <c r="D276" i="7" s="1"/>
  <c r="B275" i="7"/>
  <c r="D275" i="7" s="1"/>
  <c r="B274" i="7"/>
  <c r="D274" i="7" s="1"/>
  <c r="B273" i="7"/>
  <c r="D273" i="7" s="1"/>
  <c r="B272" i="7"/>
  <c r="D272" i="7" s="1"/>
  <c r="B271" i="7"/>
  <c r="D271" i="7" s="1"/>
  <c r="B270" i="7"/>
  <c r="D270" i="7" s="1"/>
  <c r="B269" i="7"/>
  <c r="D269" i="7" s="1"/>
  <c r="B268" i="7"/>
  <c r="D268" i="7" s="1"/>
  <c r="B267" i="7"/>
  <c r="D267" i="7" s="1"/>
  <c r="B266" i="7"/>
  <c r="D266" i="7" s="1"/>
  <c r="B265" i="7"/>
  <c r="D265" i="7" s="1"/>
  <c r="B264" i="7"/>
  <c r="D264" i="7" s="1"/>
  <c r="B263" i="7"/>
  <c r="D263" i="7" s="1"/>
  <c r="B262" i="7"/>
  <c r="D262" i="7" s="1"/>
  <c r="B261" i="7"/>
  <c r="D261" i="7" s="1"/>
  <c r="B260" i="7"/>
  <c r="D260" i="7" s="1"/>
  <c r="B259" i="7"/>
  <c r="D259" i="7" s="1"/>
  <c r="B258" i="7"/>
  <c r="D258" i="7" s="1"/>
  <c r="B257" i="7"/>
  <c r="D257" i="7" s="1"/>
  <c r="B256" i="7"/>
  <c r="D256" i="7" s="1"/>
  <c r="B255" i="7"/>
  <c r="D255" i="7" s="1"/>
  <c r="B254" i="7"/>
  <c r="D254" i="7" s="1"/>
  <c r="B253" i="7"/>
  <c r="D253" i="7" s="1"/>
  <c r="B252" i="7"/>
  <c r="D252" i="7" s="1"/>
  <c r="B251" i="7"/>
  <c r="D251" i="7" s="1"/>
  <c r="B250" i="7"/>
  <c r="D250" i="7" s="1"/>
  <c r="B249" i="7"/>
  <c r="D249" i="7" s="1"/>
  <c r="B248" i="7"/>
  <c r="D248" i="7" s="1"/>
  <c r="B247" i="7"/>
  <c r="D247" i="7" s="1"/>
  <c r="B246" i="7"/>
  <c r="D246" i="7" s="1"/>
  <c r="B245" i="7"/>
  <c r="D245" i="7" s="1"/>
  <c r="B244" i="7"/>
  <c r="D244" i="7" s="1"/>
  <c r="B243" i="7"/>
  <c r="D243" i="7" s="1"/>
  <c r="B242" i="7"/>
  <c r="D242" i="7" s="1"/>
  <c r="B241" i="7"/>
  <c r="D241" i="7" s="1"/>
  <c r="B240" i="7"/>
  <c r="D240" i="7" s="1"/>
  <c r="B239" i="7"/>
  <c r="D239" i="7" s="1"/>
  <c r="B238" i="7"/>
  <c r="D238" i="7" s="1"/>
  <c r="B237" i="7"/>
  <c r="D237" i="7" s="1"/>
  <c r="B236" i="7"/>
  <c r="D236" i="7" s="1"/>
  <c r="B235" i="7"/>
  <c r="D235" i="7" s="1"/>
  <c r="B234" i="7"/>
  <c r="D234" i="7" s="1"/>
  <c r="B233" i="7"/>
  <c r="D233" i="7" s="1"/>
  <c r="B232" i="7"/>
  <c r="D232" i="7" s="1"/>
  <c r="B231" i="7"/>
  <c r="D231" i="7" s="1"/>
  <c r="B230" i="7"/>
  <c r="D230" i="7" s="1"/>
  <c r="B229" i="7"/>
  <c r="D229" i="7" s="1"/>
  <c r="B228" i="7"/>
  <c r="D228" i="7" s="1"/>
  <c r="B227" i="7"/>
  <c r="D227" i="7" s="1"/>
  <c r="B226" i="7"/>
  <c r="D226" i="7" s="1"/>
  <c r="B225" i="7"/>
  <c r="D225" i="7" s="1"/>
  <c r="B224" i="7"/>
  <c r="D224" i="7" s="1"/>
  <c r="B223" i="7"/>
  <c r="D223" i="7" s="1"/>
  <c r="B222" i="7"/>
  <c r="D222" i="7" s="1"/>
  <c r="B221" i="7"/>
  <c r="D221" i="7" s="1"/>
  <c r="B220" i="7"/>
  <c r="D220" i="7" s="1"/>
  <c r="B219" i="7"/>
  <c r="D219" i="7" s="1"/>
  <c r="B218" i="7"/>
  <c r="D218" i="7" s="1"/>
  <c r="B217" i="7"/>
  <c r="D217" i="7" s="1"/>
  <c r="B216" i="7"/>
  <c r="D216" i="7" s="1"/>
  <c r="B215" i="7"/>
  <c r="D215" i="7" s="1"/>
  <c r="B214" i="7"/>
  <c r="D214" i="7" s="1"/>
  <c r="B213" i="7"/>
  <c r="D213" i="7" s="1"/>
  <c r="B212" i="7"/>
  <c r="D212" i="7" s="1"/>
  <c r="B211" i="7"/>
  <c r="D211" i="7" s="1"/>
  <c r="B210" i="7"/>
  <c r="D210" i="7" s="1"/>
  <c r="B209" i="7"/>
  <c r="D209" i="7" s="1"/>
  <c r="B208" i="7"/>
  <c r="D208" i="7" s="1"/>
  <c r="B207" i="7"/>
  <c r="D207" i="7" s="1"/>
  <c r="B206" i="7"/>
  <c r="D206" i="7" s="1"/>
  <c r="B205" i="7"/>
  <c r="D205" i="7" s="1"/>
  <c r="B204" i="7"/>
  <c r="D204" i="7" s="1"/>
  <c r="B203" i="7"/>
  <c r="D203" i="7" s="1"/>
  <c r="B202" i="7"/>
  <c r="D202" i="7" s="1"/>
  <c r="B201" i="7"/>
  <c r="D201" i="7" s="1"/>
  <c r="B200" i="7"/>
  <c r="D200" i="7" s="1"/>
  <c r="B199" i="7"/>
  <c r="D199" i="7" s="1"/>
  <c r="B198" i="7"/>
  <c r="D198" i="7" s="1"/>
  <c r="B197" i="7"/>
  <c r="D197" i="7" s="1"/>
  <c r="B196" i="7"/>
  <c r="D196" i="7" s="1"/>
  <c r="B195" i="7"/>
  <c r="D195" i="7" s="1"/>
  <c r="B194" i="7"/>
  <c r="D194" i="7" s="1"/>
  <c r="B193" i="7"/>
  <c r="D193" i="7" s="1"/>
  <c r="B192" i="7"/>
  <c r="D192" i="7" s="1"/>
  <c r="B191" i="7"/>
  <c r="D191" i="7" s="1"/>
  <c r="B190" i="7"/>
  <c r="D190" i="7" s="1"/>
  <c r="B189" i="7"/>
  <c r="D189" i="7" s="1"/>
  <c r="B188" i="7"/>
  <c r="D188" i="7" s="1"/>
  <c r="B187" i="7"/>
  <c r="D187" i="7" s="1"/>
  <c r="B186" i="7"/>
  <c r="D186" i="7" s="1"/>
  <c r="B185" i="7"/>
  <c r="D185" i="7" s="1"/>
  <c r="B184" i="7"/>
  <c r="D184" i="7" s="1"/>
  <c r="B183" i="7"/>
  <c r="D183" i="7" s="1"/>
  <c r="B182" i="7"/>
  <c r="D182" i="7" s="1"/>
  <c r="B181" i="7"/>
  <c r="D181" i="7" s="1"/>
  <c r="B180" i="7"/>
  <c r="D180" i="7" s="1"/>
  <c r="B179" i="7"/>
  <c r="D179" i="7" s="1"/>
  <c r="B178" i="7"/>
  <c r="D178" i="7" s="1"/>
  <c r="B177" i="7"/>
  <c r="D177" i="7" s="1"/>
  <c r="B176" i="7"/>
  <c r="D176" i="7" s="1"/>
  <c r="B175" i="7"/>
  <c r="D175" i="7" s="1"/>
  <c r="B174" i="7"/>
  <c r="D174" i="7" s="1"/>
  <c r="B173" i="7"/>
  <c r="D173" i="7" s="1"/>
  <c r="B172" i="7"/>
  <c r="D172" i="7" s="1"/>
  <c r="B171" i="7"/>
  <c r="D171" i="7" s="1"/>
  <c r="B170" i="7"/>
  <c r="D170" i="7" s="1"/>
  <c r="B169" i="7"/>
  <c r="D169" i="7" s="1"/>
  <c r="B168" i="7"/>
  <c r="D168" i="7" s="1"/>
  <c r="B167" i="7"/>
  <c r="D167" i="7" s="1"/>
  <c r="B166" i="7"/>
  <c r="D166" i="7" s="1"/>
  <c r="B165" i="7"/>
  <c r="D165" i="7" s="1"/>
  <c r="B164" i="7"/>
  <c r="D164" i="7" s="1"/>
  <c r="B163" i="7"/>
  <c r="D163" i="7" s="1"/>
  <c r="B162" i="7"/>
  <c r="D162" i="7" s="1"/>
  <c r="B161" i="7"/>
  <c r="D161" i="7" s="1"/>
  <c r="B160" i="7"/>
  <c r="D160" i="7" s="1"/>
  <c r="B159" i="7"/>
  <c r="D159" i="7" s="1"/>
  <c r="B158" i="7"/>
  <c r="D158" i="7" s="1"/>
  <c r="B157" i="7"/>
  <c r="D157" i="7" s="1"/>
  <c r="B156" i="7"/>
  <c r="D156" i="7" s="1"/>
  <c r="B155" i="7"/>
  <c r="D155" i="7" s="1"/>
  <c r="B154" i="7"/>
  <c r="D154" i="7" s="1"/>
  <c r="B153" i="7"/>
  <c r="D153" i="7" s="1"/>
  <c r="B152" i="7"/>
  <c r="D152" i="7" s="1"/>
  <c r="B151" i="7"/>
  <c r="D151" i="7" s="1"/>
  <c r="B150" i="7"/>
  <c r="D150" i="7" s="1"/>
  <c r="B149" i="7"/>
  <c r="D149" i="7" s="1"/>
  <c r="B148" i="7"/>
  <c r="D148" i="7" s="1"/>
  <c r="B147" i="7"/>
  <c r="D147" i="7" s="1"/>
  <c r="B146" i="7"/>
  <c r="D146" i="7" s="1"/>
  <c r="B145" i="7"/>
  <c r="D145" i="7" s="1"/>
  <c r="B144" i="7"/>
  <c r="D144" i="7" s="1"/>
  <c r="B143" i="7"/>
  <c r="D143" i="7" s="1"/>
  <c r="B142" i="7"/>
  <c r="D142" i="7" s="1"/>
  <c r="B141" i="7"/>
  <c r="D141" i="7" s="1"/>
  <c r="B140" i="7"/>
  <c r="D140" i="7" s="1"/>
  <c r="B139" i="7"/>
  <c r="D139" i="7" s="1"/>
  <c r="B138" i="7"/>
  <c r="D138" i="7" s="1"/>
  <c r="B137" i="7"/>
  <c r="D137" i="7" s="1"/>
  <c r="B136" i="7"/>
  <c r="D136" i="7" s="1"/>
  <c r="B135" i="7"/>
  <c r="D135" i="7" s="1"/>
  <c r="B134" i="7"/>
  <c r="D134" i="7" s="1"/>
  <c r="B133" i="7"/>
  <c r="D133" i="7" s="1"/>
  <c r="B132" i="7"/>
  <c r="D132" i="7" s="1"/>
  <c r="B131" i="7"/>
  <c r="D131" i="7" s="1"/>
  <c r="B130" i="7"/>
  <c r="D130" i="7" s="1"/>
  <c r="B129" i="7"/>
  <c r="D129" i="7" s="1"/>
  <c r="B128" i="7"/>
  <c r="D128" i="7" s="1"/>
  <c r="B127" i="7"/>
  <c r="D127" i="7" s="1"/>
  <c r="B126" i="7"/>
  <c r="D126" i="7" s="1"/>
  <c r="B125" i="7"/>
  <c r="D125" i="7" s="1"/>
  <c r="B124" i="7"/>
  <c r="D124" i="7" s="1"/>
  <c r="B123" i="7"/>
  <c r="D123" i="7" s="1"/>
  <c r="B122" i="7"/>
  <c r="D122" i="7" s="1"/>
  <c r="B121" i="7"/>
  <c r="D121" i="7" s="1"/>
  <c r="B120" i="7"/>
  <c r="D120" i="7" s="1"/>
  <c r="B119" i="7"/>
  <c r="D119" i="7" s="1"/>
  <c r="B118" i="7"/>
  <c r="D118" i="7" s="1"/>
  <c r="B117" i="7"/>
  <c r="D117" i="7" s="1"/>
  <c r="B116" i="7"/>
  <c r="D116" i="7" s="1"/>
  <c r="B115" i="7"/>
  <c r="D115" i="7" s="1"/>
  <c r="B114" i="7"/>
  <c r="D114" i="7" s="1"/>
  <c r="B113" i="7"/>
  <c r="D113" i="7" s="1"/>
  <c r="B112" i="7"/>
  <c r="D112" i="7" s="1"/>
  <c r="B111" i="7"/>
  <c r="D111" i="7" s="1"/>
  <c r="B110" i="7"/>
  <c r="D110" i="7" s="1"/>
  <c r="B109" i="7"/>
  <c r="D109" i="7" s="1"/>
  <c r="B108" i="7"/>
  <c r="D108" i="7" s="1"/>
  <c r="B107" i="7"/>
  <c r="D107" i="7" s="1"/>
  <c r="B106" i="7"/>
  <c r="D106" i="7" s="1"/>
  <c r="B105" i="7"/>
  <c r="D105" i="7" s="1"/>
  <c r="B104" i="7"/>
  <c r="D104" i="7" s="1"/>
  <c r="B103" i="7"/>
  <c r="D103" i="7" s="1"/>
  <c r="B102" i="7"/>
  <c r="D102" i="7" s="1"/>
  <c r="B101" i="7"/>
  <c r="D101" i="7" s="1"/>
  <c r="B100" i="7"/>
  <c r="D100" i="7" s="1"/>
  <c r="B99" i="7"/>
  <c r="D99" i="7" s="1"/>
  <c r="B98" i="7"/>
  <c r="D98" i="7" s="1"/>
  <c r="B97" i="7"/>
  <c r="D97" i="7" s="1"/>
  <c r="B96" i="7"/>
  <c r="D96" i="7" s="1"/>
  <c r="B95" i="7"/>
  <c r="D95" i="7" s="1"/>
  <c r="B94" i="7"/>
  <c r="D94" i="7" s="1"/>
  <c r="B93" i="7"/>
  <c r="D93" i="7" s="1"/>
  <c r="B92" i="7"/>
  <c r="D92" i="7" s="1"/>
  <c r="B91" i="7"/>
  <c r="D91" i="7" s="1"/>
  <c r="B90" i="7"/>
  <c r="D90" i="7" s="1"/>
  <c r="B89" i="7"/>
  <c r="D89" i="7" s="1"/>
  <c r="B88" i="7"/>
  <c r="D88" i="7" s="1"/>
  <c r="B87" i="7"/>
  <c r="D87" i="7" s="1"/>
  <c r="B86" i="7"/>
  <c r="D86" i="7" s="1"/>
  <c r="B85" i="7"/>
  <c r="D85" i="7" s="1"/>
  <c r="B84" i="7"/>
  <c r="D84" i="7" s="1"/>
  <c r="B83" i="7"/>
  <c r="D83" i="7" s="1"/>
  <c r="B82" i="7"/>
  <c r="D82" i="7" s="1"/>
  <c r="B81" i="7"/>
  <c r="D81" i="7" s="1"/>
  <c r="B80" i="7"/>
  <c r="D80" i="7" s="1"/>
  <c r="B79" i="7"/>
  <c r="D79" i="7" s="1"/>
  <c r="B78" i="7"/>
  <c r="D78" i="7" s="1"/>
  <c r="B77" i="7"/>
  <c r="D77" i="7" s="1"/>
  <c r="B76" i="7"/>
  <c r="D76" i="7" s="1"/>
  <c r="B75" i="7"/>
  <c r="D75" i="7" s="1"/>
  <c r="B74" i="7"/>
  <c r="D74" i="7" s="1"/>
  <c r="B73" i="7"/>
  <c r="D73" i="7" s="1"/>
  <c r="B72" i="7"/>
  <c r="D72" i="7" s="1"/>
  <c r="B71" i="7"/>
  <c r="D71" i="7" s="1"/>
  <c r="B70" i="7"/>
  <c r="D70" i="7" s="1"/>
  <c r="B69" i="7"/>
  <c r="D69" i="7" s="1"/>
  <c r="B68" i="7"/>
  <c r="D68" i="7" s="1"/>
  <c r="B67" i="7"/>
  <c r="D67" i="7" s="1"/>
  <c r="B66" i="7"/>
  <c r="D66" i="7" s="1"/>
  <c r="B65" i="7"/>
  <c r="D65" i="7" s="1"/>
  <c r="B64" i="7"/>
  <c r="D64" i="7" s="1"/>
  <c r="B63" i="7"/>
  <c r="D63" i="7" s="1"/>
  <c r="B62" i="7"/>
  <c r="D62" i="7" s="1"/>
  <c r="B61" i="7"/>
  <c r="D61" i="7" s="1"/>
  <c r="B60" i="7"/>
  <c r="D60" i="7" s="1"/>
  <c r="B59" i="7"/>
  <c r="D59" i="7" s="1"/>
  <c r="B58" i="7"/>
  <c r="D58" i="7" s="1"/>
  <c r="B57" i="7"/>
  <c r="D57" i="7" s="1"/>
  <c r="B56" i="7"/>
  <c r="D56" i="7" s="1"/>
  <c r="B55" i="7"/>
  <c r="D55" i="7" s="1"/>
  <c r="B54" i="7"/>
  <c r="D54" i="7" s="1"/>
  <c r="B53" i="7"/>
  <c r="D53" i="7" s="1"/>
  <c r="B52" i="7"/>
  <c r="D52" i="7" s="1"/>
  <c r="B51" i="7"/>
  <c r="D51" i="7" s="1"/>
  <c r="B50" i="7"/>
  <c r="D50" i="7" s="1"/>
  <c r="B49" i="7"/>
  <c r="D49" i="7" s="1"/>
  <c r="B48" i="7"/>
  <c r="D48" i="7" s="1"/>
  <c r="B47" i="7"/>
  <c r="D47" i="7" s="1"/>
  <c r="B46" i="7"/>
  <c r="D46" i="7" s="1"/>
  <c r="B45" i="7"/>
  <c r="D45" i="7" s="1"/>
  <c r="B44" i="7"/>
  <c r="D44" i="7" s="1"/>
  <c r="B43" i="7"/>
  <c r="D43" i="7" s="1"/>
  <c r="B42" i="7"/>
  <c r="D42" i="7" s="1"/>
  <c r="B41" i="7"/>
  <c r="D41" i="7" s="1"/>
  <c r="B40" i="7"/>
  <c r="D40" i="7" s="1"/>
  <c r="B39" i="7"/>
  <c r="D39" i="7" s="1"/>
  <c r="B38" i="7"/>
  <c r="D38" i="7" s="1"/>
  <c r="B37" i="7"/>
  <c r="D37" i="7" s="1"/>
  <c r="B36" i="7"/>
  <c r="D36" i="7" s="1"/>
  <c r="B35" i="7"/>
  <c r="D35" i="7" s="1"/>
  <c r="B34" i="7"/>
  <c r="D34" i="7" s="1"/>
  <c r="B33" i="7"/>
  <c r="D33" i="7" s="1"/>
  <c r="B32" i="7"/>
  <c r="D32" i="7" s="1"/>
  <c r="B31" i="7"/>
  <c r="D31" i="7" s="1"/>
  <c r="B30" i="7"/>
  <c r="D30" i="7" s="1"/>
  <c r="B29" i="7"/>
  <c r="D29" i="7" s="1"/>
  <c r="B28" i="7"/>
  <c r="D28" i="7" s="1"/>
  <c r="B27" i="7"/>
  <c r="D27" i="7" s="1"/>
  <c r="B26" i="7"/>
  <c r="D26" i="7" s="1"/>
  <c r="B25" i="7"/>
  <c r="D25" i="7" s="1"/>
  <c r="B24" i="7"/>
  <c r="D24" i="7" s="1"/>
  <c r="B23" i="7"/>
  <c r="D23" i="7" s="1"/>
  <c r="B22" i="7"/>
  <c r="D22" i="7" s="1"/>
  <c r="B21" i="7"/>
  <c r="D21" i="7" s="1"/>
  <c r="B20" i="7"/>
  <c r="D20" i="7" s="1"/>
  <c r="B19" i="7"/>
  <c r="D19" i="7" s="1"/>
  <c r="B18" i="7"/>
  <c r="D18" i="7" s="1"/>
  <c r="B17" i="7"/>
  <c r="D17" i="7" s="1"/>
  <c r="B16" i="7"/>
  <c r="D16" i="7" s="1"/>
  <c r="B15" i="7"/>
  <c r="D15" i="7" s="1"/>
  <c r="B14" i="7"/>
  <c r="D14" i="7" s="1"/>
  <c r="B13" i="7"/>
  <c r="D13" i="7" s="1"/>
  <c r="B12" i="7"/>
  <c r="D12" i="7" s="1"/>
  <c r="B11" i="7"/>
  <c r="D11" i="7" s="1"/>
  <c r="B10" i="7"/>
  <c r="D10" i="7" s="1"/>
  <c r="B9" i="7"/>
  <c r="D9" i="7" s="1"/>
  <c r="B8" i="7"/>
  <c r="D8" i="7" s="1"/>
  <c r="B7" i="7"/>
  <c r="D7" i="7" s="1"/>
  <c r="B6" i="7"/>
  <c r="D6" i="7" s="1"/>
  <c r="B5" i="7"/>
  <c r="D5" i="7" s="1"/>
  <c r="B4" i="7"/>
  <c r="D4" i="7" s="1"/>
  <c r="B3" i="7"/>
  <c r="D3" i="7" s="1"/>
  <c r="B2" i="7"/>
  <c r="D2" i="7" s="1"/>
  <c r="A690" i="7"/>
  <c r="A689" i="7"/>
  <c r="A688" i="7"/>
  <c r="A687" i="7"/>
  <c r="A686" i="7"/>
  <c r="A685" i="7"/>
  <c r="A684" i="7"/>
  <c r="A683" i="7"/>
  <c r="A682" i="7"/>
  <c r="A681" i="7"/>
  <c r="A680" i="7"/>
  <c r="A679" i="7"/>
  <c r="A678" i="7"/>
  <c r="A677" i="7"/>
  <c r="A676" i="7"/>
  <c r="A675" i="7"/>
  <c r="A674" i="7"/>
  <c r="A673" i="7"/>
  <c r="A672" i="7"/>
  <c r="A671" i="7"/>
  <c r="A670" i="7"/>
  <c r="A669" i="7"/>
  <c r="A668" i="7"/>
  <c r="A667" i="7"/>
  <c r="A666" i="7"/>
  <c r="A665" i="7"/>
  <c r="A664" i="7"/>
  <c r="A663" i="7"/>
  <c r="A662" i="7"/>
  <c r="A661" i="7"/>
  <c r="A660" i="7"/>
  <c r="A659" i="7"/>
  <c r="A658" i="7"/>
  <c r="A657" i="7"/>
  <c r="A656" i="7"/>
  <c r="A655" i="7"/>
  <c r="A654" i="7"/>
  <c r="A653" i="7"/>
  <c r="A652" i="7"/>
  <c r="A651" i="7"/>
  <c r="A650" i="7"/>
  <c r="A649" i="7"/>
  <c r="A648" i="7"/>
  <c r="A647" i="7"/>
  <c r="A646" i="7"/>
  <c r="A645" i="7"/>
  <c r="A644" i="7"/>
  <c r="A643" i="7"/>
  <c r="A642" i="7"/>
  <c r="A641" i="7"/>
  <c r="A640" i="7"/>
  <c r="A639" i="7"/>
  <c r="A638" i="7"/>
  <c r="A637" i="7"/>
  <c r="A636" i="7"/>
  <c r="A635" i="7"/>
  <c r="A634" i="7"/>
  <c r="A633" i="7"/>
  <c r="A632" i="7"/>
  <c r="A631" i="7"/>
  <c r="A630" i="7"/>
  <c r="A629" i="7"/>
  <c r="A628" i="7"/>
  <c r="A627" i="7"/>
  <c r="A626" i="7"/>
  <c r="A625" i="7"/>
  <c r="A624" i="7"/>
  <c r="A623" i="7"/>
  <c r="A622" i="7"/>
  <c r="A621" i="7"/>
  <c r="A620" i="7"/>
  <c r="A619" i="7"/>
  <c r="A618" i="7"/>
  <c r="A617" i="7"/>
  <c r="A616" i="7"/>
  <c r="A615" i="7"/>
  <c r="A614" i="7"/>
  <c r="A613" i="7"/>
  <c r="A612" i="7"/>
  <c r="A611" i="7"/>
  <c r="A610" i="7"/>
  <c r="A609" i="7"/>
  <c r="A608" i="7"/>
  <c r="A607" i="7"/>
  <c r="A606" i="7"/>
  <c r="A605" i="7"/>
  <c r="A604" i="7"/>
  <c r="A603" i="7"/>
  <c r="A602" i="7"/>
  <c r="A601" i="7"/>
  <c r="A600" i="7"/>
  <c r="A599" i="7"/>
  <c r="A598" i="7"/>
  <c r="A597" i="7"/>
  <c r="A596" i="7"/>
  <c r="A595" i="7"/>
  <c r="A594" i="7"/>
  <c r="A593" i="7"/>
  <c r="A592" i="7"/>
  <c r="A591" i="7"/>
  <c r="A590" i="7"/>
  <c r="A589" i="7"/>
  <c r="A588" i="7"/>
  <c r="A587" i="7"/>
  <c r="A586" i="7"/>
  <c r="A585" i="7"/>
  <c r="A584" i="7"/>
  <c r="A583" i="7"/>
  <c r="A582" i="7"/>
  <c r="A581" i="7"/>
  <c r="A580" i="7"/>
  <c r="A579" i="7"/>
  <c r="A578" i="7"/>
  <c r="A577" i="7"/>
  <c r="A576" i="7"/>
  <c r="A575" i="7"/>
  <c r="A574" i="7"/>
  <c r="A573" i="7"/>
  <c r="A572" i="7"/>
  <c r="A571" i="7"/>
  <c r="A570" i="7"/>
  <c r="A569" i="7"/>
  <c r="A568" i="7"/>
  <c r="A567" i="7"/>
  <c r="A566" i="7"/>
  <c r="A565" i="7"/>
  <c r="A564" i="7"/>
  <c r="A563" i="7"/>
  <c r="A562" i="7"/>
  <c r="A561" i="7"/>
  <c r="A560" i="7"/>
  <c r="A559" i="7"/>
  <c r="A558" i="7"/>
  <c r="A557" i="7"/>
  <c r="A556" i="7"/>
  <c r="A555" i="7"/>
  <c r="A554" i="7"/>
  <c r="A553" i="7"/>
  <c r="A552" i="7"/>
  <c r="A551" i="7"/>
  <c r="A550" i="7"/>
  <c r="A549" i="7"/>
  <c r="A548" i="7"/>
  <c r="A547" i="7"/>
  <c r="A546" i="7"/>
  <c r="A545" i="7"/>
  <c r="A544" i="7"/>
  <c r="A543" i="7"/>
  <c r="A542" i="7"/>
  <c r="A541" i="7"/>
  <c r="A540" i="7"/>
  <c r="A539" i="7"/>
  <c r="A538" i="7"/>
  <c r="A537" i="7"/>
  <c r="A536" i="7"/>
  <c r="A535" i="7"/>
  <c r="A534" i="7"/>
  <c r="A533" i="7"/>
  <c r="A532" i="7"/>
  <c r="A531" i="7"/>
  <c r="A530" i="7"/>
  <c r="A529" i="7"/>
  <c r="A528" i="7"/>
  <c r="A527" i="7"/>
  <c r="A526" i="7"/>
  <c r="A525" i="7"/>
  <c r="A524" i="7"/>
  <c r="A523" i="7"/>
  <c r="A522" i="7"/>
  <c r="A521" i="7"/>
  <c r="A520" i="7"/>
  <c r="A519" i="7"/>
  <c r="A518" i="7"/>
  <c r="A517" i="7"/>
  <c r="A516" i="7"/>
  <c r="A515" i="7"/>
  <c r="A514" i="7"/>
  <c r="A513" i="7"/>
  <c r="A512" i="7"/>
  <c r="A511" i="7"/>
  <c r="A510" i="7"/>
  <c r="A509" i="7"/>
  <c r="A508" i="7"/>
  <c r="A507" i="7"/>
  <c r="A506" i="7"/>
  <c r="A505" i="7"/>
  <c r="A504" i="7"/>
  <c r="A503" i="7"/>
  <c r="A502" i="7"/>
  <c r="A501" i="7"/>
  <c r="A500" i="7"/>
  <c r="A499" i="7"/>
  <c r="A498" i="7"/>
  <c r="A497" i="7"/>
  <c r="A496" i="7"/>
  <c r="A495" i="7"/>
  <c r="A494" i="7"/>
  <c r="A493" i="7"/>
  <c r="A492" i="7"/>
  <c r="A491" i="7"/>
  <c r="A490" i="7"/>
  <c r="A489" i="7"/>
  <c r="A488" i="7"/>
  <c r="A487" i="7"/>
  <c r="A486" i="7"/>
  <c r="A485" i="7"/>
  <c r="A484" i="7"/>
  <c r="A483" i="7"/>
  <c r="A482" i="7"/>
  <c r="A481" i="7"/>
  <c r="A480" i="7"/>
  <c r="A479" i="7"/>
  <c r="A478" i="7"/>
  <c r="A477" i="7"/>
  <c r="A476" i="7"/>
  <c r="A475" i="7"/>
  <c r="A474" i="7"/>
  <c r="A473" i="7"/>
  <c r="A472" i="7"/>
  <c r="A471" i="7"/>
  <c r="A470" i="7"/>
  <c r="A469" i="7"/>
  <c r="A468" i="7"/>
  <c r="A467" i="7"/>
  <c r="A466" i="7"/>
  <c r="A465" i="7"/>
  <c r="A464" i="7"/>
  <c r="A463" i="7"/>
  <c r="A462" i="7"/>
  <c r="A461" i="7"/>
  <c r="A460" i="7"/>
  <c r="A459" i="7"/>
  <c r="A458" i="7"/>
  <c r="A457" i="7"/>
  <c r="A456" i="7"/>
  <c r="A455" i="7"/>
  <c r="A454" i="7"/>
  <c r="A453" i="7"/>
  <c r="A452" i="7"/>
  <c r="A451" i="7"/>
  <c r="A450" i="7"/>
  <c r="A449" i="7"/>
  <c r="A448" i="7"/>
  <c r="A447" i="7"/>
  <c r="A446" i="7"/>
  <c r="A445" i="7"/>
  <c r="A444" i="7"/>
  <c r="A443" i="7"/>
  <c r="A442" i="7"/>
  <c r="A441" i="7"/>
  <c r="A440" i="7"/>
  <c r="A439" i="7"/>
  <c r="A438" i="7"/>
  <c r="A437" i="7"/>
  <c r="A436" i="7"/>
  <c r="A435" i="7"/>
  <c r="A434" i="7"/>
  <c r="A433" i="7"/>
  <c r="A432" i="7"/>
  <c r="A431" i="7"/>
  <c r="A430" i="7"/>
  <c r="A429" i="7"/>
  <c r="A428" i="7"/>
  <c r="A427" i="7"/>
  <c r="A426" i="7"/>
  <c r="A425" i="7"/>
  <c r="A424" i="7"/>
  <c r="A423" i="7"/>
  <c r="A422" i="7"/>
  <c r="A421" i="7"/>
  <c r="A420" i="7"/>
  <c r="A419" i="7"/>
  <c r="A418" i="7"/>
  <c r="A417" i="7"/>
  <c r="A416" i="7"/>
  <c r="A415" i="7"/>
  <c r="A414" i="7"/>
  <c r="A413" i="7"/>
  <c r="A412" i="7"/>
  <c r="A411" i="7"/>
  <c r="A410" i="7"/>
  <c r="A409" i="7"/>
  <c r="A408" i="7"/>
  <c r="A407" i="7"/>
  <c r="A406" i="7"/>
  <c r="A405" i="7"/>
  <c r="A404" i="7"/>
  <c r="A403" i="7"/>
  <c r="A402" i="7"/>
  <c r="A401" i="7"/>
  <c r="A400" i="7"/>
  <c r="A399" i="7"/>
  <c r="A398" i="7"/>
  <c r="A397" i="7"/>
  <c r="A396" i="7"/>
  <c r="A395" i="7"/>
  <c r="A394" i="7"/>
  <c r="A393" i="7"/>
  <c r="A392" i="7"/>
  <c r="A391" i="7"/>
  <c r="A390" i="7"/>
  <c r="A389" i="7"/>
  <c r="A388" i="7"/>
  <c r="A387" i="7"/>
  <c r="A386" i="7"/>
  <c r="A385" i="7"/>
  <c r="A384" i="7"/>
  <c r="A383" i="7"/>
  <c r="A382" i="7"/>
  <c r="A381" i="7"/>
  <c r="A380" i="7"/>
  <c r="A379" i="7"/>
  <c r="A378" i="7"/>
  <c r="A377" i="7"/>
  <c r="A376" i="7"/>
  <c r="A375" i="7"/>
  <c r="A374" i="7"/>
  <c r="A373" i="7"/>
  <c r="A372" i="7"/>
  <c r="A371" i="7"/>
  <c r="A370" i="7"/>
  <c r="A369" i="7"/>
  <c r="A368" i="7"/>
  <c r="A367" i="7"/>
  <c r="A366" i="7"/>
  <c r="A365" i="7"/>
  <c r="A364" i="7"/>
  <c r="A363" i="7"/>
  <c r="A362" i="7"/>
  <c r="A361" i="7"/>
  <c r="A360" i="7"/>
  <c r="A359" i="7"/>
  <c r="A358" i="7"/>
  <c r="A357" i="7"/>
  <c r="A356" i="7"/>
  <c r="A355" i="7"/>
  <c r="A354" i="7"/>
  <c r="A353" i="7"/>
  <c r="A352" i="7"/>
  <c r="A351" i="7"/>
  <c r="A350" i="7"/>
  <c r="A349" i="7"/>
  <c r="A348" i="7"/>
  <c r="A347" i="7"/>
  <c r="A346" i="7"/>
  <c r="A345" i="7"/>
  <c r="A344" i="7"/>
  <c r="A343" i="7"/>
  <c r="A342" i="7"/>
  <c r="A341" i="7"/>
  <c r="A340" i="7"/>
  <c r="A339" i="7"/>
  <c r="A338" i="7"/>
  <c r="A337" i="7"/>
  <c r="A336" i="7"/>
  <c r="A335" i="7"/>
  <c r="A334" i="7"/>
  <c r="A333" i="7"/>
  <c r="A332" i="7"/>
  <c r="A331" i="7"/>
  <c r="A330" i="7"/>
  <c r="A329" i="7"/>
  <c r="A328" i="7"/>
  <c r="A327" i="7"/>
  <c r="A326" i="7"/>
  <c r="A325" i="7"/>
  <c r="A324" i="7"/>
  <c r="A323" i="7"/>
  <c r="A322" i="7"/>
  <c r="A321" i="7"/>
  <c r="A320" i="7"/>
  <c r="A319" i="7"/>
  <c r="A318" i="7"/>
  <c r="A317" i="7"/>
  <c r="A316" i="7"/>
  <c r="A315" i="7"/>
  <c r="A314" i="7"/>
  <c r="A313" i="7"/>
  <c r="A312" i="7"/>
  <c r="A311" i="7"/>
  <c r="A310" i="7"/>
  <c r="A309" i="7"/>
  <c r="A308" i="7"/>
  <c r="A307" i="7"/>
  <c r="A306" i="7"/>
  <c r="A305" i="7"/>
  <c r="A304" i="7"/>
  <c r="A303" i="7"/>
  <c r="A302" i="7"/>
  <c r="A301" i="7"/>
  <c r="A300" i="7"/>
  <c r="A299" i="7"/>
  <c r="A298" i="7"/>
  <c r="A297" i="7"/>
  <c r="A296" i="7"/>
  <c r="A295" i="7"/>
  <c r="A294" i="7"/>
  <c r="A293" i="7"/>
  <c r="A292" i="7"/>
  <c r="A291" i="7"/>
  <c r="A290" i="7"/>
  <c r="A289" i="7"/>
  <c r="A288" i="7"/>
  <c r="A287" i="7"/>
  <c r="A286" i="7"/>
  <c r="A285" i="7"/>
  <c r="A284" i="7"/>
  <c r="A283" i="7"/>
  <c r="A282" i="7"/>
  <c r="A281" i="7"/>
  <c r="A280" i="7"/>
  <c r="A279" i="7"/>
  <c r="A278" i="7"/>
  <c r="A277" i="7"/>
  <c r="A276" i="7"/>
  <c r="A275" i="7"/>
  <c r="A274" i="7"/>
  <c r="A273" i="7"/>
  <c r="A272" i="7"/>
  <c r="A271" i="7"/>
  <c r="A270" i="7"/>
  <c r="A269" i="7"/>
  <c r="A268" i="7"/>
  <c r="A267" i="7"/>
  <c r="A266" i="7"/>
  <c r="A265" i="7"/>
  <c r="A264" i="7"/>
  <c r="A263" i="7"/>
  <c r="A262" i="7"/>
  <c r="A261" i="7"/>
  <c r="A260" i="7"/>
  <c r="A259" i="7"/>
  <c r="A258" i="7"/>
  <c r="A257" i="7"/>
  <c r="A256" i="7"/>
  <c r="A255" i="7"/>
  <c r="A254" i="7"/>
  <c r="A253" i="7"/>
  <c r="A252" i="7"/>
  <c r="A251" i="7"/>
  <c r="A250" i="7"/>
  <c r="A249" i="7"/>
  <c r="A248" i="7"/>
  <c r="A247" i="7"/>
  <c r="A246" i="7"/>
  <c r="A245" i="7"/>
  <c r="A244" i="7"/>
  <c r="A243" i="7"/>
  <c r="A242" i="7"/>
  <c r="A241" i="7"/>
  <c r="A240" i="7"/>
  <c r="A239" i="7"/>
  <c r="A238" i="7"/>
  <c r="A237" i="7"/>
  <c r="A236" i="7"/>
  <c r="A235" i="7"/>
  <c r="A234" i="7"/>
  <c r="A233" i="7"/>
  <c r="A232" i="7"/>
  <c r="A231" i="7"/>
  <c r="A230" i="7"/>
  <c r="A229" i="7"/>
  <c r="A228" i="7"/>
  <c r="A227" i="7"/>
  <c r="A226" i="7"/>
  <c r="A225" i="7"/>
  <c r="A224" i="7"/>
  <c r="A223" i="7"/>
  <c r="A222" i="7"/>
  <c r="A221" i="7"/>
  <c r="A220" i="7"/>
  <c r="A219" i="7"/>
  <c r="A218" i="7"/>
  <c r="A217" i="7"/>
  <c r="A216" i="7"/>
  <c r="A215" i="7"/>
  <c r="A214" i="7"/>
  <c r="A213" i="7"/>
  <c r="A212" i="7"/>
  <c r="A211" i="7"/>
  <c r="A210" i="7"/>
  <c r="A209" i="7"/>
  <c r="A208" i="7"/>
  <c r="A207" i="7"/>
  <c r="A206" i="7"/>
  <c r="A205" i="7"/>
  <c r="A204" i="7"/>
  <c r="A203" i="7"/>
  <c r="A202" i="7"/>
  <c r="A201" i="7"/>
  <c r="A200" i="7"/>
  <c r="A199" i="7"/>
  <c r="A198" i="7"/>
  <c r="A197" i="7"/>
  <c r="A196" i="7"/>
  <c r="A195" i="7"/>
  <c r="A194" i="7"/>
  <c r="A193" i="7"/>
  <c r="A192" i="7"/>
  <c r="A191" i="7"/>
  <c r="A190" i="7"/>
  <c r="A189" i="7"/>
  <c r="A188" i="7"/>
  <c r="A187" i="7"/>
  <c r="A186" i="7"/>
  <c r="A185" i="7"/>
  <c r="A184" i="7"/>
  <c r="A183" i="7"/>
  <c r="A182" i="7"/>
  <c r="A181" i="7"/>
  <c r="A180" i="7"/>
  <c r="A179" i="7"/>
  <c r="A178" i="7"/>
  <c r="A177" i="7"/>
  <c r="A176" i="7"/>
  <c r="A175" i="7"/>
  <c r="A174" i="7"/>
  <c r="A173" i="7"/>
  <c r="A172" i="7"/>
  <c r="A171" i="7"/>
  <c r="A170" i="7"/>
  <c r="A169" i="7"/>
  <c r="A168" i="7"/>
  <c r="A167" i="7"/>
  <c r="A166" i="7"/>
  <c r="A165" i="7"/>
  <c r="A164" i="7"/>
  <c r="A163" i="7"/>
  <c r="A162" i="7"/>
  <c r="A161" i="7"/>
  <c r="A160" i="7"/>
  <c r="A159" i="7"/>
  <c r="A158" i="7"/>
  <c r="A157" i="7"/>
  <c r="A156" i="7"/>
  <c r="A155" i="7"/>
  <c r="A154" i="7"/>
  <c r="A153" i="7"/>
  <c r="A152" i="7"/>
  <c r="A151" i="7"/>
  <c r="A150" i="7"/>
  <c r="A149" i="7"/>
  <c r="A148" i="7"/>
  <c r="A147" i="7"/>
  <c r="A146" i="7"/>
  <c r="A145" i="7"/>
  <c r="A144" i="7"/>
  <c r="A143" i="7"/>
  <c r="A142" i="7"/>
  <c r="A141" i="7"/>
  <c r="A140" i="7"/>
  <c r="A139" i="7"/>
  <c r="A138" i="7"/>
  <c r="A137" i="7"/>
  <c r="A136" i="7"/>
  <c r="A135" i="7"/>
  <c r="A134" i="7"/>
  <c r="A133" i="7"/>
  <c r="A132" i="7"/>
  <c r="A131" i="7"/>
  <c r="A130" i="7"/>
  <c r="A129" i="7"/>
  <c r="A128" i="7"/>
  <c r="A127" i="7"/>
  <c r="A126" i="7"/>
  <c r="A125" i="7"/>
  <c r="A124" i="7"/>
  <c r="A123" i="7"/>
  <c r="A122" i="7"/>
  <c r="A121" i="7"/>
  <c r="A120" i="7"/>
  <c r="A119" i="7"/>
  <c r="A118" i="7"/>
  <c r="A117" i="7"/>
  <c r="A116" i="7"/>
  <c r="A115" i="7"/>
  <c r="A114" i="7"/>
  <c r="A113" i="7"/>
  <c r="A112" i="7"/>
  <c r="A111" i="7"/>
  <c r="A110" i="7"/>
  <c r="A109" i="7"/>
  <c r="A108" i="7"/>
  <c r="A107" i="7"/>
  <c r="A106" i="7"/>
  <c r="A105" i="7"/>
  <c r="A104" i="7"/>
  <c r="A103" i="7"/>
  <c r="A102" i="7"/>
  <c r="A101" i="7"/>
  <c r="A100" i="7"/>
  <c r="A99" i="7"/>
  <c r="A98" i="7"/>
  <c r="A97" i="7"/>
  <c r="A96" i="7"/>
  <c r="A95" i="7"/>
  <c r="A94" i="7"/>
  <c r="A93" i="7"/>
  <c r="A92" i="7"/>
  <c r="A91" i="7"/>
  <c r="A90" i="7"/>
  <c r="A89" i="7"/>
  <c r="A88" i="7"/>
  <c r="A87" i="7"/>
  <c r="A86" i="7"/>
  <c r="A85" i="7"/>
  <c r="A84" i="7"/>
  <c r="A83" i="7"/>
  <c r="A82" i="7"/>
  <c r="A81" i="7"/>
  <c r="A80" i="7"/>
  <c r="A79" i="7"/>
  <c r="A78" i="7"/>
  <c r="A77" i="7"/>
  <c r="A76" i="7"/>
  <c r="A75" i="7"/>
  <c r="A74" i="7"/>
  <c r="A73" i="7"/>
  <c r="A72" i="7"/>
  <c r="A71" i="7"/>
  <c r="A70" i="7"/>
  <c r="A69" i="7"/>
  <c r="A68" i="7"/>
  <c r="A67" i="7"/>
  <c r="A66" i="7"/>
  <c r="A65" i="7"/>
  <c r="A64" i="7"/>
  <c r="A63" i="7"/>
  <c r="A62" i="7"/>
  <c r="A61" i="7"/>
  <c r="A60" i="7"/>
  <c r="A59" i="7"/>
  <c r="A58" i="7"/>
  <c r="A57" i="7"/>
  <c r="A56" i="7"/>
  <c r="A55" i="7"/>
  <c r="A54" i="7"/>
  <c r="A53" i="7"/>
  <c r="A52" i="7"/>
  <c r="A51" i="7"/>
  <c r="A50" i="7"/>
  <c r="A49" i="7"/>
  <c r="A48" i="7"/>
  <c r="A47" i="7"/>
  <c r="A46" i="7"/>
  <c r="A45" i="7"/>
  <c r="A44" i="7"/>
  <c r="A43" i="7"/>
  <c r="A42" i="7"/>
  <c r="A41" i="7"/>
  <c r="A40" i="7"/>
  <c r="A39" i="7"/>
  <c r="A38" i="7"/>
  <c r="A37" i="7"/>
  <c r="A36" i="7"/>
  <c r="A35" i="7"/>
  <c r="A34" i="7"/>
  <c r="A33" i="7"/>
  <c r="A32" i="7"/>
  <c r="A31" i="7"/>
  <c r="A30" i="7"/>
  <c r="A29" i="7"/>
  <c r="A28" i="7"/>
  <c r="A27" i="7"/>
  <c r="A26" i="7"/>
  <c r="A25" i="7"/>
  <c r="A24" i="7"/>
  <c r="A23" i="7"/>
  <c r="A22" i="7"/>
  <c r="A21" i="7"/>
  <c r="A20" i="7"/>
  <c r="A19" i="7"/>
  <c r="A18" i="7"/>
  <c r="A17" i="7"/>
  <c r="A16" i="7"/>
  <c r="A15" i="7"/>
  <c r="A14" i="7"/>
  <c r="A13" i="7"/>
  <c r="A12" i="7"/>
  <c r="A11" i="7"/>
  <c r="A10" i="7"/>
  <c r="A9" i="7"/>
  <c r="A8" i="7"/>
  <c r="A7" i="7"/>
  <c r="A6" i="7"/>
  <c r="A5" i="7"/>
  <c r="A4" i="7"/>
  <c r="A3" i="7"/>
  <c r="A2" i="7"/>
  <c r="B690" i="6"/>
  <c r="C690" i="6" s="1"/>
  <c r="B689" i="6"/>
  <c r="C689" i="6" s="1"/>
  <c r="B688" i="6"/>
  <c r="C688" i="6" s="1"/>
  <c r="B687" i="6"/>
  <c r="C687" i="6" s="1"/>
  <c r="B686" i="6"/>
  <c r="C686" i="6" s="1"/>
  <c r="B685" i="6"/>
  <c r="C685" i="6" s="1"/>
  <c r="B684" i="6"/>
  <c r="C684" i="6" s="1"/>
  <c r="B683" i="6"/>
  <c r="C683" i="6" s="1"/>
  <c r="B682" i="6"/>
  <c r="C682" i="6" s="1"/>
  <c r="B681" i="6"/>
  <c r="C681" i="6" s="1"/>
  <c r="B680" i="6"/>
  <c r="C680" i="6" s="1"/>
  <c r="B679" i="6"/>
  <c r="C679" i="6" s="1"/>
  <c r="B678" i="6"/>
  <c r="C678" i="6" s="1"/>
  <c r="B677" i="6"/>
  <c r="C677" i="6" s="1"/>
  <c r="B676" i="6"/>
  <c r="C676" i="6" s="1"/>
  <c r="B675" i="6"/>
  <c r="C675" i="6" s="1"/>
  <c r="B674" i="6"/>
  <c r="C674" i="6" s="1"/>
  <c r="B673" i="6"/>
  <c r="C673" i="6" s="1"/>
  <c r="B672" i="6"/>
  <c r="C672" i="6" s="1"/>
  <c r="B671" i="6"/>
  <c r="C671" i="6" s="1"/>
  <c r="B670" i="6"/>
  <c r="C670" i="6" s="1"/>
  <c r="B669" i="6"/>
  <c r="C669" i="6" s="1"/>
  <c r="B668" i="6"/>
  <c r="C668" i="6" s="1"/>
  <c r="B667" i="6"/>
  <c r="C667" i="6" s="1"/>
  <c r="B666" i="6"/>
  <c r="C666" i="6" s="1"/>
  <c r="B665" i="6"/>
  <c r="C665" i="6" s="1"/>
  <c r="B664" i="6"/>
  <c r="C664" i="6" s="1"/>
  <c r="B663" i="6"/>
  <c r="C663" i="6" s="1"/>
  <c r="B662" i="6"/>
  <c r="C662" i="6" s="1"/>
  <c r="B661" i="6"/>
  <c r="C661" i="6" s="1"/>
  <c r="B660" i="6"/>
  <c r="C660" i="6" s="1"/>
  <c r="B659" i="6"/>
  <c r="C659" i="6" s="1"/>
  <c r="B658" i="6"/>
  <c r="C658" i="6" s="1"/>
  <c r="B657" i="6"/>
  <c r="C657" i="6" s="1"/>
  <c r="B656" i="6"/>
  <c r="C656" i="6" s="1"/>
  <c r="B655" i="6"/>
  <c r="C655" i="6" s="1"/>
  <c r="B654" i="6"/>
  <c r="C654" i="6" s="1"/>
  <c r="B653" i="6"/>
  <c r="C653" i="6" s="1"/>
  <c r="B652" i="6"/>
  <c r="C652" i="6" s="1"/>
  <c r="B651" i="6"/>
  <c r="C651" i="6" s="1"/>
  <c r="B650" i="6"/>
  <c r="C650" i="6" s="1"/>
  <c r="B649" i="6"/>
  <c r="C649" i="6" s="1"/>
  <c r="B648" i="6"/>
  <c r="C648" i="6" s="1"/>
  <c r="B647" i="6"/>
  <c r="C647" i="6" s="1"/>
  <c r="B646" i="6"/>
  <c r="C646" i="6" s="1"/>
  <c r="B645" i="6"/>
  <c r="C645" i="6" s="1"/>
  <c r="B644" i="6"/>
  <c r="C644" i="6" s="1"/>
  <c r="B643" i="6"/>
  <c r="C643" i="6" s="1"/>
  <c r="B642" i="6"/>
  <c r="C642" i="6" s="1"/>
  <c r="B641" i="6"/>
  <c r="C641" i="6" s="1"/>
  <c r="B640" i="6"/>
  <c r="C640" i="6" s="1"/>
  <c r="B639" i="6"/>
  <c r="C639" i="6" s="1"/>
  <c r="B638" i="6"/>
  <c r="C638" i="6" s="1"/>
  <c r="B637" i="6"/>
  <c r="C637" i="6" s="1"/>
  <c r="B636" i="6"/>
  <c r="C636" i="6" s="1"/>
  <c r="B635" i="6"/>
  <c r="C635" i="6" s="1"/>
  <c r="B634" i="6"/>
  <c r="C634" i="6" s="1"/>
  <c r="B633" i="6"/>
  <c r="C633" i="6" s="1"/>
  <c r="B632" i="6"/>
  <c r="C632" i="6" s="1"/>
  <c r="B631" i="6"/>
  <c r="C631" i="6" s="1"/>
  <c r="B630" i="6"/>
  <c r="C630" i="6" s="1"/>
  <c r="B629" i="6"/>
  <c r="C629" i="6" s="1"/>
  <c r="B628" i="6"/>
  <c r="C628" i="6" s="1"/>
  <c r="B627" i="6"/>
  <c r="C627" i="6" s="1"/>
  <c r="B626" i="6"/>
  <c r="C626" i="6" s="1"/>
  <c r="B625" i="6"/>
  <c r="C625" i="6" s="1"/>
  <c r="B624" i="6"/>
  <c r="C624" i="6" s="1"/>
  <c r="B623" i="6"/>
  <c r="C623" i="6" s="1"/>
  <c r="B622" i="6"/>
  <c r="C622" i="6" s="1"/>
  <c r="B621" i="6"/>
  <c r="C621" i="6" s="1"/>
  <c r="B620" i="6"/>
  <c r="C620" i="6" s="1"/>
  <c r="B619" i="6"/>
  <c r="C619" i="6" s="1"/>
  <c r="B618" i="6"/>
  <c r="C618" i="6" s="1"/>
  <c r="B617" i="6"/>
  <c r="C617" i="6" s="1"/>
  <c r="B616" i="6"/>
  <c r="C616" i="6" s="1"/>
  <c r="B615" i="6"/>
  <c r="C615" i="6" s="1"/>
  <c r="B614" i="6"/>
  <c r="C614" i="6" s="1"/>
  <c r="B613" i="6"/>
  <c r="C613" i="6" s="1"/>
  <c r="B612" i="6"/>
  <c r="C612" i="6" s="1"/>
  <c r="B611" i="6"/>
  <c r="C611" i="6" s="1"/>
  <c r="B610" i="6"/>
  <c r="C610" i="6" s="1"/>
  <c r="B609" i="6"/>
  <c r="C609" i="6" s="1"/>
  <c r="B608" i="6"/>
  <c r="C608" i="6" s="1"/>
  <c r="B607" i="6"/>
  <c r="C607" i="6" s="1"/>
  <c r="B606" i="6"/>
  <c r="C606" i="6" s="1"/>
  <c r="B605" i="6"/>
  <c r="C605" i="6" s="1"/>
  <c r="B604" i="6"/>
  <c r="C604" i="6" s="1"/>
  <c r="B603" i="6"/>
  <c r="C603" i="6" s="1"/>
  <c r="B602" i="6"/>
  <c r="C602" i="6" s="1"/>
  <c r="B601" i="6"/>
  <c r="C601" i="6" s="1"/>
  <c r="B600" i="6"/>
  <c r="C600" i="6" s="1"/>
  <c r="B599" i="6"/>
  <c r="C599" i="6" s="1"/>
  <c r="B598" i="6"/>
  <c r="C598" i="6" s="1"/>
  <c r="B597" i="6"/>
  <c r="C597" i="6" s="1"/>
  <c r="B596" i="6"/>
  <c r="C596" i="6" s="1"/>
  <c r="B595" i="6"/>
  <c r="C595" i="6" s="1"/>
  <c r="B594" i="6"/>
  <c r="C594" i="6" s="1"/>
  <c r="B593" i="6"/>
  <c r="C593" i="6" s="1"/>
  <c r="B592" i="6"/>
  <c r="C592" i="6" s="1"/>
  <c r="B591" i="6"/>
  <c r="C591" i="6" s="1"/>
  <c r="B590" i="6"/>
  <c r="C590" i="6" s="1"/>
  <c r="B589" i="6"/>
  <c r="C589" i="6" s="1"/>
  <c r="B588" i="6"/>
  <c r="C588" i="6" s="1"/>
  <c r="B587" i="6"/>
  <c r="C587" i="6" s="1"/>
  <c r="B586" i="6"/>
  <c r="C586" i="6" s="1"/>
  <c r="B585" i="6"/>
  <c r="C585" i="6" s="1"/>
  <c r="B584" i="6"/>
  <c r="C584" i="6" s="1"/>
  <c r="B583" i="6"/>
  <c r="C583" i="6" s="1"/>
  <c r="B582" i="6"/>
  <c r="C582" i="6" s="1"/>
  <c r="B581" i="6"/>
  <c r="C581" i="6" s="1"/>
  <c r="B580" i="6"/>
  <c r="C580" i="6" s="1"/>
  <c r="B579" i="6"/>
  <c r="C579" i="6" s="1"/>
  <c r="B578" i="6"/>
  <c r="C578" i="6" s="1"/>
  <c r="B577" i="6"/>
  <c r="C577" i="6" s="1"/>
  <c r="B576" i="6"/>
  <c r="C576" i="6" s="1"/>
  <c r="B575" i="6"/>
  <c r="C575" i="6" s="1"/>
  <c r="B574" i="6"/>
  <c r="C574" i="6" s="1"/>
  <c r="B573" i="6"/>
  <c r="C573" i="6" s="1"/>
  <c r="B572" i="6"/>
  <c r="C572" i="6" s="1"/>
  <c r="B571" i="6"/>
  <c r="C571" i="6" s="1"/>
  <c r="B570" i="6"/>
  <c r="C570" i="6" s="1"/>
  <c r="B569" i="6"/>
  <c r="C569" i="6" s="1"/>
  <c r="B568" i="6"/>
  <c r="C568" i="6" s="1"/>
  <c r="B567" i="6"/>
  <c r="C567" i="6" s="1"/>
  <c r="B566" i="6"/>
  <c r="C566" i="6" s="1"/>
  <c r="B565" i="6"/>
  <c r="C565" i="6" s="1"/>
  <c r="B564" i="6"/>
  <c r="C564" i="6" s="1"/>
  <c r="B563" i="6"/>
  <c r="C563" i="6" s="1"/>
  <c r="B562" i="6"/>
  <c r="C562" i="6" s="1"/>
  <c r="B561" i="6"/>
  <c r="C561" i="6" s="1"/>
  <c r="B560" i="6"/>
  <c r="C560" i="6" s="1"/>
  <c r="B559" i="6"/>
  <c r="C559" i="6" s="1"/>
  <c r="B558" i="6"/>
  <c r="C558" i="6" s="1"/>
  <c r="B557" i="6"/>
  <c r="C557" i="6" s="1"/>
  <c r="B556" i="6"/>
  <c r="C556" i="6" s="1"/>
  <c r="B555" i="6"/>
  <c r="C555" i="6" s="1"/>
  <c r="B554" i="6"/>
  <c r="C554" i="6" s="1"/>
  <c r="B553" i="6"/>
  <c r="C553" i="6" s="1"/>
  <c r="B552" i="6"/>
  <c r="C552" i="6" s="1"/>
  <c r="B551" i="6"/>
  <c r="C551" i="6" s="1"/>
  <c r="B550" i="6"/>
  <c r="C550" i="6" s="1"/>
  <c r="B549" i="6"/>
  <c r="C549" i="6" s="1"/>
  <c r="B548" i="6"/>
  <c r="C548" i="6" s="1"/>
  <c r="B547" i="6"/>
  <c r="C547" i="6" s="1"/>
  <c r="B546" i="6"/>
  <c r="C546" i="6" s="1"/>
  <c r="B545" i="6"/>
  <c r="C545" i="6" s="1"/>
  <c r="B544" i="6"/>
  <c r="C544" i="6" s="1"/>
  <c r="B543" i="6"/>
  <c r="C543" i="6" s="1"/>
  <c r="B542" i="6"/>
  <c r="C542" i="6" s="1"/>
  <c r="B541" i="6"/>
  <c r="C541" i="6" s="1"/>
  <c r="B540" i="6"/>
  <c r="C540" i="6" s="1"/>
  <c r="B539" i="6"/>
  <c r="C539" i="6" s="1"/>
  <c r="B538" i="6"/>
  <c r="C538" i="6" s="1"/>
  <c r="B537" i="6"/>
  <c r="C537" i="6" s="1"/>
  <c r="B536" i="6"/>
  <c r="C536" i="6" s="1"/>
  <c r="B535" i="6"/>
  <c r="C535" i="6" s="1"/>
  <c r="B534" i="6"/>
  <c r="C534" i="6" s="1"/>
  <c r="B533" i="6"/>
  <c r="C533" i="6" s="1"/>
  <c r="B532" i="6"/>
  <c r="C532" i="6" s="1"/>
  <c r="B531" i="6"/>
  <c r="C531" i="6" s="1"/>
  <c r="B530" i="6"/>
  <c r="C530" i="6" s="1"/>
  <c r="B529" i="6"/>
  <c r="C529" i="6" s="1"/>
  <c r="B528" i="6"/>
  <c r="C528" i="6" s="1"/>
  <c r="B527" i="6"/>
  <c r="C527" i="6" s="1"/>
  <c r="B526" i="6"/>
  <c r="C526" i="6" s="1"/>
  <c r="B525" i="6"/>
  <c r="C525" i="6" s="1"/>
  <c r="B524" i="6"/>
  <c r="C524" i="6" s="1"/>
  <c r="B523" i="6"/>
  <c r="C523" i="6" s="1"/>
  <c r="B522" i="6"/>
  <c r="C522" i="6" s="1"/>
  <c r="B521" i="6"/>
  <c r="C521" i="6" s="1"/>
  <c r="B520" i="6"/>
  <c r="C520" i="6" s="1"/>
  <c r="B519" i="6"/>
  <c r="C519" i="6" s="1"/>
  <c r="B518" i="6"/>
  <c r="C518" i="6" s="1"/>
  <c r="B517" i="6"/>
  <c r="C517" i="6" s="1"/>
  <c r="B516" i="6"/>
  <c r="C516" i="6" s="1"/>
  <c r="B515" i="6"/>
  <c r="C515" i="6" s="1"/>
  <c r="B514" i="6"/>
  <c r="C514" i="6" s="1"/>
  <c r="B513" i="6"/>
  <c r="C513" i="6" s="1"/>
  <c r="B512" i="6"/>
  <c r="C512" i="6" s="1"/>
  <c r="B511" i="6"/>
  <c r="C511" i="6" s="1"/>
  <c r="B510" i="6"/>
  <c r="C510" i="6" s="1"/>
  <c r="B509" i="6"/>
  <c r="C509" i="6" s="1"/>
  <c r="B508" i="6"/>
  <c r="C508" i="6" s="1"/>
  <c r="B507" i="6"/>
  <c r="C507" i="6" s="1"/>
  <c r="B506" i="6"/>
  <c r="C506" i="6" s="1"/>
  <c r="B505" i="6"/>
  <c r="C505" i="6" s="1"/>
  <c r="B504" i="6"/>
  <c r="C504" i="6" s="1"/>
  <c r="B503" i="6"/>
  <c r="C503" i="6" s="1"/>
  <c r="B502" i="6"/>
  <c r="C502" i="6" s="1"/>
  <c r="B501" i="6"/>
  <c r="C501" i="6" s="1"/>
  <c r="B500" i="6"/>
  <c r="C500" i="6" s="1"/>
  <c r="B499" i="6"/>
  <c r="C499" i="6" s="1"/>
  <c r="B498" i="6"/>
  <c r="C498" i="6" s="1"/>
  <c r="B497" i="6"/>
  <c r="C497" i="6" s="1"/>
  <c r="B496" i="6"/>
  <c r="C496" i="6" s="1"/>
  <c r="B495" i="6"/>
  <c r="C495" i="6" s="1"/>
  <c r="B494" i="6"/>
  <c r="C494" i="6" s="1"/>
  <c r="B493" i="6"/>
  <c r="C493" i="6" s="1"/>
  <c r="B492" i="6"/>
  <c r="C492" i="6" s="1"/>
  <c r="B491" i="6"/>
  <c r="C491" i="6" s="1"/>
  <c r="B490" i="6"/>
  <c r="C490" i="6" s="1"/>
  <c r="B489" i="6"/>
  <c r="C489" i="6" s="1"/>
  <c r="B488" i="6"/>
  <c r="C488" i="6" s="1"/>
  <c r="B487" i="6"/>
  <c r="C487" i="6" s="1"/>
  <c r="B486" i="6"/>
  <c r="C486" i="6" s="1"/>
  <c r="B485" i="6"/>
  <c r="C485" i="6" s="1"/>
  <c r="B484" i="6"/>
  <c r="C484" i="6" s="1"/>
  <c r="B483" i="6"/>
  <c r="C483" i="6" s="1"/>
  <c r="B482" i="6"/>
  <c r="C482" i="6" s="1"/>
  <c r="B481" i="6"/>
  <c r="C481" i="6" s="1"/>
  <c r="B480" i="6"/>
  <c r="C480" i="6" s="1"/>
  <c r="B479" i="6"/>
  <c r="C479" i="6" s="1"/>
  <c r="B478" i="6"/>
  <c r="C478" i="6" s="1"/>
  <c r="B477" i="6"/>
  <c r="C477" i="6" s="1"/>
  <c r="B476" i="6"/>
  <c r="C476" i="6" s="1"/>
  <c r="B475" i="6"/>
  <c r="C475" i="6" s="1"/>
  <c r="B474" i="6"/>
  <c r="C474" i="6" s="1"/>
  <c r="B473" i="6"/>
  <c r="C473" i="6" s="1"/>
  <c r="B472" i="6"/>
  <c r="C472" i="6" s="1"/>
  <c r="B471" i="6"/>
  <c r="C471" i="6" s="1"/>
  <c r="B470" i="6"/>
  <c r="C470" i="6" s="1"/>
  <c r="B469" i="6"/>
  <c r="C469" i="6" s="1"/>
  <c r="B468" i="6"/>
  <c r="C468" i="6" s="1"/>
  <c r="B467" i="6"/>
  <c r="C467" i="6" s="1"/>
  <c r="B466" i="6"/>
  <c r="C466" i="6" s="1"/>
  <c r="B465" i="6"/>
  <c r="C465" i="6" s="1"/>
  <c r="B464" i="6"/>
  <c r="C464" i="6" s="1"/>
  <c r="B463" i="6"/>
  <c r="C463" i="6" s="1"/>
  <c r="B462" i="6"/>
  <c r="C462" i="6" s="1"/>
  <c r="B461" i="6"/>
  <c r="C461" i="6" s="1"/>
  <c r="B460" i="6"/>
  <c r="C460" i="6" s="1"/>
  <c r="B459" i="6"/>
  <c r="C459" i="6" s="1"/>
  <c r="B458" i="6"/>
  <c r="C458" i="6" s="1"/>
  <c r="B457" i="6"/>
  <c r="C457" i="6" s="1"/>
  <c r="B456" i="6"/>
  <c r="C456" i="6" s="1"/>
  <c r="B455" i="6"/>
  <c r="C455" i="6" s="1"/>
  <c r="B454" i="6"/>
  <c r="C454" i="6" s="1"/>
  <c r="B453" i="6"/>
  <c r="C453" i="6" s="1"/>
  <c r="B452" i="6"/>
  <c r="C452" i="6" s="1"/>
  <c r="B451" i="6"/>
  <c r="C451" i="6" s="1"/>
  <c r="B450" i="6"/>
  <c r="C450" i="6" s="1"/>
  <c r="B449" i="6"/>
  <c r="C449" i="6" s="1"/>
  <c r="B448" i="6"/>
  <c r="C448" i="6" s="1"/>
  <c r="B447" i="6"/>
  <c r="C447" i="6" s="1"/>
  <c r="B446" i="6"/>
  <c r="C446" i="6" s="1"/>
  <c r="B445" i="6"/>
  <c r="C445" i="6" s="1"/>
  <c r="B444" i="6"/>
  <c r="C444" i="6" s="1"/>
  <c r="B443" i="6"/>
  <c r="C443" i="6" s="1"/>
  <c r="B442" i="6"/>
  <c r="C442" i="6" s="1"/>
  <c r="B441" i="6"/>
  <c r="C441" i="6" s="1"/>
  <c r="B440" i="6"/>
  <c r="C440" i="6" s="1"/>
  <c r="B439" i="6"/>
  <c r="C439" i="6" s="1"/>
  <c r="B438" i="6"/>
  <c r="C438" i="6" s="1"/>
  <c r="B437" i="6"/>
  <c r="C437" i="6" s="1"/>
  <c r="B436" i="6"/>
  <c r="C436" i="6" s="1"/>
  <c r="B435" i="6"/>
  <c r="C435" i="6" s="1"/>
  <c r="B434" i="6"/>
  <c r="C434" i="6" s="1"/>
  <c r="B433" i="6"/>
  <c r="C433" i="6" s="1"/>
  <c r="B432" i="6"/>
  <c r="C432" i="6" s="1"/>
  <c r="B431" i="6"/>
  <c r="C431" i="6" s="1"/>
  <c r="B430" i="6"/>
  <c r="C430" i="6" s="1"/>
  <c r="B429" i="6"/>
  <c r="C429" i="6" s="1"/>
  <c r="B428" i="6"/>
  <c r="C428" i="6" s="1"/>
  <c r="B427" i="6"/>
  <c r="C427" i="6" s="1"/>
  <c r="B426" i="6"/>
  <c r="C426" i="6" s="1"/>
  <c r="B425" i="6"/>
  <c r="C425" i="6" s="1"/>
  <c r="B424" i="6"/>
  <c r="C424" i="6" s="1"/>
  <c r="B423" i="6"/>
  <c r="C423" i="6" s="1"/>
  <c r="B422" i="6"/>
  <c r="C422" i="6" s="1"/>
  <c r="B421" i="6"/>
  <c r="C421" i="6" s="1"/>
  <c r="B420" i="6"/>
  <c r="C420" i="6" s="1"/>
  <c r="B419" i="6"/>
  <c r="C419" i="6" s="1"/>
  <c r="B418" i="6"/>
  <c r="C418" i="6" s="1"/>
  <c r="B417" i="6"/>
  <c r="C417" i="6" s="1"/>
  <c r="B416" i="6"/>
  <c r="C416" i="6" s="1"/>
  <c r="B415" i="6"/>
  <c r="C415" i="6" s="1"/>
  <c r="B414" i="6"/>
  <c r="C414" i="6" s="1"/>
  <c r="B413" i="6"/>
  <c r="C413" i="6" s="1"/>
  <c r="B412" i="6"/>
  <c r="C412" i="6" s="1"/>
  <c r="B411" i="6"/>
  <c r="C411" i="6" s="1"/>
  <c r="B410" i="6"/>
  <c r="C410" i="6" s="1"/>
  <c r="B409" i="6"/>
  <c r="C409" i="6" s="1"/>
  <c r="B408" i="6"/>
  <c r="C408" i="6" s="1"/>
  <c r="B407" i="6"/>
  <c r="C407" i="6" s="1"/>
  <c r="B406" i="6"/>
  <c r="C406" i="6" s="1"/>
  <c r="B405" i="6"/>
  <c r="C405" i="6" s="1"/>
  <c r="B404" i="6"/>
  <c r="C404" i="6" s="1"/>
  <c r="B403" i="6"/>
  <c r="C403" i="6" s="1"/>
  <c r="B402" i="6"/>
  <c r="C402" i="6" s="1"/>
  <c r="B401" i="6"/>
  <c r="C401" i="6" s="1"/>
  <c r="B400" i="6"/>
  <c r="C400" i="6" s="1"/>
  <c r="B399" i="6"/>
  <c r="C399" i="6" s="1"/>
  <c r="B398" i="6"/>
  <c r="C398" i="6" s="1"/>
  <c r="B397" i="6"/>
  <c r="C397" i="6" s="1"/>
  <c r="B396" i="6"/>
  <c r="C396" i="6" s="1"/>
  <c r="B395" i="6"/>
  <c r="C395" i="6" s="1"/>
  <c r="B394" i="6"/>
  <c r="C394" i="6" s="1"/>
  <c r="B393" i="6"/>
  <c r="C393" i="6" s="1"/>
  <c r="B392" i="6"/>
  <c r="C392" i="6" s="1"/>
  <c r="B391" i="6"/>
  <c r="C391" i="6" s="1"/>
  <c r="B390" i="6"/>
  <c r="C390" i="6" s="1"/>
  <c r="B389" i="6"/>
  <c r="C389" i="6" s="1"/>
  <c r="B388" i="6"/>
  <c r="C388" i="6" s="1"/>
  <c r="B387" i="6"/>
  <c r="C387" i="6" s="1"/>
  <c r="B386" i="6"/>
  <c r="C386" i="6" s="1"/>
  <c r="B385" i="6"/>
  <c r="C385" i="6" s="1"/>
  <c r="B384" i="6"/>
  <c r="C384" i="6" s="1"/>
  <c r="B383" i="6"/>
  <c r="C383" i="6" s="1"/>
  <c r="B382" i="6"/>
  <c r="C382" i="6" s="1"/>
  <c r="B381" i="6"/>
  <c r="C381" i="6" s="1"/>
  <c r="B380" i="6"/>
  <c r="C380" i="6" s="1"/>
  <c r="B379" i="6"/>
  <c r="C379" i="6" s="1"/>
  <c r="B378" i="6"/>
  <c r="C378" i="6" s="1"/>
  <c r="B377" i="6"/>
  <c r="C377" i="6" s="1"/>
  <c r="B376" i="6"/>
  <c r="C376" i="6" s="1"/>
  <c r="B375" i="6"/>
  <c r="C375" i="6" s="1"/>
  <c r="B374" i="6"/>
  <c r="C374" i="6" s="1"/>
  <c r="B373" i="6"/>
  <c r="C373" i="6" s="1"/>
  <c r="B372" i="6"/>
  <c r="C372" i="6" s="1"/>
  <c r="B371" i="6"/>
  <c r="C371" i="6" s="1"/>
  <c r="B370" i="6"/>
  <c r="C370" i="6" s="1"/>
  <c r="B369" i="6"/>
  <c r="C369" i="6" s="1"/>
  <c r="B368" i="6"/>
  <c r="C368" i="6" s="1"/>
  <c r="B367" i="6"/>
  <c r="C367" i="6" s="1"/>
  <c r="B366" i="6"/>
  <c r="C366" i="6" s="1"/>
  <c r="B365" i="6"/>
  <c r="C365" i="6" s="1"/>
  <c r="B364" i="6"/>
  <c r="C364" i="6" s="1"/>
  <c r="B363" i="6"/>
  <c r="C363" i="6" s="1"/>
  <c r="B362" i="6"/>
  <c r="C362" i="6" s="1"/>
  <c r="B361" i="6"/>
  <c r="C361" i="6" s="1"/>
  <c r="B360" i="6"/>
  <c r="C360" i="6" s="1"/>
  <c r="B359" i="6"/>
  <c r="C359" i="6" s="1"/>
  <c r="B358" i="6"/>
  <c r="C358" i="6" s="1"/>
  <c r="B357" i="6"/>
  <c r="C357" i="6" s="1"/>
  <c r="B356" i="6"/>
  <c r="C356" i="6" s="1"/>
  <c r="B355" i="6"/>
  <c r="C355" i="6" s="1"/>
  <c r="B354" i="6"/>
  <c r="C354" i="6" s="1"/>
  <c r="B353" i="6"/>
  <c r="C353" i="6" s="1"/>
  <c r="B352" i="6"/>
  <c r="C352" i="6" s="1"/>
  <c r="B351" i="6"/>
  <c r="C351" i="6" s="1"/>
  <c r="B350" i="6"/>
  <c r="C350" i="6" s="1"/>
  <c r="B349" i="6"/>
  <c r="C349" i="6" s="1"/>
  <c r="B348" i="6"/>
  <c r="C348" i="6" s="1"/>
  <c r="B347" i="6"/>
  <c r="C347" i="6" s="1"/>
  <c r="B346" i="6"/>
  <c r="C346" i="6" s="1"/>
  <c r="B345" i="6"/>
  <c r="C345" i="6" s="1"/>
  <c r="B344" i="6"/>
  <c r="C344" i="6" s="1"/>
  <c r="B343" i="6"/>
  <c r="C343" i="6" s="1"/>
  <c r="B342" i="6"/>
  <c r="C342" i="6" s="1"/>
  <c r="B341" i="6"/>
  <c r="C341" i="6" s="1"/>
  <c r="B340" i="6"/>
  <c r="C340" i="6" s="1"/>
  <c r="B339" i="6"/>
  <c r="C339" i="6" s="1"/>
  <c r="B338" i="6"/>
  <c r="C338" i="6" s="1"/>
  <c r="B337" i="6"/>
  <c r="C337" i="6" s="1"/>
  <c r="B336" i="6"/>
  <c r="C336" i="6" s="1"/>
  <c r="B335" i="6"/>
  <c r="C335" i="6" s="1"/>
  <c r="B334" i="6"/>
  <c r="C334" i="6" s="1"/>
  <c r="B333" i="6"/>
  <c r="C333" i="6" s="1"/>
  <c r="B332" i="6"/>
  <c r="C332" i="6" s="1"/>
  <c r="B331" i="6"/>
  <c r="C331" i="6" s="1"/>
  <c r="B330" i="6"/>
  <c r="C330" i="6" s="1"/>
  <c r="B329" i="6"/>
  <c r="C329" i="6" s="1"/>
  <c r="B328" i="6"/>
  <c r="C328" i="6" s="1"/>
  <c r="B327" i="6"/>
  <c r="C327" i="6" s="1"/>
  <c r="B326" i="6"/>
  <c r="C326" i="6" s="1"/>
  <c r="B325" i="6"/>
  <c r="C325" i="6" s="1"/>
  <c r="B324" i="6"/>
  <c r="C324" i="6" s="1"/>
  <c r="B323" i="6"/>
  <c r="C323" i="6" s="1"/>
  <c r="B322" i="6"/>
  <c r="C322" i="6" s="1"/>
  <c r="B321" i="6"/>
  <c r="C321" i="6" s="1"/>
  <c r="B320" i="6"/>
  <c r="C320" i="6" s="1"/>
  <c r="B319" i="6"/>
  <c r="C319" i="6" s="1"/>
  <c r="B318" i="6"/>
  <c r="C318" i="6" s="1"/>
  <c r="B317" i="6"/>
  <c r="C317" i="6" s="1"/>
  <c r="B316" i="6"/>
  <c r="C316" i="6" s="1"/>
  <c r="B315" i="6"/>
  <c r="C315" i="6" s="1"/>
  <c r="B314" i="6"/>
  <c r="C314" i="6" s="1"/>
  <c r="B313" i="6"/>
  <c r="C313" i="6" s="1"/>
  <c r="B312" i="6"/>
  <c r="C312" i="6" s="1"/>
  <c r="B311" i="6"/>
  <c r="C311" i="6" s="1"/>
  <c r="B310" i="6"/>
  <c r="C310" i="6" s="1"/>
  <c r="B309" i="6"/>
  <c r="C309" i="6" s="1"/>
  <c r="B308" i="6"/>
  <c r="C308" i="6" s="1"/>
  <c r="B307" i="6"/>
  <c r="C307" i="6" s="1"/>
  <c r="B306" i="6"/>
  <c r="C306" i="6" s="1"/>
  <c r="B305" i="6"/>
  <c r="C305" i="6" s="1"/>
  <c r="B304" i="6"/>
  <c r="C304" i="6" s="1"/>
  <c r="B303" i="6"/>
  <c r="C303" i="6" s="1"/>
  <c r="B302" i="6"/>
  <c r="C302" i="6" s="1"/>
  <c r="B301" i="6"/>
  <c r="C301" i="6" s="1"/>
  <c r="B300" i="6"/>
  <c r="C300" i="6" s="1"/>
  <c r="B299" i="6"/>
  <c r="C299" i="6" s="1"/>
  <c r="B298" i="6"/>
  <c r="C298" i="6" s="1"/>
  <c r="B297" i="6"/>
  <c r="C297" i="6" s="1"/>
  <c r="B296" i="6"/>
  <c r="C296" i="6" s="1"/>
  <c r="B295" i="6"/>
  <c r="C295" i="6" s="1"/>
  <c r="B294" i="6"/>
  <c r="C294" i="6" s="1"/>
  <c r="B293" i="6"/>
  <c r="C293" i="6" s="1"/>
  <c r="B292" i="6"/>
  <c r="C292" i="6" s="1"/>
  <c r="B291" i="6"/>
  <c r="C291" i="6" s="1"/>
  <c r="B290" i="6"/>
  <c r="C290" i="6" s="1"/>
  <c r="B289" i="6"/>
  <c r="C289" i="6" s="1"/>
  <c r="B288" i="6"/>
  <c r="C288" i="6" s="1"/>
  <c r="B287" i="6"/>
  <c r="C287" i="6" s="1"/>
  <c r="B286" i="6"/>
  <c r="C286" i="6" s="1"/>
  <c r="B285" i="6"/>
  <c r="C285" i="6" s="1"/>
  <c r="B284" i="6"/>
  <c r="C284" i="6" s="1"/>
  <c r="B283" i="6"/>
  <c r="C283" i="6" s="1"/>
  <c r="B282" i="6"/>
  <c r="C282" i="6" s="1"/>
  <c r="B281" i="6"/>
  <c r="C281" i="6" s="1"/>
  <c r="B280" i="6"/>
  <c r="C280" i="6" s="1"/>
  <c r="B279" i="6"/>
  <c r="C279" i="6" s="1"/>
  <c r="B278" i="6"/>
  <c r="C278" i="6" s="1"/>
  <c r="B277" i="6"/>
  <c r="C277" i="6" s="1"/>
  <c r="B276" i="6"/>
  <c r="C276" i="6" s="1"/>
  <c r="B275" i="6"/>
  <c r="C275" i="6" s="1"/>
  <c r="B274" i="6"/>
  <c r="C274" i="6" s="1"/>
  <c r="B273" i="6"/>
  <c r="C273" i="6" s="1"/>
  <c r="B272" i="6"/>
  <c r="C272" i="6" s="1"/>
  <c r="B271" i="6"/>
  <c r="C271" i="6" s="1"/>
  <c r="B270" i="6"/>
  <c r="C270" i="6" s="1"/>
  <c r="B269" i="6"/>
  <c r="C269" i="6" s="1"/>
  <c r="B268" i="6"/>
  <c r="C268" i="6" s="1"/>
  <c r="B267" i="6"/>
  <c r="C267" i="6" s="1"/>
  <c r="B266" i="6"/>
  <c r="C266" i="6" s="1"/>
  <c r="B265" i="6"/>
  <c r="C265" i="6" s="1"/>
  <c r="B264" i="6"/>
  <c r="C264" i="6" s="1"/>
  <c r="B263" i="6"/>
  <c r="C263" i="6" s="1"/>
  <c r="B262" i="6"/>
  <c r="C262" i="6" s="1"/>
  <c r="B261" i="6"/>
  <c r="C261" i="6" s="1"/>
  <c r="B260" i="6"/>
  <c r="C260" i="6" s="1"/>
  <c r="B259" i="6"/>
  <c r="C259" i="6" s="1"/>
  <c r="B258" i="6"/>
  <c r="C258" i="6" s="1"/>
  <c r="B257" i="6"/>
  <c r="C257" i="6" s="1"/>
  <c r="B256" i="6"/>
  <c r="C256" i="6" s="1"/>
  <c r="B255" i="6"/>
  <c r="C255" i="6" s="1"/>
  <c r="B254" i="6"/>
  <c r="C254" i="6" s="1"/>
  <c r="B253" i="6"/>
  <c r="C253" i="6" s="1"/>
  <c r="B252" i="6"/>
  <c r="C252" i="6" s="1"/>
  <c r="B251" i="6"/>
  <c r="C251" i="6" s="1"/>
  <c r="B250" i="6"/>
  <c r="C250" i="6" s="1"/>
  <c r="B249" i="6"/>
  <c r="C249" i="6" s="1"/>
  <c r="B248" i="6"/>
  <c r="C248" i="6" s="1"/>
  <c r="B247" i="6"/>
  <c r="C247" i="6" s="1"/>
  <c r="B246" i="6"/>
  <c r="C246" i="6" s="1"/>
  <c r="B245" i="6"/>
  <c r="C245" i="6" s="1"/>
  <c r="B244" i="6"/>
  <c r="C244" i="6" s="1"/>
  <c r="B243" i="6"/>
  <c r="C243" i="6" s="1"/>
  <c r="B242" i="6"/>
  <c r="C242" i="6" s="1"/>
  <c r="B241" i="6"/>
  <c r="C241" i="6" s="1"/>
  <c r="B240" i="6"/>
  <c r="C240" i="6" s="1"/>
  <c r="B239" i="6"/>
  <c r="C239" i="6" s="1"/>
  <c r="B238" i="6"/>
  <c r="C238" i="6" s="1"/>
  <c r="B237" i="6"/>
  <c r="C237" i="6" s="1"/>
  <c r="B236" i="6"/>
  <c r="C236" i="6" s="1"/>
  <c r="B235" i="6"/>
  <c r="C235" i="6" s="1"/>
  <c r="B234" i="6"/>
  <c r="C234" i="6" s="1"/>
  <c r="B233" i="6"/>
  <c r="C233" i="6" s="1"/>
  <c r="B232" i="6"/>
  <c r="C232" i="6" s="1"/>
  <c r="B231" i="6"/>
  <c r="C231" i="6" s="1"/>
  <c r="B230" i="6"/>
  <c r="C230" i="6" s="1"/>
  <c r="B229" i="6"/>
  <c r="C229" i="6" s="1"/>
  <c r="B228" i="6"/>
  <c r="C228" i="6" s="1"/>
  <c r="B227" i="6"/>
  <c r="C227" i="6" s="1"/>
  <c r="B226" i="6"/>
  <c r="C226" i="6" s="1"/>
  <c r="B225" i="6"/>
  <c r="C225" i="6" s="1"/>
  <c r="B224" i="6"/>
  <c r="C224" i="6" s="1"/>
  <c r="B223" i="6"/>
  <c r="C223" i="6" s="1"/>
  <c r="B222" i="6"/>
  <c r="C222" i="6" s="1"/>
  <c r="B221" i="6"/>
  <c r="C221" i="6" s="1"/>
  <c r="B220" i="6"/>
  <c r="C220" i="6" s="1"/>
  <c r="B219" i="6"/>
  <c r="C219" i="6" s="1"/>
  <c r="B218" i="6"/>
  <c r="C218" i="6" s="1"/>
  <c r="B217" i="6"/>
  <c r="C217" i="6" s="1"/>
  <c r="B216" i="6"/>
  <c r="C216" i="6" s="1"/>
  <c r="B215" i="6"/>
  <c r="C215" i="6" s="1"/>
  <c r="B214" i="6"/>
  <c r="C214" i="6" s="1"/>
  <c r="B213" i="6"/>
  <c r="C213" i="6" s="1"/>
  <c r="B212" i="6"/>
  <c r="C212" i="6" s="1"/>
  <c r="B211" i="6"/>
  <c r="C211" i="6" s="1"/>
  <c r="B210" i="6"/>
  <c r="C210" i="6" s="1"/>
  <c r="B209" i="6"/>
  <c r="C209" i="6" s="1"/>
  <c r="B208" i="6"/>
  <c r="C208" i="6" s="1"/>
  <c r="B207" i="6"/>
  <c r="C207" i="6" s="1"/>
  <c r="B206" i="6"/>
  <c r="C206" i="6" s="1"/>
  <c r="B205" i="6"/>
  <c r="C205" i="6" s="1"/>
  <c r="B204" i="6"/>
  <c r="C204" i="6" s="1"/>
  <c r="B203" i="6"/>
  <c r="C203" i="6" s="1"/>
  <c r="B202" i="6"/>
  <c r="C202" i="6" s="1"/>
  <c r="B201" i="6"/>
  <c r="C201" i="6" s="1"/>
  <c r="B200" i="6"/>
  <c r="C200" i="6" s="1"/>
  <c r="B199" i="6"/>
  <c r="C199" i="6" s="1"/>
  <c r="B198" i="6"/>
  <c r="C198" i="6" s="1"/>
  <c r="B197" i="6"/>
  <c r="C197" i="6" s="1"/>
  <c r="B196" i="6"/>
  <c r="C196" i="6" s="1"/>
  <c r="B195" i="6"/>
  <c r="C195" i="6" s="1"/>
  <c r="B194" i="6"/>
  <c r="C194" i="6" s="1"/>
  <c r="B193" i="6"/>
  <c r="C193" i="6" s="1"/>
  <c r="B192" i="6"/>
  <c r="C192" i="6" s="1"/>
  <c r="B191" i="6"/>
  <c r="C191" i="6" s="1"/>
  <c r="B190" i="6"/>
  <c r="C190" i="6" s="1"/>
  <c r="B189" i="6"/>
  <c r="C189" i="6" s="1"/>
  <c r="B188" i="6"/>
  <c r="C188" i="6" s="1"/>
  <c r="B187" i="6"/>
  <c r="C187" i="6" s="1"/>
  <c r="B186" i="6"/>
  <c r="C186" i="6" s="1"/>
  <c r="B185" i="6"/>
  <c r="C185" i="6" s="1"/>
  <c r="B184" i="6"/>
  <c r="C184" i="6" s="1"/>
  <c r="B183" i="6"/>
  <c r="C183" i="6" s="1"/>
  <c r="B182" i="6"/>
  <c r="C182" i="6" s="1"/>
  <c r="B181" i="6"/>
  <c r="C181" i="6" s="1"/>
  <c r="B180" i="6"/>
  <c r="C180" i="6" s="1"/>
  <c r="B179" i="6"/>
  <c r="C179" i="6" s="1"/>
  <c r="B178" i="6"/>
  <c r="C178" i="6" s="1"/>
  <c r="B177" i="6"/>
  <c r="C177" i="6" s="1"/>
  <c r="B176" i="6"/>
  <c r="C176" i="6" s="1"/>
  <c r="B175" i="6"/>
  <c r="C175" i="6" s="1"/>
  <c r="B174" i="6"/>
  <c r="C174" i="6" s="1"/>
  <c r="B173" i="6"/>
  <c r="C173" i="6" s="1"/>
  <c r="B172" i="6"/>
  <c r="C172" i="6" s="1"/>
  <c r="B171" i="6"/>
  <c r="C171" i="6" s="1"/>
  <c r="B170" i="6"/>
  <c r="C170" i="6" s="1"/>
  <c r="B169" i="6"/>
  <c r="C169" i="6" s="1"/>
  <c r="B168" i="6"/>
  <c r="C168" i="6" s="1"/>
  <c r="B167" i="6"/>
  <c r="C167" i="6" s="1"/>
  <c r="B166" i="6"/>
  <c r="C166" i="6" s="1"/>
  <c r="B165" i="6"/>
  <c r="C165" i="6" s="1"/>
  <c r="B164" i="6"/>
  <c r="C164" i="6" s="1"/>
  <c r="B163" i="6"/>
  <c r="C163" i="6" s="1"/>
  <c r="B162" i="6"/>
  <c r="C162" i="6" s="1"/>
  <c r="B161" i="6"/>
  <c r="C161" i="6" s="1"/>
  <c r="B160" i="6"/>
  <c r="C160" i="6" s="1"/>
  <c r="B159" i="6"/>
  <c r="C159" i="6" s="1"/>
  <c r="B158" i="6"/>
  <c r="C158" i="6" s="1"/>
  <c r="B157" i="6"/>
  <c r="C157" i="6" s="1"/>
  <c r="B156" i="6"/>
  <c r="C156" i="6" s="1"/>
  <c r="B155" i="6"/>
  <c r="C155" i="6" s="1"/>
  <c r="B154" i="6"/>
  <c r="C154" i="6" s="1"/>
  <c r="B153" i="6"/>
  <c r="C153" i="6" s="1"/>
  <c r="B152" i="6"/>
  <c r="C152" i="6" s="1"/>
  <c r="B151" i="6"/>
  <c r="C151" i="6" s="1"/>
  <c r="B150" i="6"/>
  <c r="C150" i="6" s="1"/>
  <c r="B149" i="6"/>
  <c r="C149" i="6" s="1"/>
  <c r="B148" i="6"/>
  <c r="C148" i="6" s="1"/>
  <c r="B147" i="6"/>
  <c r="C147" i="6" s="1"/>
  <c r="B146" i="6"/>
  <c r="C146" i="6" s="1"/>
  <c r="B145" i="6"/>
  <c r="C145" i="6" s="1"/>
  <c r="B144" i="6"/>
  <c r="C144" i="6" s="1"/>
  <c r="B143" i="6"/>
  <c r="C143" i="6" s="1"/>
  <c r="B142" i="6"/>
  <c r="C142" i="6" s="1"/>
  <c r="B141" i="6"/>
  <c r="C141" i="6" s="1"/>
  <c r="B140" i="6"/>
  <c r="C140" i="6" s="1"/>
  <c r="B139" i="6"/>
  <c r="C139" i="6" s="1"/>
  <c r="B138" i="6"/>
  <c r="C138" i="6" s="1"/>
  <c r="B137" i="6"/>
  <c r="C137" i="6" s="1"/>
  <c r="B136" i="6"/>
  <c r="C136" i="6" s="1"/>
  <c r="B135" i="6"/>
  <c r="C135" i="6" s="1"/>
  <c r="B134" i="6"/>
  <c r="C134" i="6" s="1"/>
  <c r="B133" i="6"/>
  <c r="C133" i="6" s="1"/>
  <c r="B132" i="6"/>
  <c r="C132" i="6" s="1"/>
  <c r="B131" i="6"/>
  <c r="C131" i="6" s="1"/>
  <c r="B130" i="6"/>
  <c r="C130" i="6" s="1"/>
  <c r="B129" i="6"/>
  <c r="C129" i="6" s="1"/>
  <c r="B128" i="6"/>
  <c r="C128" i="6" s="1"/>
  <c r="B127" i="6"/>
  <c r="C127" i="6" s="1"/>
  <c r="B126" i="6"/>
  <c r="C126" i="6" s="1"/>
  <c r="B125" i="6"/>
  <c r="C125" i="6" s="1"/>
  <c r="B124" i="6"/>
  <c r="C124" i="6" s="1"/>
  <c r="B123" i="6"/>
  <c r="C123" i="6" s="1"/>
  <c r="B122" i="6"/>
  <c r="C122" i="6" s="1"/>
  <c r="B121" i="6"/>
  <c r="C121" i="6" s="1"/>
  <c r="B120" i="6"/>
  <c r="C120" i="6" s="1"/>
  <c r="B119" i="6"/>
  <c r="C119" i="6" s="1"/>
  <c r="B118" i="6"/>
  <c r="C118" i="6" s="1"/>
  <c r="B117" i="6"/>
  <c r="C117" i="6" s="1"/>
  <c r="B116" i="6"/>
  <c r="C116" i="6" s="1"/>
  <c r="B115" i="6"/>
  <c r="C115" i="6" s="1"/>
  <c r="B114" i="6"/>
  <c r="C114" i="6" s="1"/>
  <c r="B113" i="6"/>
  <c r="C113" i="6" s="1"/>
  <c r="B112" i="6"/>
  <c r="C112" i="6" s="1"/>
  <c r="B111" i="6"/>
  <c r="C111" i="6" s="1"/>
  <c r="B110" i="6"/>
  <c r="C110" i="6" s="1"/>
  <c r="B109" i="6"/>
  <c r="C109" i="6" s="1"/>
  <c r="B108" i="6"/>
  <c r="C108" i="6" s="1"/>
  <c r="B107" i="6"/>
  <c r="C107" i="6" s="1"/>
  <c r="B106" i="6"/>
  <c r="C106" i="6" s="1"/>
  <c r="B105" i="6"/>
  <c r="C105" i="6" s="1"/>
  <c r="B104" i="6"/>
  <c r="C104" i="6" s="1"/>
  <c r="B103" i="6"/>
  <c r="C103" i="6" s="1"/>
  <c r="B102" i="6"/>
  <c r="C102" i="6" s="1"/>
  <c r="B101" i="6"/>
  <c r="C101" i="6" s="1"/>
  <c r="B100" i="6"/>
  <c r="C100" i="6" s="1"/>
  <c r="B99" i="6"/>
  <c r="C99" i="6" s="1"/>
  <c r="B98" i="6"/>
  <c r="C98" i="6" s="1"/>
  <c r="B97" i="6"/>
  <c r="C97" i="6" s="1"/>
  <c r="B96" i="6"/>
  <c r="C96" i="6" s="1"/>
  <c r="B95" i="6"/>
  <c r="C95" i="6" s="1"/>
  <c r="B94" i="6"/>
  <c r="C94" i="6" s="1"/>
  <c r="B93" i="6"/>
  <c r="C93" i="6" s="1"/>
  <c r="B92" i="6"/>
  <c r="C92" i="6" s="1"/>
  <c r="B91" i="6"/>
  <c r="C91" i="6" s="1"/>
  <c r="B90" i="6"/>
  <c r="C90" i="6" s="1"/>
  <c r="B89" i="6"/>
  <c r="C89" i="6" s="1"/>
  <c r="B88" i="6"/>
  <c r="C88" i="6" s="1"/>
  <c r="B87" i="6"/>
  <c r="C87" i="6" s="1"/>
  <c r="B86" i="6"/>
  <c r="C86" i="6" s="1"/>
  <c r="B85" i="6"/>
  <c r="C85" i="6" s="1"/>
  <c r="B84" i="6"/>
  <c r="C84" i="6" s="1"/>
  <c r="B83" i="6"/>
  <c r="C83" i="6" s="1"/>
  <c r="B82" i="6"/>
  <c r="C82" i="6" s="1"/>
  <c r="B81" i="6"/>
  <c r="C81" i="6" s="1"/>
  <c r="B80" i="6"/>
  <c r="C80" i="6" s="1"/>
  <c r="B79" i="6"/>
  <c r="C79" i="6" s="1"/>
  <c r="B78" i="6"/>
  <c r="C78" i="6" s="1"/>
  <c r="B77" i="6"/>
  <c r="C77" i="6" s="1"/>
  <c r="B76" i="6"/>
  <c r="C76" i="6" s="1"/>
  <c r="B75" i="6"/>
  <c r="C75" i="6" s="1"/>
  <c r="B74" i="6"/>
  <c r="C74" i="6" s="1"/>
  <c r="B73" i="6"/>
  <c r="C73" i="6" s="1"/>
  <c r="B72" i="6"/>
  <c r="C72" i="6" s="1"/>
  <c r="B71" i="6"/>
  <c r="C71" i="6" s="1"/>
  <c r="B70" i="6"/>
  <c r="C70" i="6" s="1"/>
  <c r="B69" i="6"/>
  <c r="C69" i="6" s="1"/>
  <c r="B68" i="6"/>
  <c r="C68" i="6" s="1"/>
  <c r="B67" i="6"/>
  <c r="C67" i="6" s="1"/>
  <c r="B66" i="6"/>
  <c r="C66" i="6" s="1"/>
  <c r="B65" i="6"/>
  <c r="C65" i="6" s="1"/>
  <c r="B64" i="6"/>
  <c r="C64" i="6" s="1"/>
  <c r="B63" i="6"/>
  <c r="C63" i="6" s="1"/>
  <c r="B62" i="6"/>
  <c r="C62" i="6" s="1"/>
  <c r="B61" i="6"/>
  <c r="C61" i="6" s="1"/>
  <c r="B60" i="6"/>
  <c r="C60" i="6" s="1"/>
  <c r="B59" i="6"/>
  <c r="C59" i="6" s="1"/>
  <c r="B58" i="6"/>
  <c r="C58" i="6" s="1"/>
  <c r="B57" i="6"/>
  <c r="C57" i="6" s="1"/>
  <c r="B56" i="6"/>
  <c r="C56" i="6" s="1"/>
  <c r="B55" i="6"/>
  <c r="C55" i="6" s="1"/>
  <c r="B54" i="6"/>
  <c r="C54" i="6" s="1"/>
  <c r="B53" i="6"/>
  <c r="C53" i="6" s="1"/>
  <c r="B52" i="6"/>
  <c r="C52" i="6" s="1"/>
  <c r="B51" i="6"/>
  <c r="C51" i="6" s="1"/>
  <c r="B50" i="6"/>
  <c r="C50" i="6" s="1"/>
  <c r="B49" i="6"/>
  <c r="C49" i="6" s="1"/>
  <c r="B48" i="6"/>
  <c r="C48" i="6" s="1"/>
  <c r="B47" i="6"/>
  <c r="C47" i="6" s="1"/>
  <c r="B46" i="6"/>
  <c r="C46" i="6" s="1"/>
  <c r="B45" i="6"/>
  <c r="C45" i="6" s="1"/>
  <c r="B44" i="6"/>
  <c r="C44" i="6" s="1"/>
  <c r="B43" i="6"/>
  <c r="C43" i="6" s="1"/>
  <c r="B42" i="6"/>
  <c r="C42" i="6" s="1"/>
  <c r="B41" i="6"/>
  <c r="C41" i="6" s="1"/>
  <c r="B40" i="6"/>
  <c r="C40" i="6" s="1"/>
  <c r="B39" i="6"/>
  <c r="C39" i="6" s="1"/>
  <c r="B38" i="6"/>
  <c r="C38" i="6" s="1"/>
  <c r="B37" i="6"/>
  <c r="C37" i="6" s="1"/>
  <c r="B36" i="6"/>
  <c r="C36" i="6" s="1"/>
  <c r="B35" i="6"/>
  <c r="C35" i="6" s="1"/>
  <c r="B34" i="6"/>
  <c r="C34" i="6" s="1"/>
  <c r="B33" i="6"/>
  <c r="C33" i="6" s="1"/>
  <c r="B32" i="6"/>
  <c r="C32" i="6" s="1"/>
  <c r="B31" i="6"/>
  <c r="C31" i="6" s="1"/>
  <c r="B30" i="6"/>
  <c r="C30" i="6" s="1"/>
  <c r="B29" i="6"/>
  <c r="C29" i="6" s="1"/>
  <c r="B28" i="6"/>
  <c r="C28" i="6" s="1"/>
  <c r="B27" i="6"/>
  <c r="C27" i="6" s="1"/>
  <c r="B26" i="6"/>
  <c r="C26" i="6" s="1"/>
  <c r="B25" i="6"/>
  <c r="C25" i="6" s="1"/>
  <c r="B24" i="6"/>
  <c r="C24" i="6" s="1"/>
  <c r="B23" i="6"/>
  <c r="C23" i="6" s="1"/>
  <c r="B22" i="6"/>
  <c r="C22" i="6" s="1"/>
  <c r="B21" i="6"/>
  <c r="C21" i="6" s="1"/>
  <c r="B20" i="6"/>
  <c r="C20" i="6" s="1"/>
  <c r="B19" i="6"/>
  <c r="C19" i="6" s="1"/>
  <c r="B18" i="6"/>
  <c r="C18" i="6" s="1"/>
  <c r="B17" i="6"/>
  <c r="C17" i="6" s="1"/>
  <c r="B16" i="6"/>
  <c r="C16" i="6" s="1"/>
  <c r="B15" i="6"/>
  <c r="C15" i="6" s="1"/>
  <c r="B14" i="6"/>
  <c r="C14" i="6" s="1"/>
  <c r="B13" i="6"/>
  <c r="C13" i="6" s="1"/>
  <c r="B12" i="6"/>
  <c r="C12" i="6" s="1"/>
  <c r="B11" i="6"/>
  <c r="C11" i="6" s="1"/>
  <c r="B10" i="6"/>
  <c r="C10" i="6" s="1"/>
  <c r="B9" i="6"/>
  <c r="C9" i="6" s="1"/>
  <c r="B8" i="6"/>
  <c r="C8" i="6" s="1"/>
  <c r="B7" i="6"/>
  <c r="C7" i="6" s="1"/>
  <c r="B6" i="6"/>
  <c r="C6" i="6" s="1"/>
  <c r="B5" i="6"/>
  <c r="C5" i="6" s="1"/>
  <c r="B4" i="6"/>
  <c r="C4" i="6" s="1"/>
  <c r="B3" i="6"/>
  <c r="C3" i="6" s="1"/>
  <c r="B2" i="6"/>
  <c r="C2" i="6" s="1"/>
  <c r="A690" i="6"/>
  <c r="A689" i="6"/>
  <c r="A688" i="6"/>
  <c r="A687" i="6"/>
  <c r="A686" i="6"/>
  <c r="A685" i="6"/>
  <c r="A684" i="6"/>
  <c r="A683" i="6"/>
  <c r="A682" i="6"/>
  <c r="A681" i="6"/>
  <c r="A680" i="6"/>
  <c r="A679" i="6"/>
  <c r="A678" i="6"/>
  <c r="A677" i="6"/>
  <c r="A676" i="6"/>
  <c r="A675" i="6"/>
  <c r="A674" i="6"/>
  <c r="A673" i="6"/>
  <c r="A672" i="6"/>
  <c r="A671" i="6"/>
  <c r="A670" i="6"/>
  <c r="A669" i="6"/>
  <c r="A668" i="6"/>
  <c r="A667" i="6"/>
  <c r="A666" i="6"/>
  <c r="A665" i="6"/>
  <c r="A664" i="6"/>
  <c r="A663" i="6"/>
  <c r="A662" i="6"/>
  <c r="A661" i="6"/>
  <c r="A660" i="6"/>
  <c r="A659" i="6"/>
  <c r="A658" i="6"/>
  <c r="A657" i="6"/>
  <c r="A656" i="6"/>
  <c r="A655" i="6"/>
  <c r="A654" i="6"/>
  <c r="A653" i="6"/>
  <c r="A652" i="6"/>
  <c r="A651" i="6"/>
  <c r="A650" i="6"/>
  <c r="A649" i="6"/>
  <c r="A648" i="6"/>
  <c r="A647" i="6"/>
  <c r="A646" i="6"/>
  <c r="A645" i="6"/>
  <c r="A644" i="6"/>
  <c r="A643" i="6"/>
  <c r="A642" i="6"/>
  <c r="A641" i="6"/>
  <c r="A640" i="6"/>
  <c r="A639" i="6"/>
  <c r="A638" i="6"/>
  <c r="A637" i="6"/>
  <c r="A636" i="6"/>
  <c r="A635" i="6"/>
  <c r="A634" i="6"/>
  <c r="A633" i="6"/>
  <c r="A632" i="6"/>
  <c r="A631" i="6"/>
  <c r="A630" i="6"/>
  <c r="A629" i="6"/>
  <c r="A628" i="6"/>
  <c r="A627" i="6"/>
  <c r="A626" i="6"/>
  <c r="A625" i="6"/>
  <c r="A624" i="6"/>
  <c r="A623" i="6"/>
  <c r="A622" i="6"/>
  <c r="A621" i="6"/>
  <c r="A620" i="6"/>
  <c r="A619" i="6"/>
  <c r="A618" i="6"/>
  <c r="A617" i="6"/>
  <c r="A616" i="6"/>
  <c r="A615" i="6"/>
  <c r="A614" i="6"/>
  <c r="A613" i="6"/>
  <c r="A612" i="6"/>
  <c r="A611" i="6"/>
  <c r="A610" i="6"/>
  <c r="A609" i="6"/>
  <c r="A608" i="6"/>
  <c r="A607" i="6"/>
  <c r="A606" i="6"/>
  <c r="A605" i="6"/>
  <c r="A604" i="6"/>
  <c r="A603" i="6"/>
  <c r="A602" i="6"/>
  <c r="A601" i="6"/>
  <c r="A600" i="6"/>
  <c r="A599" i="6"/>
  <c r="A598" i="6"/>
  <c r="A597" i="6"/>
  <c r="A596" i="6"/>
  <c r="A595" i="6"/>
  <c r="A594" i="6"/>
  <c r="A593" i="6"/>
  <c r="A592" i="6"/>
  <c r="A591" i="6"/>
  <c r="A590" i="6"/>
  <c r="A589" i="6"/>
  <c r="A588" i="6"/>
  <c r="A587" i="6"/>
  <c r="A586" i="6"/>
  <c r="A585" i="6"/>
  <c r="A584" i="6"/>
  <c r="A583" i="6"/>
  <c r="A582" i="6"/>
  <c r="A581" i="6"/>
  <c r="A580" i="6"/>
  <c r="A579" i="6"/>
  <c r="A578" i="6"/>
  <c r="A577" i="6"/>
  <c r="A576" i="6"/>
  <c r="A575" i="6"/>
  <c r="A574" i="6"/>
  <c r="A573" i="6"/>
  <c r="A572" i="6"/>
  <c r="A571" i="6"/>
  <c r="A570" i="6"/>
  <c r="A569" i="6"/>
  <c r="A568" i="6"/>
  <c r="A567" i="6"/>
  <c r="A566" i="6"/>
  <c r="A565" i="6"/>
  <c r="A564" i="6"/>
  <c r="A563" i="6"/>
  <c r="A562" i="6"/>
  <c r="A561" i="6"/>
  <c r="A560" i="6"/>
  <c r="A559" i="6"/>
  <c r="A558" i="6"/>
  <c r="A557" i="6"/>
  <c r="A556" i="6"/>
  <c r="A555" i="6"/>
  <c r="A554" i="6"/>
  <c r="A553" i="6"/>
  <c r="A552" i="6"/>
  <c r="A551" i="6"/>
  <c r="A550" i="6"/>
  <c r="A549" i="6"/>
  <c r="A548" i="6"/>
  <c r="A547" i="6"/>
  <c r="A546" i="6"/>
  <c r="A545" i="6"/>
  <c r="A544" i="6"/>
  <c r="A543" i="6"/>
  <c r="A542" i="6"/>
  <c r="A541" i="6"/>
  <c r="A540" i="6"/>
  <c r="A539" i="6"/>
  <c r="A538" i="6"/>
  <c r="A537" i="6"/>
  <c r="A536" i="6"/>
  <c r="A535" i="6"/>
  <c r="A534" i="6"/>
  <c r="A533" i="6"/>
  <c r="A532" i="6"/>
  <c r="A531" i="6"/>
  <c r="A530" i="6"/>
  <c r="A529" i="6"/>
  <c r="A528" i="6"/>
  <c r="A527" i="6"/>
  <c r="A526" i="6"/>
  <c r="A525" i="6"/>
  <c r="A524" i="6"/>
  <c r="A523" i="6"/>
  <c r="A522" i="6"/>
  <c r="A521" i="6"/>
  <c r="A520" i="6"/>
  <c r="A519" i="6"/>
  <c r="A518" i="6"/>
  <c r="A517" i="6"/>
  <c r="A516" i="6"/>
  <c r="A515" i="6"/>
  <c r="A514" i="6"/>
  <c r="A513" i="6"/>
  <c r="A512" i="6"/>
  <c r="A511" i="6"/>
  <c r="A510" i="6"/>
  <c r="A509" i="6"/>
  <c r="A508" i="6"/>
  <c r="A507" i="6"/>
  <c r="A506" i="6"/>
  <c r="A505" i="6"/>
  <c r="A504" i="6"/>
  <c r="A503" i="6"/>
  <c r="A502" i="6"/>
  <c r="A501" i="6"/>
  <c r="A500" i="6"/>
  <c r="A499" i="6"/>
  <c r="A498" i="6"/>
  <c r="A497" i="6"/>
  <c r="A496" i="6"/>
  <c r="A495" i="6"/>
  <c r="A494" i="6"/>
  <c r="A493" i="6"/>
  <c r="A492" i="6"/>
  <c r="A491" i="6"/>
  <c r="A490" i="6"/>
  <c r="A489" i="6"/>
  <c r="A488" i="6"/>
  <c r="A487" i="6"/>
  <c r="A486" i="6"/>
  <c r="A485" i="6"/>
  <c r="A484" i="6"/>
  <c r="A483" i="6"/>
  <c r="A482" i="6"/>
  <c r="A481" i="6"/>
  <c r="A480" i="6"/>
  <c r="A479" i="6"/>
  <c r="A478" i="6"/>
  <c r="A477" i="6"/>
  <c r="A476" i="6"/>
  <c r="A475" i="6"/>
  <c r="A474" i="6"/>
  <c r="A473" i="6"/>
  <c r="A472" i="6"/>
  <c r="A471" i="6"/>
  <c r="A470" i="6"/>
  <c r="A469" i="6"/>
  <c r="A468" i="6"/>
  <c r="A467" i="6"/>
  <c r="A466" i="6"/>
  <c r="A465" i="6"/>
  <c r="A464" i="6"/>
  <c r="A463" i="6"/>
  <c r="A462" i="6"/>
  <c r="A461" i="6"/>
  <c r="A460" i="6"/>
  <c r="A459" i="6"/>
  <c r="A458" i="6"/>
  <c r="A457" i="6"/>
  <c r="A456" i="6"/>
  <c r="A455" i="6"/>
  <c r="A454" i="6"/>
  <c r="A453" i="6"/>
  <c r="A452" i="6"/>
  <c r="A451" i="6"/>
  <c r="A450" i="6"/>
  <c r="A449" i="6"/>
  <c r="A448" i="6"/>
  <c r="A447" i="6"/>
  <c r="A446" i="6"/>
  <c r="A445" i="6"/>
  <c r="A444" i="6"/>
  <c r="A443" i="6"/>
  <c r="A442" i="6"/>
  <c r="A441" i="6"/>
  <c r="A440" i="6"/>
  <c r="A439" i="6"/>
  <c r="A438" i="6"/>
  <c r="A437" i="6"/>
  <c r="A436" i="6"/>
  <c r="A435" i="6"/>
  <c r="A434" i="6"/>
  <c r="A433" i="6"/>
  <c r="A432" i="6"/>
  <c r="A431" i="6"/>
  <c r="A430" i="6"/>
  <c r="A429" i="6"/>
  <c r="A428" i="6"/>
  <c r="A427" i="6"/>
  <c r="A426" i="6"/>
  <c r="A425" i="6"/>
  <c r="A424" i="6"/>
  <c r="A423" i="6"/>
  <c r="A422" i="6"/>
  <c r="A421" i="6"/>
  <c r="A420" i="6"/>
  <c r="A419" i="6"/>
  <c r="A418" i="6"/>
  <c r="A417" i="6"/>
  <c r="A416" i="6"/>
  <c r="A415" i="6"/>
  <c r="A414" i="6"/>
  <c r="A413" i="6"/>
  <c r="A412" i="6"/>
  <c r="A411" i="6"/>
  <c r="A410" i="6"/>
  <c r="A409" i="6"/>
  <c r="A408" i="6"/>
  <c r="A407" i="6"/>
  <c r="A406" i="6"/>
  <c r="A405" i="6"/>
  <c r="A404" i="6"/>
  <c r="A403" i="6"/>
  <c r="A402" i="6"/>
  <c r="A401" i="6"/>
  <c r="A400" i="6"/>
  <c r="A399" i="6"/>
  <c r="A398" i="6"/>
  <c r="A397" i="6"/>
  <c r="A396" i="6"/>
  <c r="A395" i="6"/>
  <c r="A394" i="6"/>
  <c r="A393" i="6"/>
  <c r="A392" i="6"/>
  <c r="A391" i="6"/>
  <c r="A390" i="6"/>
  <c r="A389" i="6"/>
  <c r="A388" i="6"/>
  <c r="A387" i="6"/>
  <c r="A386" i="6"/>
  <c r="A385" i="6"/>
  <c r="A384" i="6"/>
  <c r="A383" i="6"/>
  <c r="A382" i="6"/>
  <c r="A381" i="6"/>
  <c r="A380" i="6"/>
  <c r="A379" i="6"/>
  <c r="A378" i="6"/>
  <c r="A377" i="6"/>
  <c r="A376" i="6"/>
  <c r="A375" i="6"/>
  <c r="A374" i="6"/>
  <c r="A373" i="6"/>
  <c r="A372" i="6"/>
  <c r="A371" i="6"/>
  <c r="A370" i="6"/>
  <c r="A369" i="6"/>
  <c r="A368" i="6"/>
  <c r="A367" i="6"/>
  <c r="A366" i="6"/>
  <c r="A365" i="6"/>
  <c r="A364" i="6"/>
  <c r="A363" i="6"/>
  <c r="A362" i="6"/>
  <c r="A361" i="6"/>
  <c r="A360" i="6"/>
  <c r="A359" i="6"/>
  <c r="A358" i="6"/>
  <c r="A357" i="6"/>
  <c r="A356" i="6"/>
  <c r="A355" i="6"/>
  <c r="A354" i="6"/>
  <c r="A353" i="6"/>
  <c r="A352" i="6"/>
  <c r="A351" i="6"/>
  <c r="A350" i="6"/>
  <c r="A349" i="6"/>
  <c r="A348" i="6"/>
  <c r="A347" i="6"/>
  <c r="A346" i="6"/>
  <c r="A345" i="6"/>
  <c r="A344" i="6"/>
  <c r="A343" i="6"/>
  <c r="A342" i="6"/>
  <c r="A341" i="6"/>
  <c r="A340" i="6"/>
  <c r="A339" i="6"/>
  <c r="A338" i="6"/>
  <c r="A337" i="6"/>
  <c r="A336" i="6"/>
  <c r="A335" i="6"/>
  <c r="A334" i="6"/>
  <c r="A333" i="6"/>
  <c r="A332" i="6"/>
  <c r="A331" i="6"/>
  <c r="A330" i="6"/>
  <c r="A329" i="6"/>
  <c r="A328" i="6"/>
  <c r="A327" i="6"/>
  <c r="A326" i="6"/>
  <c r="A325" i="6"/>
  <c r="A324" i="6"/>
  <c r="A323" i="6"/>
  <c r="A322" i="6"/>
  <c r="A321" i="6"/>
  <c r="A320" i="6"/>
  <c r="A319" i="6"/>
  <c r="A318" i="6"/>
  <c r="A317" i="6"/>
  <c r="A316" i="6"/>
  <c r="A315" i="6"/>
  <c r="A314" i="6"/>
  <c r="A313" i="6"/>
  <c r="A312" i="6"/>
  <c r="A311" i="6"/>
  <c r="A310" i="6"/>
  <c r="A309" i="6"/>
  <c r="A308" i="6"/>
  <c r="A307" i="6"/>
  <c r="A306" i="6"/>
  <c r="A305" i="6"/>
  <c r="A304" i="6"/>
  <c r="A303" i="6"/>
  <c r="A302" i="6"/>
  <c r="A301" i="6"/>
  <c r="A300" i="6"/>
  <c r="A299" i="6"/>
  <c r="A298" i="6"/>
  <c r="A297" i="6"/>
  <c r="A296" i="6"/>
  <c r="A295" i="6"/>
  <c r="A294" i="6"/>
  <c r="A293" i="6"/>
  <c r="A292" i="6"/>
  <c r="A291" i="6"/>
  <c r="A290" i="6"/>
  <c r="A289" i="6"/>
  <c r="A288" i="6"/>
  <c r="A287" i="6"/>
  <c r="A286" i="6"/>
  <c r="A285" i="6"/>
  <c r="A284" i="6"/>
  <c r="A283" i="6"/>
  <c r="A282" i="6"/>
  <c r="A281" i="6"/>
  <c r="A280" i="6"/>
  <c r="A279" i="6"/>
  <c r="A278" i="6"/>
  <c r="A277" i="6"/>
  <c r="A276" i="6"/>
  <c r="A275" i="6"/>
  <c r="A274" i="6"/>
  <c r="A273" i="6"/>
  <c r="A272" i="6"/>
  <c r="A271" i="6"/>
  <c r="A270" i="6"/>
  <c r="A269" i="6"/>
  <c r="A268" i="6"/>
  <c r="A267" i="6"/>
  <c r="A266" i="6"/>
  <c r="A265" i="6"/>
  <c r="A264" i="6"/>
  <c r="A263" i="6"/>
  <c r="A262" i="6"/>
  <c r="A261" i="6"/>
  <c r="A260" i="6"/>
  <c r="A259" i="6"/>
  <c r="A258" i="6"/>
  <c r="A257" i="6"/>
  <c r="A256" i="6"/>
  <c r="A255" i="6"/>
  <c r="A254" i="6"/>
  <c r="A253" i="6"/>
  <c r="A252" i="6"/>
  <c r="A251" i="6"/>
  <c r="A250" i="6"/>
  <c r="A249" i="6"/>
  <c r="A248" i="6"/>
  <c r="A247" i="6"/>
  <c r="A246" i="6"/>
  <c r="A245" i="6"/>
  <c r="A244" i="6"/>
  <c r="A243" i="6"/>
  <c r="A242" i="6"/>
  <c r="A241" i="6"/>
  <c r="A240" i="6"/>
  <c r="A239" i="6"/>
  <c r="A238" i="6"/>
  <c r="A237" i="6"/>
  <c r="A236" i="6"/>
  <c r="A235" i="6"/>
  <c r="A234" i="6"/>
  <c r="A233" i="6"/>
  <c r="A232" i="6"/>
  <c r="A231" i="6"/>
  <c r="A230" i="6"/>
  <c r="A229" i="6"/>
  <c r="A228" i="6"/>
  <c r="A227" i="6"/>
  <c r="A226" i="6"/>
  <c r="A225" i="6"/>
  <c r="A224" i="6"/>
  <c r="A223" i="6"/>
  <c r="A222" i="6"/>
  <c r="A221" i="6"/>
  <c r="A220" i="6"/>
  <c r="A219" i="6"/>
  <c r="A218" i="6"/>
  <c r="A217" i="6"/>
  <c r="A216" i="6"/>
  <c r="A215" i="6"/>
  <c r="A214" i="6"/>
  <c r="A213" i="6"/>
  <c r="A212" i="6"/>
  <c r="A211" i="6"/>
  <c r="A210" i="6"/>
  <c r="A209" i="6"/>
  <c r="A208" i="6"/>
  <c r="A207" i="6"/>
  <c r="A206" i="6"/>
  <c r="A205" i="6"/>
  <c r="A204" i="6"/>
  <c r="A203" i="6"/>
  <c r="A202" i="6"/>
  <c r="A201" i="6"/>
  <c r="A200" i="6"/>
  <c r="A199" i="6"/>
  <c r="A198" i="6"/>
  <c r="A197" i="6"/>
  <c r="A196" i="6"/>
  <c r="A195" i="6"/>
  <c r="A194" i="6"/>
  <c r="A193" i="6"/>
  <c r="A192" i="6"/>
  <c r="A191" i="6"/>
  <c r="A190" i="6"/>
  <c r="A189" i="6"/>
  <c r="A188" i="6"/>
  <c r="A187" i="6"/>
  <c r="A186" i="6"/>
  <c r="A185" i="6"/>
  <c r="A184" i="6"/>
  <c r="A183" i="6"/>
  <c r="A182" i="6"/>
  <c r="A181" i="6"/>
  <c r="A180" i="6"/>
  <c r="A179" i="6"/>
  <c r="A178" i="6"/>
  <c r="A177" i="6"/>
  <c r="A176" i="6"/>
  <c r="A175" i="6"/>
  <c r="A174" i="6"/>
  <c r="A173" i="6"/>
  <c r="A172" i="6"/>
  <c r="A171" i="6"/>
  <c r="A170" i="6"/>
  <c r="A169" i="6"/>
  <c r="A168" i="6"/>
  <c r="A167" i="6"/>
  <c r="A166" i="6"/>
  <c r="A165" i="6"/>
  <c r="A164" i="6"/>
  <c r="A163" i="6"/>
  <c r="A162" i="6"/>
  <c r="A161" i="6"/>
  <c r="A160" i="6"/>
  <c r="A159" i="6"/>
  <c r="A158" i="6"/>
  <c r="A157" i="6"/>
  <c r="A156" i="6"/>
  <c r="A155" i="6"/>
  <c r="A154" i="6"/>
  <c r="A153" i="6"/>
  <c r="A152" i="6"/>
  <c r="A151" i="6"/>
  <c r="A150" i="6"/>
  <c r="A149" i="6"/>
  <c r="A148" i="6"/>
  <c r="A147" i="6"/>
  <c r="A146" i="6"/>
  <c r="A145" i="6"/>
  <c r="A144" i="6"/>
  <c r="A143" i="6"/>
  <c r="A142" i="6"/>
  <c r="A141" i="6"/>
  <c r="A140" i="6"/>
  <c r="A139" i="6"/>
  <c r="A138" i="6"/>
  <c r="A137" i="6"/>
  <c r="A136" i="6"/>
  <c r="A135" i="6"/>
  <c r="A134" i="6"/>
  <c r="A133" i="6"/>
  <c r="A132" i="6"/>
  <c r="A131" i="6"/>
  <c r="A130" i="6"/>
  <c r="A129" i="6"/>
  <c r="A128" i="6"/>
  <c r="A127" i="6"/>
  <c r="A126" i="6"/>
  <c r="A125" i="6"/>
  <c r="A124" i="6"/>
  <c r="A123" i="6"/>
  <c r="A122" i="6"/>
  <c r="A121" i="6"/>
  <c r="A120" i="6"/>
  <c r="A119" i="6"/>
  <c r="A118" i="6"/>
  <c r="A117" i="6"/>
  <c r="A116" i="6"/>
  <c r="A115" i="6"/>
  <c r="A114" i="6"/>
  <c r="A113" i="6"/>
  <c r="A112" i="6"/>
  <c r="A111" i="6"/>
  <c r="A110" i="6"/>
  <c r="A109" i="6"/>
  <c r="A108" i="6"/>
  <c r="A107" i="6"/>
  <c r="A106" i="6"/>
  <c r="A105" i="6"/>
  <c r="A104" i="6"/>
  <c r="A103" i="6"/>
  <c r="A102" i="6"/>
  <c r="A101" i="6"/>
  <c r="A100" i="6"/>
  <c r="A99" i="6"/>
  <c r="A98" i="6"/>
  <c r="A97" i="6"/>
  <c r="A96" i="6"/>
  <c r="A95" i="6"/>
  <c r="A94" i="6"/>
  <c r="A93" i="6"/>
  <c r="A92" i="6"/>
  <c r="A91" i="6"/>
  <c r="A90" i="6"/>
  <c r="A89" i="6"/>
  <c r="A88" i="6"/>
  <c r="A87" i="6"/>
  <c r="A86" i="6"/>
  <c r="A85" i="6"/>
  <c r="A84" i="6"/>
  <c r="A83" i="6"/>
  <c r="A82" i="6"/>
  <c r="A81" i="6"/>
  <c r="A80" i="6"/>
  <c r="A79" i="6"/>
  <c r="A78" i="6"/>
  <c r="A77" i="6"/>
  <c r="A76" i="6"/>
  <c r="A75" i="6"/>
  <c r="A74" i="6"/>
  <c r="A73" i="6"/>
  <c r="A72" i="6"/>
  <c r="A71" i="6"/>
  <c r="A70" i="6"/>
  <c r="A69" i="6"/>
  <c r="A68" i="6"/>
  <c r="A67" i="6"/>
  <c r="A66" i="6"/>
  <c r="A65" i="6"/>
  <c r="A64" i="6"/>
  <c r="A63" i="6"/>
  <c r="A62" i="6"/>
  <c r="A61" i="6"/>
  <c r="A60" i="6"/>
  <c r="A59" i="6"/>
  <c r="A58" i="6"/>
  <c r="A57" i="6"/>
  <c r="A56" i="6"/>
  <c r="A55" i="6"/>
  <c r="A54" i="6"/>
  <c r="A53" i="6"/>
  <c r="A52" i="6"/>
  <c r="A51" i="6"/>
  <c r="A50" i="6"/>
  <c r="A49" i="6"/>
  <c r="A48" i="6"/>
  <c r="A47" i="6"/>
  <c r="A46" i="6"/>
  <c r="A45" i="6"/>
  <c r="A44" i="6"/>
  <c r="A43" i="6"/>
  <c r="A42" i="6"/>
  <c r="A41" i="6"/>
  <c r="A40" i="6"/>
  <c r="A39" i="6"/>
  <c r="A38" i="6"/>
  <c r="A37" i="6"/>
  <c r="A36" i="6"/>
  <c r="A35" i="6"/>
  <c r="A34" i="6"/>
  <c r="A33" i="6"/>
  <c r="A32" i="6"/>
  <c r="A31" i="6"/>
  <c r="A30" i="6"/>
  <c r="A29" i="6"/>
  <c r="A28" i="6"/>
  <c r="A27" i="6"/>
  <c r="A26" i="6"/>
  <c r="A25" i="6"/>
  <c r="A24" i="6"/>
  <c r="A23" i="6"/>
  <c r="A22" i="6"/>
  <c r="A21" i="6"/>
  <c r="A20" i="6"/>
  <c r="A19" i="6"/>
  <c r="A18" i="6"/>
  <c r="A17" i="6"/>
  <c r="A16" i="6"/>
  <c r="A15" i="6"/>
  <c r="A14" i="6"/>
  <c r="A13" i="6"/>
  <c r="A12" i="6"/>
  <c r="A11" i="6"/>
  <c r="A10" i="6"/>
  <c r="A9" i="6"/>
  <c r="A8" i="6"/>
  <c r="A7" i="6"/>
  <c r="A6" i="6"/>
  <c r="A5" i="6"/>
  <c r="A4" i="6"/>
  <c r="A3" i="6"/>
  <c r="A2" i="6"/>
  <c r="C2" i="5"/>
  <c r="C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C99" i="5"/>
  <c r="C100" i="5"/>
  <c r="C101" i="5"/>
  <c r="C102" i="5"/>
  <c r="C103" i="5"/>
  <c r="C104" i="5"/>
  <c r="C105" i="5"/>
  <c r="C106" i="5"/>
  <c r="C107" i="5"/>
  <c r="C108" i="5"/>
  <c r="C109" i="5"/>
  <c r="C110" i="5"/>
  <c r="C111" i="5"/>
  <c r="C112" i="5"/>
  <c r="C113" i="5"/>
  <c r="C114" i="5"/>
  <c r="C115" i="5"/>
  <c r="C116" i="5"/>
  <c r="C117" i="5"/>
  <c r="C118" i="5"/>
  <c r="C119" i="5"/>
  <c r="C120" i="5"/>
  <c r="C121" i="5"/>
  <c r="C122" i="5"/>
  <c r="C123" i="5"/>
  <c r="C124" i="5"/>
  <c r="C125" i="5"/>
  <c r="C126" i="5"/>
  <c r="C127" i="5"/>
  <c r="C128" i="5"/>
  <c r="C129" i="5"/>
  <c r="C130" i="5"/>
  <c r="C131" i="5"/>
  <c r="C132" i="5"/>
  <c r="C133" i="5"/>
  <c r="C134" i="5"/>
  <c r="C135" i="5"/>
  <c r="C136" i="5"/>
  <c r="C137" i="5"/>
  <c r="C138" i="5"/>
  <c r="C139" i="5"/>
  <c r="C140" i="5"/>
  <c r="C141" i="5"/>
  <c r="C142" i="5"/>
  <c r="C143" i="5"/>
  <c r="C144" i="5"/>
  <c r="C145" i="5"/>
  <c r="C146" i="5"/>
  <c r="C147" i="5"/>
  <c r="C148" i="5"/>
  <c r="C149" i="5"/>
  <c r="C150" i="5"/>
  <c r="C151" i="5"/>
  <c r="C152" i="5"/>
  <c r="C153" i="5"/>
  <c r="C154" i="5"/>
  <c r="C155" i="5"/>
  <c r="C156" i="5"/>
  <c r="C157" i="5"/>
  <c r="C158" i="5"/>
  <c r="C159" i="5"/>
  <c r="C160" i="5"/>
  <c r="C161" i="5"/>
  <c r="C162" i="5"/>
  <c r="C163" i="5"/>
  <c r="C164" i="5"/>
  <c r="C165" i="5"/>
  <c r="C166" i="5"/>
  <c r="C167" i="5"/>
  <c r="C168" i="5"/>
  <c r="C169" i="5"/>
  <c r="C170" i="5"/>
  <c r="C171" i="5"/>
  <c r="C172" i="5"/>
  <c r="C173" i="5"/>
  <c r="C174" i="5"/>
  <c r="C175" i="5"/>
  <c r="C176" i="5"/>
  <c r="C177" i="5"/>
  <c r="C178" i="5"/>
  <c r="C179" i="5"/>
  <c r="C180" i="5"/>
  <c r="C181" i="5"/>
  <c r="C182" i="5"/>
  <c r="C183" i="5"/>
  <c r="C184" i="5"/>
  <c r="C185" i="5"/>
  <c r="C186" i="5"/>
  <c r="C187" i="5"/>
  <c r="C188" i="5"/>
  <c r="C189" i="5"/>
  <c r="C190" i="5"/>
  <c r="C191" i="5"/>
  <c r="C192" i="5"/>
  <c r="C193" i="5"/>
  <c r="C194" i="5"/>
  <c r="C195" i="5"/>
  <c r="C196" i="5"/>
  <c r="C197" i="5"/>
  <c r="C198" i="5"/>
  <c r="C199" i="5"/>
  <c r="C200" i="5"/>
  <c r="C201" i="5"/>
  <c r="C202" i="5"/>
  <c r="C203" i="5"/>
  <c r="C204" i="5"/>
  <c r="C205" i="5"/>
  <c r="C206" i="5"/>
  <c r="C207" i="5"/>
  <c r="C208" i="5"/>
  <c r="C209" i="5"/>
  <c r="C210" i="5"/>
  <c r="C211" i="5"/>
  <c r="C212" i="5"/>
  <c r="C213" i="5"/>
  <c r="C214" i="5"/>
  <c r="C215" i="5"/>
  <c r="C216" i="5"/>
  <c r="C217" i="5"/>
  <c r="C218" i="5"/>
  <c r="C219" i="5"/>
  <c r="C220" i="5"/>
  <c r="C221" i="5"/>
  <c r="C222" i="5"/>
  <c r="C223" i="5"/>
  <c r="C224" i="5"/>
  <c r="C225" i="5"/>
  <c r="C226" i="5"/>
  <c r="C227" i="5"/>
  <c r="C228" i="5"/>
  <c r="C229" i="5"/>
  <c r="C230" i="5"/>
  <c r="C231" i="5"/>
  <c r="C232" i="5"/>
  <c r="C233" i="5"/>
  <c r="C234" i="5"/>
  <c r="C235" i="5"/>
  <c r="C236" i="5"/>
  <c r="C237" i="5"/>
  <c r="C238" i="5"/>
  <c r="C239" i="5"/>
  <c r="C240" i="5"/>
  <c r="C241" i="5"/>
  <c r="C242" i="5"/>
  <c r="C243" i="5"/>
  <c r="C244" i="5"/>
  <c r="C245" i="5"/>
  <c r="C246" i="5"/>
  <c r="C247" i="5"/>
  <c r="C248" i="5"/>
  <c r="C249" i="5"/>
  <c r="C250" i="5"/>
  <c r="C251" i="5"/>
  <c r="C252" i="5"/>
  <c r="C253" i="5"/>
  <c r="C254" i="5"/>
  <c r="C255" i="5"/>
  <c r="C256" i="5"/>
  <c r="C257" i="5"/>
  <c r="C258" i="5"/>
  <c r="C259" i="5"/>
  <c r="C260" i="5"/>
  <c r="C261" i="5"/>
  <c r="C262" i="5"/>
  <c r="C263" i="5"/>
  <c r="C264" i="5"/>
  <c r="C265" i="5"/>
  <c r="C266" i="5"/>
  <c r="C267" i="5"/>
  <c r="C268" i="5"/>
  <c r="C269" i="5"/>
  <c r="C270" i="5"/>
  <c r="C271" i="5"/>
  <c r="C272" i="5"/>
  <c r="C273" i="5"/>
  <c r="C274" i="5"/>
  <c r="C275" i="5"/>
  <c r="C276" i="5"/>
  <c r="C277" i="5"/>
  <c r="C278" i="5"/>
  <c r="C279" i="5"/>
  <c r="C280" i="5"/>
  <c r="C281" i="5"/>
  <c r="C282" i="5"/>
  <c r="C283" i="5"/>
  <c r="C284" i="5"/>
  <c r="C285" i="5"/>
  <c r="C286" i="5"/>
  <c r="C287" i="5"/>
  <c r="C288" i="5"/>
  <c r="C289" i="5"/>
  <c r="C290" i="5"/>
  <c r="C291" i="5"/>
  <c r="C292" i="5"/>
  <c r="C293" i="5"/>
  <c r="C294" i="5"/>
  <c r="C295" i="5"/>
  <c r="C296" i="5"/>
  <c r="C297" i="5"/>
  <c r="C298" i="5"/>
  <c r="C299" i="5"/>
  <c r="C300" i="5"/>
  <c r="C301" i="5"/>
  <c r="C302" i="5"/>
  <c r="C303" i="5"/>
  <c r="C304" i="5"/>
  <c r="C305" i="5"/>
  <c r="C306" i="5"/>
  <c r="C307" i="5"/>
  <c r="C308" i="5"/>
  <c r="C309" i="5"/>
  <c r="C310" i="5"/>
  <c r="C311" i="5"/>
  <c r="C312" i="5"/>
  <c r="C313" i="5"/>
  <c r="C314" i="5"/>
  <c r="C315" i="5"/>
  <c r="C316" i="5"/>
  <c r="C317" i="5"/>
  <c r="C318" i="5"/>
  <c r="C319" i="5"/>
  <c r="C320" i="5"/>
  <c r="C321" i="5"/>
  <c r="C322" i="5"/>
  <c r="C323" i="5"/>
  <c r="C324" i="5"/>
  <c r="C325" i="5"/>
  <c r="C326" i="5"/>
  <c r="C327" i="5"/>
  <c r="C328" i="5"/>
  <c r="C329" i="5"/>
  <c r="C330" i="5"/>
  <c r="C331" i="5"/>
  <c r="C332" i="5"/>
  <c r="C333" i="5"/>
  <c r="C334" i="5"/>
  <c r="C335" i="5"/>
  <c r="C336" i="5"/>
  <c r="C337" i="5"/>
  <c r="C338" i="5"/>
  <c r="C339" i="5"/>
  <c r="C340" i="5"/>
  <c r="C341" i="5"/>
  <c r="C342" i="5"/>
  <c r="C343" i="5"/>
  <c r="C344" i="5"/>
  <c r="C345" i="5"/>
  <c r="C346" i="5"/>
  <c r="C347" i="5"/>
  <c r="C348" i="5"/>
  <c r="C349" i="5"/>
  <c r="C350" i="5"/>
  <c r="C351" i="5"/>
  <c r="C352" i="5"/>
  <c r="C353" i="5"/>
  <c r="C354" i="5"/>
  <c r="C355" i="5"/>
  <c r="C356" i="5"/>
  <c r="C357" i="5"/>
  <c r="C358" i="5"/>
  <c r="C359" i="5"/>
  <c r="C360" i="5"/>
  <c r="C361" i="5"/>
  <c r="C362" i="5"/>
  <c r="C363" i="5"/>
  <c r="C364" i="5"/>
  <c r="C365" i="5"/>
  <c r="C366" i="5"/>
  <c r="C367" i="5"/>
  <c r="C368" i="5"/>
  <c r="C369" i="5"/>
  <c r="C370" i="5"/>
  <c r="C371" i="5"/>
  <c r="C372" i="5"/>
  <c r="C373" i="5"/>
  <c r="C374" i="5"/>
  <c r="C375" i="5"/>
  <c r="C376" i="5"/>
  <c r="C377" i="5"/>
  <c r="C378" i="5"/>
  <c r="C379" i="5"/>
  <c r="C380" i="5"/>
  <c r="C381" i="5"/>
  <c r="C382" i="5"/>
  <c r="C383" i="5"/>
  <c r="C384" i="5"/>
  <c r="C385" i="5"/>
  <c r="C386" i="5"/>
  <c r="C387" i="5"/>
  <c r="C388" i="5"/>
  <c r="C389" i="5"/>
  <c r="C390" i="5"/>
  <c r="C391" i="5"/>
  <c r="C392" i="5"/>
  <c r="C393" i="5"/>
  <c r="C394" i="5"/>
  <c r="C395" i="5"/>
  <c r="C396" i="5"/>
  <c r="C397" i="5"/>
  <c r="C398" i="5"/>
  <c r="C399" i="5"/>
  <c r="C400" i="5"/>
  <c r="C401" i="5"/>
  <c r="C402" i="5"/>
  <c r="C403" i="5"/>
  <c r="C404" i="5"/>
  <c r="C405" i="5"/>
  <c r="C406" i="5"/>
  <c r="C407" i="5"/>
  <c r="C408" i="5"/>
  <c r="C409" i="5"/>
  <c r="C410" i="5"/>
  <c r="C411" i="5"/>
  <c r="C412" i="5"/>
  <c r="C413" i="5"/>
  <c r="C414" i="5"/>
  <c r="C415" i="5"/>
  <c r="C416" i="5"/>
  <c r="C417" i="5"/>
  <c r="C418" i="5"/>
  <c r="C419" i="5"/>
  <c r="C420" i="5"/>
  <c r="C421" i="5"/>
  <c r="C422" i="5"/>
  <c r="C423" i="5"/>
  <c r="C424" i="5"/>
  <c r="C425" i="5"/>
  <c r="C426" i="5"/>
  <c r="C427" i="5"/>
  <c r="C428" i="5"/>
  <c r="C429" i="5"/>
  <c r="C430" i="5"/>
  <c r="C431" i="5"/>
  <c r="C432" i="5"/>
  <c r="C433" i="5"/>
  <c r="C434" i="5"/>
  <c r="C435" i="5"/>
  <c r="C436" i="5"/>
  <c r="C437" i="5"/>
  <c r="C438" i="5"/>
  <c r="C439" i="5"/>
  <c r="C440" i="5"/>
  <c r="C441" i="5"/>
  <c r="C442" i="5"/>
  <c r="C443" i="5"/>
  <c r="C444" i="5"/>
  <c r="C445" i="5"/>
  <c r="C446" i="5"/>
  <c r="C447" i="5"/>
  <c r="C448" i="5"/>
  <c r="C449" i="5"/>
  <c r="C450" i="5"/>
  <c r="C451" i="5"/>
  <c r="C452" i="5"/>
  <c r="C453" i="5"/>
  <c r="C454" i="5"/>
  <c r="C455" i="5"/>
  <c r="C456" i="5"/>
  <c r="C457" i="5"/>
  <c r="C458" i="5"/>
  <c r="C459" i="5"/>
  <c r="C460" i="5"/>
  <c r="C461" i="5"/>
  <c r="C462" i="5"/>
  <c r="C463" i="5"/>
  <c r="C464" i="5"/>
  <c r="C465" i="5"/>
  <c r="C466" i="5"/>
  <c r="C467" i="5"/>
  <c r="C468" i="5"/>
  <c r="C469" i="5"/>
  <c r="C470" i="5"/>
  <c r="C471" i="5"/>
  <c r="C472" i="5"/>
  <c r="C473" i="5"/>
  <c r="C474" i="5"/>
  <c r="C475" i="5"/>
  <c r="C476" i="5"/>
  <c r="C477" i="5"/>
  <c r="C478" i="5"/>
  <c r="C479" i="5"/>
  <c r="C480" i="5"/>
  <c r="C481" i="5"/>
  <c r="C482" i="5"/>
  <c r="C483" i="5"/>
  <c r="C484" i="5"/>
  <c r="C485" i="5"/>
  <c r="C486" i="5"/>
  <c r="C487" i="5"/>
  <c r="C488" i="5"/>
  <c r="C489" i="5"/>
  <c r="C490" i="5"/>
  <c r="C491" i="5"/>
  <c r="C492" i="5"/>
  <c r="C493" i="5"/>
  <c r="C494" i="5"/>
  <c r="C495" i="5"/>
  <c r="C496" i="5"/>
  <c r="C497" i="5"/>
  <c r="C498" i="5"/>
  <c r="C499" i="5"/>
  <c r="C500" i="5"/>
  <c r="C501" i="5"/>
  <c r="C502" i="5"/>
  <c r="C503" i="5"/>
  <c r="C504" i="5"/>
  <c r="C505" i="5"/>
  <c r="C506" i="5"/>
  <c r="C507" i="5"/>
  <c r="C508" i="5"/>
  <c r="C509" i="5"/>
  <c r="C510" i="5"/>
  <c r="C511" i="5"/>
  <c r="C512" i="5"/>
  <c r="C513" i="5"/>
  <c r="C514" i="5"/>
  <c r="C515" i="5"/>
  <c r="C516" i="5"/>
  <c r="C517" i="5"/>
  <c r="C518" i="5"/>
  <c r="C519" i="5"/>
  <c r="C520" i="5"/>
  <c r="C521" i="5"/>
  <c r="C522" i="5"/>
  <c r="C523" i="5"/>
  <c r="C524" i="5"/>
  <c r="C525" i="5"/>
  <c r="C526" i="5"/>
  <c r="C527" i="5"/>
  <c r="C528" i="5"/>
  <c r="C529" i="5"/>
  <c r="C530" i="5"/>
  <c r="C531" i="5"/>
  <c r="C532" i="5"/>
  <c r="C533" i="5"/>
  <c r="C534" i="5"/>
  <c r="C535" i="5"/>
  <c r="C536" i="5"/>
  <c r="C537" i="5"/>
  <c r="C538" i="5"/>
  <c r="C539" i="5"/>
  <c r="C540" i="5"/>
  <c r="C541" i="5"/>
  <c r="C542" i="5"/>
  <c r="C543" i="5"/>
  <c r="C544" i="5"/>
  <c r="C545" i="5"/>
  <c r="C546" i="5"/>
  <c r="C547" i="5"/>
  <c r="C548" i="5"/>
  <c r="C549" i="5"/>
  <c r="C550" i="5"/>
  <c r="C551" i="5"/>
  <c r="C552" i="5"/>
  <c r="C553" i="5"/>
  <c r="C554" i="5"/>
  <c r="C555" i="5"/>
  <c r="C556" i="5"/>
  <c r="C557" i="5"/>
  <c r="C558" i="5"/>
  <c r="C559" i="5"/>
  <c r="C560" i="5"/>
  <c r="C561" i="5"/>
  <c r="C562" i="5"/>
  <c r="C563" i="5"/>
  <c r="C564" i="5"/>
  <c r="C565" i="5"/>
  <c r="C566" i="5"/>
  <c r="C567" i="5"/>
  <c r="C568" i="5"/>
  <c r="C569" i="5"/>
  <c r="C570" i="5"/>
  <c r="C571" i="5"/>
  <c r="C572" i="5"/>
  <c r="C573" i="5"/>
  <c r="C574" i="5"/>
  <c r="C575" i="5"/>
  <c r="C576" i="5"/>
  <c r="C577" i="5"/>
  <c r="C578" i="5"/>
  <c r="C579" i="5"/>
  <c r="C580" i="5"/>
  <c r="C581" i="5"/>
  <c r="C582" i="5"/>
  <c r="C583" i="5"/>
  <c r="C584" i="5"/>
  <c r="C585" i="5"/>
  <c r="C586" i="5"/>
  <c r="C587" i="5"/>
  <c r="C588" i="5"/>
  <c r="C589" i="5"/>
  <c r="C590" i="5"/>
  <c r="C591" i="5"/>
  <c r="C592" i="5"/>
  <c r="C593" i="5"/>
  <c r="C594" i="5"/>
  <c r="C595" i="5"/>
  <c r="C596" i="5"/>
  <c r="C597" i="5"/>
  <c r="C598" i="5"/>
  <c r="C599" i="5"/>
  <c r="C600" i="5"/>
  <c r="C601" i="5"/>
  <c r="C602" i="5"/>
  <c r="C603" i="5"/>
  <c r="C604" i="5"/>
  <c r="C605" i="5"/>
  <c r="C606" i="5"/>
  <c r="C607" i="5"/>
  <c r="C608" i="5"/>
  <c r="C609" i="5"/>
  <c r="C610" i="5"/>
  <c r="C611" i="5"/>
  <c r="C612" i="5"/>
  <c r="C613" i="5"/>
  <c r="C614" i="5"/>
  <c r="C615" i="5"/>
  <c r="C616" i="5"/>
  <c r="C617" i="5"/>
  <c r="C618" i="5"/>
  <c r="C619" i="5"/>
  <c r="C620" i="5"/>
  <c r="C621" i="5"/>
  <c r="C622" i="5"/>
  <c r="C623" i="5"/>
  <c r="C624" i="5"/>
  <c r="C625" i="5"/>
  <c r="C626" i="5"/>
  <c r="C627" i="5"/>
  <c r="C628" i="5"/>
  <c r="C629" i="5"/>
  <c r="C630" i="5"/>
  <c r="C631" i="5"/>
  <c r="C632" i="5"/>
  <c r="C633" i="5"/>
  <c r="C634" i="5"/>
  <c r="C635" i="5"/>
  <c r="C636" i="5"/>
  <c r="C637" i="5"/>
  <c r="C638" i="5"/>
  <c r="C639" i="5"/>
  <c r="C640" i="5"/>
  <c r="C641" i="5"/>
  <c r="C642" i="5"/>
  <c r="C643" i="5"/>
  <c r="C644" i="5"/>
  <c r="C645" i="5"/>
  <c r="C646" i="5"/>
  <c r="C647" i="5"/>
  <c r="C648" i="5"/>
  <c r="C649" i="5"/>
  <c r="C650" i="5"/>
  <c r="C651" i="5"/>
  <c r="C652" i="5"/>
  <c r="C653" i="5"/>
  <c r="C654" i="5"/>
  <c r="C655" i="5"/>
  <c r="C656" i="5"/>
  <c r="C657" i="5"/>
  <c r="C658" i="5"/>
  <c r="C659" i="5"/>
  <c r="C660" i="5"/>
  <c r="C661" i="5"/>
  <c r="C662" i="5"/>
  <c r="C663" i="5"/>
  <c r="C664" i="5"/>
  <c r="C665" i="5"/>
  <c r="C666" i="5"/>
  <c r="C667" i="5"/>
  <c r="C668" i="5"/>
  <c r="C669" i="5"/>
  <c r="C670" i="5"/>
  <c r="C671" i="5"/>
  <c r="C672" i="5"/>
  <c r="C673" i="5"/>
  <c r="C674" i="5"/>
  <c r="C675" i="5"/>
  <c r="C676" i="5"/>
  <c r="C677" i="5"/>
  <c r="C678" i="5"/>
  <c r="C679" i="5"/>
  <c r="C680" i="5"/>
  <c r="C681" i="5"/>
  <c r="C682" i="5"/>
  <c r="C683" i="5"/>
  <c r="C684" i="5"/>
  <c r="C685" i="5"/>
  <c r="C686" i="5"/>
  <c r="C687" i="5"/>
  <c r="C688" i="5"/>
  <c r="C689" i="5"/>
  <c r="C690" i="5"/>
  <c r="A690" i="5"/>
  <c r="A689" i="5"/>
  <c r="A688" i="5"/>
  <c r="A687" i="5"/>
  <c r="A686" i="5"/>
  <c r="A685" i="5"/>
  <c r="A684" i="5"/>
  <c r="A683" i="5"/>
  <c r="A682" i="5"/>
  <c r="A681" i="5"/>
  <c r="A680" i="5"/>
  <c r="A679" i="5"/>
  <c r="A678" i="5"/>
  <c r="A677" i="5"/>
  <c r="A676" i="5"/>
  <c r="A675" i="5"/>
  <c r="A674" i="5"/>
  <c r="A673" i="5"/>
  <c r="A672" i="5"/>
  <c r="A671" i="5"/>
  <c r="A670" i="5"/>
  <c r="A669" i="5"/>
  <c r="A668" i="5"/>
  <c r="A667" i="5"/>
  <c r="A666" i="5"/>
  <c r="A665" i="5"/>
  <c r="A664" i="5"/>
  <c r="A663" i="5"/>
  <c r="A662" i="5"/>
  <c r="A661" i="5"/>
  <c r="A660" i="5"/>
  <c r="A659" i="5"/>
  <c r="A658" i="5"/>
  <c r="A657" i="5"/>
  <c r="A656" i="5"/>
  <c r="A655" i="5"/>
  <c r="A654" i="5"/>
  <c r="A653" i="5"/>
  <c r="A652" i="5"/>
  <c r="A651" i="5"/>
  <c r="A650" i="5"/>
  <c r="A649" i="5"/>
  <c r="A648" i="5"/>
  <c r="A647" i="5"/>
  <c r="A646" i="5"/>
  <c r="A645" i="5"/>
  <c r="A644" i="5"/>
  <c r="A643" i="5"/>
  <c r="A642" i="5"/>
  <c r="A641" i="5"/>
  <c r="A640" i="5"/>
  <c r="A639" i="5"/>
  <c r="A638" i="5"/>
  <c r="A637" i="5"/>
  <c r="A636" i="5"/>
  <c r="A635" i="5"/>
  <c r="A634" i="5"/>
  <c r="A633" i="5"/>
  <c r="A632" i="5"/>
  <c r="A631" i="5"/>
  <c r="A630" i="5"/>
  <c r="A629" i="5"/>
  <c r="A628" i="5"/>
  <c r="A627" i="5"/>
  <c r="A626" i="5"/>
  <c r="A625" i="5"/>
  <c r="A624" i="5"/>
  <c r="A623" i="5"/>
  <c r="A622" i="5"/>
  <c r="A621" i="5"/>
  <c r="A620" i="5"/>
  <c r="A619" i="5"/>
  <c r="A618" i="5"/>
  <c r="A617" i="5"/>
  <c r="A616" i="5"/>
  <c r="A615" i="5"/>
  <c r="A614" i="5"/>
  <c r="A613" i="5"/>
  <c r="A612" i="5"/>
  <c r="A611" i="5"/>
  <c r="A610" i="5"/>
  <c r="A609" i="5"/>
  <c r="A608" i="5"/>
  <c r="A607" i="5"/>
  <c r="A606" i="5"/>
  <c r="A605" i="5"/>
  <c r="A604" i="5"/>
  <c r="A603" i="5"/>
  <c r="A602" i="5"/>
  <c r="A601" i="5"/>
  <c r="A600" i="5"/>
  <c r="A599" i="5"/>
  <c r="A598" i="5"/>
  <c r="A597" i="5"/>
  <c r="A596" i="5"/>
  <c r="A595" i="5"/>
  <c r="A594" i="5"/>
  <c r="A593" i="5"/>
  <c r="A592" i="5"/>
  <c r="A591" i="5"/>
  <c r="A590" i="5"/>
  <c r="A589" i="5"/>
  <c r="A588" i="5"/>
  <c r="A587" i="5"/>
  <c r="A586" i="5"/>
  <c r="A585" i="5"/>
  <c r="A584" i="5"/>
  <c r="A583" i="5"/>
  <c r="A582" i="5"/>
  <c r="A581" i="5"/>
  <c r="A580" i="5"/>
  <c r="A579" i="5"/>
  <c r="A578" i="5"/>
  <c r="A577" i="5"/>
  <c r="A576" i="5"/>
  <c r="A575" i="5"/>
  <c r="A574" i="5"/>
  <c r="A573" i="5"/>
  <c r="A572" i="5"/>
  <c r="A571" i="5"/>
  <c r="A570" i="5"/>
  <c r="A569" i="5"/>
  <c r="A568" i="5"/>
  <c r="A567" i="5"/>
  <c r="A566" i="5"/>
  <c r="A565" i="5"/>
  <c r="A564" i="5"/>
  <c r="A563" i="5"/>
  <c r="A562" i="5"/>
  <c r="A561" i="5"/>
  <c r="A560" i="5"/>
  <c r="A559" i="5"/>
  <c r="A558" i="5"/>
  <c r="A557" i="5"/>
  <c r="A556" i="5"/>
  <c r="A555" i="5"/>
  <c r="A554" i="5"/>
  <c r="A553" i="5"/>
  <c r="A552" i="5"/>
  <c r="A551" i="5"/>
  <c r="A550" i="5"/>
  <c r="A549" i="5"/>
  <c r="A548" i="5"/>
  <c r="A547" i="5"/>
  <c r="A546" i="5"/>
  <c r="A545" i="5"/>
  <c r="A544" i="5"/>
  <c r="A543" i="5"/>
  <c r="A542" i="5"/>
  <c r="A541" i="5"/>
  <c r="A540" i="5"/>
  <c r="A539" i="5"/>
  <c r="A538" i="5"/>
  <c r="A537" i="5"/>
  <c r="A536" i="5"/>
  <c r="A535" i="5"/>
  <c r="A534" i="5"/>
  <c r="A533" i="5"/>
  <c r="A532" i="5"/>
  <c r="A531" i="5"/>
  <c r="A530" i="5"/>
  <c r="A529" i="5"/>
  <c r="A528" i="5"/>
  <c r="A527" i="5"/>
  <c r="A526" i="5"/>
  <c r="A525" i="5"/>
  <c r="A524" i="5"/>
  <c r="A523" i="5"/>
  <c r="A522" i="5"/>
  <c r="A521" i="5"/>
  <c r="A520" i="5"/>
  <c r="A519" i="5"/>
  <c r="A518" i="5"/>
  <c r="A517" i="5"/>
  <c r="A516" i="5"/>
  <c r="A515" i="5"/>
  <c r="A514" i="5"/>
  <c r="A513" i="5"/>
  <c r="A512" i="5"/>
  <c r="A511" i="5"/>
  <c r="A510" i="5"/>
  <c r="A509" i="5"/>
  <c r="A508" i="5"/>
  <c r="A507" i="5"/>
  <c r="A506" i="5"/>
  <c r="A505" i="5"/>
  <c r="A504" i="5"/>
  <c r="A503" i="5"/>
  <c r="A502" i="5"/>
  <c r="A501" i="5"/>
  <c r="A500" i="5"/>
  <c r="A499" i="5"/>
  <c r="A498" i="5"/>
  <c r="A497" i="5"/>
  <c r="A496" i="5"/>
  <c r="A495" i="5"/>
  <c r="A494" i="5"/>
  <c r="A493" i="5"/>
  <c r="A492" i="5"/>
  <c r="A491" i="5"/>
  <c r="A490" i="5"/>
  <c r="A489" i="5"/>
  <c r="A488" i="5"/>
  <c r="A487" i="5"/>
  <c r="A486" i="5"/>
  <c r="A485" i="5"/>
  <c r="A484" i="5"/>
  <c r="A483" i="5"/>
  <c r="A482" i="5"/>
  <c r="A481" i="5"/>
  <c r="A480" i="5"/>
  <c r="A479" i="5"/>
  <c r="A478" i="5"/>
  <c r="A477" i="5"/>
  <c r="A476" i="5"/>
  <c r="A475" i="5"/>
  <c r="A474" i="5"/>
  <c r="A473" i="5"/>
  <c r="A472" i="5"/>
  <c r="A471" i="5"/>
  <c r="A470" i="5"/>
  <c r="A469" i="5"/>
  <c r="A468" i="5"/>
  <c r="A467" i="5"/>
  <c r="A466" i="5"/>
  <c r="A465" i="5"/>
  <c r="A464" i="5"/>
  <c r="A463" i="5"/>
  <c r="A462" i="5"/>
  <c r="A461" i="5"/>
  <c r="A460" i="5"/>
  <c r="A459" i="5"/>
  <c r="A458" i="5"/>
  <c r="A457" i="5"/>
  <c r="A456" i="5"/>
  <c r="A455" i="5"/>
  <c r="A454" i="5"/>
  <c r="A453" i="5"/>
  <c r="A452" i="5"/>
  <c r="A451" i="5"/>
  <c r="A450" i="5"/>
  <c r="A449" i="5"/>
  <c r="A448" i="5"/>
  <c r="A447" i="5"/>
  <c r="A446" i="5"/>
  <c r="A445" i="5"/>
  <c r="A444" i="5"/>
  <c r="A443" i="5"/>
  <c r="A442" i="5"/>
  <c r="A441" i="5"/>
  <c r="A440" i="5"/>
  <c r="A439" i="5"/>
  <c r="A438" i="5"/>
  <c r="A437" i="5"/>
  <c r="A436" i="5"/>
  <c r="A435" i="5"/>
  <c r="A434" i="5"/>
  <c r="A433" i="5"/>
  <c r="A432" i="5"/>
  <c r="A431" i="5"/>
  <c r="A430" i="5"/>
  <c r="A429" i="5"/>
  <c r="A428" i="5"/>
  <c r="A427" i="5"/>
  <c r="A426" i="5"/>
  <c r="A425" i="5"/>
  <c r="A424" i="5"/>
  <c r="A423" i="5"/>
  <c r="A422" i="5"/>
  <c r="A421" i="5"/>
  <c r="A420" i="5"/>
  <c r="A419" i="5"/>
  <c r="A418" i="5"/>
  <c r="A417" i="5"/>
  <c r="A416" i="5"/>
  <c r="A415" i="5"/>
  <c r="A414" i="5"/>
  <c r="A413" i="5"/>
  <c r="A412" i="5"/>
  <c r="A411" i="5"/>
  <c r="A410" i="5"/>
  <c r="A409" i="5"/>
  <c r="A408" i="5"/>
  <c r="A407" i="5"/>
  <c r="A406" i="5"/>
  <c r="A405" i="5"/>
  <c r="A404" i="5"/>
  <c r="A403" i="5"/>
  <c r="A402" i="5"/>
  <c r="A401" i="5"/>
  <c r="A400" i="5"/>
  <c r="A399" i="5"/>
  <c r="A398" i="5"/>
  <c r="A397" i="5"/>
  <c r="A396" i="5"/>
  <c r="A395" i="5"/>
  <c r="A394" i="5"/>
  <c r="A393" i="5"/>
  <c r="A392" i="5"/>
  <c r="A391" i="5"/>
  <c r="A390" i="5"/>
  <c r="A389" i="5"/>
  <c r="A388" i="5"/>
  <c r="A387" i="5"/>
  <c r="A386" i="5"/>
  <c r="A385" i="5"/>
  <c r="A384" i="5"/>
  <c r="A383" i="5"/>
  <c r="A382" i="5"/>
  <c r="A381" i="5"/>
  <c r="A380" i="5"/>
  <c r="A379" i="5"/>
  <c r="A378" i="5"/>
  <c r="A377" i="5"/>
  <c r="A376" i="5"/>
  <c r="A375" i="5"/>
  <c r="A374" i="5"/>
  <c r="A373" i="5"/>
  <c r="A372" i="5"/>
  <c r="A371" i="5"/>
  <c r="A370" i="5"/>
  <c r="A369" i="5"/>
  <c r="A368" i="5"/>
  <c r="A367" i="5"/>
  <c r="A366" i="5"/>
  <c r="A365" i="5"/>
  <c r="A364" i="5"/>
  <c r="A363" i="5"/>
  <c r="A362" i="5"/>
  <c r="A361" i="5"/>
  <c r="A360" i="5"/>
  <c r="A359" i="5"/>
  <c r="A358" i="5"/>
  <c r="A357" i="5"/>
  <c r="A356" i="5"/>
  <c r="A355" i="5"/>
  <c r="A354" i="5"/>
  <c r="A353" i="5"/>
  <c r="A352" i="5"/>
  <c r="A351" i="5"/>
  <c r="A350" i="5"/>
  <c r="A349" i="5"/>
  <c r="A348" i="5"/>
  <c r="A347" i="5"/>
  <c r="A346" i="5"/>
  <c r="A345" i="5"/>
  <c r="A344" i="5"/>
  <c r="A343" i="5"/>
  <c r="A342" i="5"/>
  <c r="A341" i="5"/>
  <c r="A340" i="5"/>
  <c r="A339" i="5"/>
  <c r="A338" i="5"/>
  <c r="A337" i="5"/>
  <c r="A336" i="5"/>
  <c r="A335" i="5"/>
  <c r="A334" i="5"/>
  <c r="A333" i="5"/>
  <c r="A332" i="5"/>
  <c r="A331" i="5"/>
  <c r="A330" i="5"/>
  <c r="A329" i="5"/>
  <c r="A328" i="5"/>
  <c r="A327" i="5"/>
  <c r="A326" i="5"/>
  <c r="A325" i="5"/>
  <c r="A324" i="5"/>
  <c r="A323" i="5"/>
  <c r="A322" i="5"/>
  <c r="A321" i="5"/>
  <c r="A320" i="5"/>
  <c r="A319" i="5"/>
  <c r="A318" i="5"/>
  <c r="A317" i="5"/>
  <c r="A316" i="5"/>
  <c r="A315" i="5"/>
  <c r="A314" i="5"/>
  <c r="A313" i="5"/>
  <c r="A312" i="5"/>
  <c r="A311" i="5"/>
  <c r="A310" i="5"/>
  <c r="A309" i="5"/>
  <c r="A308" i="5"/>
  <c r="A307" i="5"/>
  <c r="A306" i="5"/>
  <c r="A305" i="5"/>
  <c r="A304" i="5"/>
  <c r="A303" i="5"/>
  <c r="A302" i="5"/>
  <c r="A301" i="5"/>
  <c r="A300" i="5"/>
  <c r="A299" i="5"/>
  <c r="A298" i="5"/>
  <c r="A297" i="5"/>
  <c r="A296" i="5"/>
  <c r="A295" i="5"/>
  <c r="A294" i="5"/>
  <c r="A293" i="5"/>
  <c r="A292" i="5"/>
  <c r="A291" i="5"/>
  <c r="A290" i="5"/>
  <c r="A289" i="5"/>
  <c r="A288" i="5"/>
  <c r="A287" i="5"/>
  <c r="A286" i="5"/>
  <c r="A285" i="5"/>
  <c r="A284" i="5"/>
  <c r="A283" i="5"/>
  <c r="A282" i="5"/>
  <c r="A281" i="5"/>
  <c r="A280" i="5"/>
  <c r="A279" i="5"/>
  <c r="A278" i="5"/>
  <c r="A277" i="5"/>
  <c r="A276" i="5"/>
  <c r="A275" i="5"/>
  <c r="A274" i="5"/>
  <c r="A273" i="5"/>
  <c r="A272" i="5"/>
  <c r="A271" i="5"/>
  <c r="A270" i="5"/>
  <c r="A269" i="5"/>
  <c r="A268" i="5"/>
  <c r="A267" i="5"/>
  <c r="A266" i="5"/>
  <c r="A265" i="5"/>
  <c r="A264" i="5"/>
  <c r="A263" i="5"/>
  <c r="A262" i="5"/>
  <c r="A261" i="5"/>
  <c r="A260" i="5"/>
  <c r="A259" i="5"/>
  <c r="A258" i="5"/>
  <c r="A257" i="5"/>
  <c r="A256" i="5"/>
  <c r="A255" i="5"/>
  <c r="A254" i="5"/>
  <c r="A253" i="5"/>
  <c r="A252" i="5"/>
  <c r="A251" i="5"/>
  <c r="A250" i="5"/>
  <c r="A249" i="5"/>
  <c r="A248" i="5"/>
  <c r="A247" i="5"/>
  <c r="A246" i="5"/>
  <c r="A245" i="5"/>
  <c r="A244" i="5"/>
  <c r="A243" i="5"/>
  <c r="A242" i="5"/>
  <c r="A241" i="5"/>
  <c r="A240" i="5"/>
  <c r="A239" i="5"/>
  <c r="A238" i="5"/>
  <c r="A237" i="5"/>
  <c r="A236" i="5"/>
  <c r="A235" i="5"/>
  <c r="A234" i="5"/>
  <c r="A233" i="5"/>
  <c r="A232" i="5"/>
  <c r="A231" i="5"/>
  <c r="A230" i="5"/>
  <c r="A229" i="5"/>
  <c r="A228" i="5"/>
  <c r="A227" i="5"/>
  <c r="A226" i="5"/>
  <c r="A225" i="5"/>
  <c r="A224" i="5"/>
  <c r="A223" i="5"/>
  <c r="A222" i="5"/>
  <c r="A221" i="5"/>
  <c r="A220" i="5"/>
  <c r="A219" i="5"/>
  <c r="A218" i="5"/>
  <c r="A217" i="5"/>
  <c r="A216" i="5"/>
  <c r="A215" i="5"/>
  <c r="A214" i="5"/>
  <c r="A213" i="5"/>
  <c r="A212" i="5"/>
  <c r="A211" i="5"/>
  <c r="A210" i="5"/>
  <c r="A209" i="5"/>
  <c r="A208" i="5"/>
  <c r="A207" i="5"/>
  <c r="A206" i="5"/>
  <c r="A205" i="5"/>
  <c r="A204" i="5"/>
  <c r="A203" i="5"/>
  <c r="A202" i="5"/>
  <c r="A201" i="5"/>
  <c r="A200" i="5"/>
  <c r="A199" i="5"/>
  <c r="A198" i="5"/>
  <c r="A197" i="5"/>
  <c r="A196" i="5"/>
  <c r="A195" i="5"/>
  <c r="A194" i="5"/>
  <c r="A193" i="5"/>
  <c r="A192" i="5"/>
  <c r="A191" i="5"/>
  <c r="A190" i="5"/>
  <c r="A189" i="5"/>
  <c r="A188" i="5"/>
  <c r="A187" i="5"/>
  <c r="A186" i="5"/>
  <c r="A185" i="5"/>
  <c r="A184" i="5"/>
  <c r="A183" i="5"/>
  <c r="A182" i="5"/>
  <c r="A181" i="5"/>
  <c r="A180" i="5"/>
  <c r="A179" i="5"/>
  <c r="A178" i="5"/>
  <c r="A177" i="5"/>
  <c r="A176" i="5"/>
  <c r="A175" i="5"/>
  <c r="A174" i="5"/>
  <c r="A173" i="5"/>
  <c r="A172" i="5"/>
  <c r="A171" i="5"/>
  <c r="A170" i="5"/>
  <c r="A169" i="5"/>
  <c r="A168" i="5"/>
  <c r="A167" i="5"/>
  <c r="A166" i="5"/>
  <c r="A165" i="5"/>
  <c r="A164" i="5"/>
  <c r="A163" i="5"/>
  <c r="A162" i="5"/>
  <c r="A161" i="5"/>
  <c r="A160" i="5"/>
  <c r="A159" i="5"/>
  <c r="A158" i="5"/>
  <c r="A157" i="5"/>
  <c r="A156" i="5"/>
  <c r="A155" i="5"/>
  <c r="A154" i="5"/>
  <c r="A153" i="5"/>
  <c r="A152" i="5"/>
  <c r="A151" i="5"/>
  <c r="A150" i="5"/>
  <c r="A149" i="5"/>
  <c r="A148" i="5"/>
  <c r="A147" i="5"/>
  <c r="A146" i="5"/>
  <c r="A145" i="5"/>
  <c r="A144" i="5"/>
  <c r="A143" i="5"/>
  <c r="A142" i="5"/>
  <c r="A141" i="5"/>
  <c r="A140" i="5"/>
  <c r="A139" i="5"/>
  <c r="A138" i="5"/>
  <c r="A137" i="5"/>
  <c r="A136" i="5"/>
  <c r="A135" i="5"/>
  <c r="A134" i="5"/>
  <c r="A133" i="5"/>
  <c r="A132" i="5"/>
  <c r="A131" i="5"/>
  <c r="A130" i="5"/>
  <c r="A129" i="5"/>
  <c r="A128" i="5"/>
  <c r="A127" i="5"/>
  <c r="A126" i="5"/>
  <c r="A125" i="5"/>
  <c r="A124" i="5"/>
  <c r="A123" i="5"/>
  <c r="A122" i="5"/>
  <c r="A121" i="5"/>
  <c r="A120" i="5"/>
  <c r="A119" i="5"/>
  <c r="A118" i="5"/>
  <c r="A117" i="5"/>
  <c r="A116" i="5"/>
  <c r="A115" i="5"/>
  <c r="A114" i="5"/>
  <c r="A113" i="5"/>
  <c r="A112" i="5"/>
  <c r="A111" i="5"/>
  <c r="A110" i="5"/>
  <c r="A109" i="5"/>
  <c r="A108" i="5"/>
  <c r="A107" i="5"/>
  <c r="A106" i="5"/>
  <c r="A105" i="5"/>
  <c r="A104" i="5"/>
  <c r="A103" i="5"/>
  <c r="A102" i="5"/>
  <c r="A101" i="5"/>
  <c r="A100" i="5"/>
  <c r="A99" i="5"/>
  <c r="A98" i="5"/>
  <c r="A97" i="5"/>
  <c r="A96" i="5"/>
  <c r="A95" i="5"/>
  <c r="A94" i="5"/>
  <c r="A93" i="5"/>
  <c r="A92" i="5"/>
  <c r="A91" i="5"/>
  <c r="A90" i="5"/>
  <c r="A89" i="5"/>
  <c r="A88" i="5"/>
  <c r="A87" i="5"/>
  <c r="A86" i="5"/>
  <c r="A85" i="5"/>
  <c r="A84" i="5"/>
  <c r="A83" i="5"/>
  <c r="A82" i="5"/>
  <c r="A81" i="5"/>
  <c r="A80" i="5"/>
  <c r="A79" i="5"/>
  <c r="A78" i="5"/>
  <c r="A77" i="5"/>
  <c r="A76" i="5"/>
  <c r="A75" i="5"/>
  <c r="A74" i="5"/>
  <c r="A73" i="5"/>
  <c r="A72" i="5"/>
  <c r="A71" i="5"/>
  <c r="A70" i="5"/>
  <c r="A69" i="5"/>
  <c r="A68" i="5"/>
  <c r="A67" i="5"/>
  <c r="A66" i="5"/>
  <c r="A65" i="5"/>
  <c r="A64" i="5"/>
  <c r="A63" i="5"/>
  <c r="A62" i="5"/>
  <c r="A61" i="5"/>
  <c r="A60" i="5"/>
  <c r="A59" i="5"/>
  <c r="A58" i="5"/>
  <c r="A57" i="5"/>
  <c r="A56" i="5"/>
  <c r="A55" i="5"/>
  <c r="A54" i="5"/>
  <c r="A53" i="5"/>
  <c r="A52" i="5"/>
  <c r="A51" i="5"/>
  <c r="A50" i="5"/>
  <c r="A49" i="5"/>
  <c r="A48" i="5"/>
  <c r="A47" i="5"/>
  <c r="A46" i="5"/>
  <c r="A45" i="5"/>
  <c r="A44" i="5"/>
  <c r="A43" i="5"/>
  <c r="A42" i="5"/>
  <c r="A41" i="5"/>
  <c r="A40" i="5"/>
  <c r="A39" i="5"/>
  <c r="A38" i="5"/>
  <c r="A37" i="5"/>
  <c r="A36" i="5"/>
  <c r="A35" i="5"/>
  <c r="A34" i="5"/>
  <c r="A33" i="5"/>
  <c r="A32" i="5"/>
  <c r="A31" i="5"/>
  <c r="A30" i="5"/>
  <c r="A29" i="5"/>
  <c r="A28" i="5"/>
  <c r="A27" i="5"/>
  <c r="A26" i="5"/>
  <c r="A25" i="5"/>
  <c r="A24" i="5"/>
  <c r="A23" i="5"/>
  <c r="A22" i="5"/>
  <c r="A21" i="5"/>
  <c r="A20" i="5"/>
  <c r="A19" i="5"/>
  <c r="A18" i="5"/>
  <c r="A17" i="5"/>
  <c r="A16" i="5"/>
  <c r="A15" i="5"/>
  <c r="A14" i="5"/>
  <c r="A13" i="5"/>
  <c r="A12" i="5"/>
  <c r="A11" i="5"/>
  <c r="A10" i="5"/>
  <c r="A9" i="5"/>
  <c r="A8" i="5"/>
  <c r="A7" i="5"/>
  <c r="A6" i="5"/>
  <c r="A5" i="5"/>
  <c r="A4" i="5"/>
  <c r="A3" i="5"/>
  <c r="A2" i="5"/>
  <c r="A690" i="4"/>
  <c r="A689" i="4"/>
  <c r="A688" i="4"/>
  <c r="A687" i="4"/>
  <c r="A686" i="4"/>
  <c r="A685" i="4"/>
  <c r="A684" i="4"/>
  <c r="A683" i="4"/>
  <c r="A682" i="4"/>
  <c r="A681" i="4"/>
  <c r="A680" i="4"/>
  <c r="A679" i="4"/>
  <c r="A678" i="4"/>
  <c r="A677" i="4"/>
  <c r="A676" i="4"/>
  <c r="A675" i="4"/>
  <c r="A674" i="4"/>
  <c r="A673" i="4"/>
  <c r="A672" i="4"/>
  <c r="A671" i="4"/>
  <c r="A670" i="4"/>
  <c r="A669" i="4"/>
  <c r="A668" i="4"/>
  <c r="A667" i="4"/>
  <c r="A666" i="4"/>
  <c r="A665" i="4"/>
  <c r="A664" i="4"/>
  <c r="A663" i="4"/>
  <c r="A662" i="4"/>
  <c r="A661" i="4"/>
  <c r="A660" i="4"/>
  <c r="A659" i="4"/>
  <c r="A658" i="4"/>
  <c r="A657" i="4"/>
  <c r="A656" i="4"/>
  <c r="A655" i="4"/>
  <c r="A654" i="4"/>
  <c r="A653" i="4"/>
  <c r="A652" i="4"/>
  <c r="A651" i="4"/>
  <c r="A650" i="4"/>
  <c r="A649" i="4"/>
  <c r="A648" i="4"/>
  <c r="A647" i="4"/>
  <c r="A646" i="4"/>
  <c r="A645" i="4"/>
  <c r="A644" i="4"/>
  <c r="A643" i="4"/>
  <c r="A642" i="4"/>
  <c r="A641" i="4"/>
  <c r="A640" i="4"/>
  <c r="A639" i="4"/>
  <c r="A638" i="4"/>
  <c r="A637" i="4"/>
  <c r="A636" i="4"/>
  <c r="A635" i="4"/>
  <c r="A634" i="4"/>
  <c r="A633" i="4"/>
  <c r="A632" i="4"/>
  <c r="A631" i="4"/>
  <c r="A630" i="4"/>
  <c r="A629" i="4"/>
  <c r="A628" i="4"/>
  <c r="A627" i="4"/>
  <c r="A626" i="4"/>
  <c r="A625" i="4"/>
  <c r="A624" i="4"/>
  <c r="A623" i="4"/>
  <c r="A622" i="4"/>
  <c r="A621" i="4"/>
  <c r="A620" i="4"/>
  <c r="A619" i="4"/>
  <c r="A618" i="4"/>
  <c r="A617" i="4"/>
  <c r="A616" i="4"/>
  <c r="A615" i="4"/>
  <c r="A614" i="4"/>
  <c r="A613" i="4"/>
  <c r="A612" i="4"/>
  <c r="A611" i="4"/>
  <c r="A610" i="4"/>
  <c r="A609" i="4"/>
  <c r="A608" i="4"/>
  <c r="A607" i="4"/>
  <c r="A606" i="4"/>
  <c r="A605" i="4"/>
  <c r="A604" i="4"/>
  <c r="A603" i="4"/>
  <c r="A602" i="4"/>
  <c r="A601" i="4"/>
  <c r="A600" i="4"/>
  <c r="A599" i="4"/>
  <c r="A598" i="4"/>
  <c r="A597" i="4"/>
  <c r="A596" i="4"/>
  <c r="A595" i="4"/>
  <c r="A594" i="4"/>
  <c r="A593" i="4"/>
  <c r="A592" i="4"/>
  <c r="A591" i="4"/>
  <c r="A590" i="4"/>
  <c r="A589" i="4"/>
  <c r="A588" i="4"/>
  <c r="A587" i="4"/>
  <c r="A586" i="4"/>
  <c r="A585" i="4"/>
  <c r="A584" i="4"/>
  <c r="A583" i="4"/>
  <c r="A582" i="4"/>
  <c r="A581" i="4"/>
  <c r="A580" i="4"/>
  <c r="A579" i="4"/>
  <c r="A578" i="4"/>
  <c r="A577" i="4"/>
  <c r="A576" i="4"/>
  <c r="A575" i="4"/>
  <c r="A574" i="4"/>
  <c r="A573" i="4"/>
  <c r="A572" i="4"/>
  <c r="A571" i="4"/>
  <c r="A570" i="4"/>
  <c r="A569" i="4"/>
  <c r="A568" i="4"/>
  <c r="A567" i="4"/>
  <c r="A566" i="4"/>
  <c r="A565" i="4"/>
  <c r="A564" i="4"/>
  <c r="A563" i="4"/>
  <c r="A562" i="4"/>
  <c r="A561" i="4"/>
  <c r="A560" i="4"/>
  <c r="A559" i="4"/>
  <c r="A558" i="4"/>
  <c r="A557" i="4"/>
  <c r="A556" i="4"/>
  <c r="A555" i="4"/>
  <c r="A554" i="4"/>
  <c r="A553" i="4"/>
  <c r="A552" i="4"/>
  <c r="A551" i="4"/>
  <c r="A550" i="4"/>
  <c r="A549" i="4"/>
  <c r="A548" i="4"/>
  <c r="A547" i="4"/>
  <c r="A546" i="4"/>
  <c r="A545" i="4"/>
  <c r="A544" i="4"/>
  <c r="A543" i="4"/>
  <c r="A542" i="4"/>
  <c r="A541" i="4"/>
  <c r="A540" i="4"/>
  <c r="A539" i="4"/>
  <c r="A538" i="4"/>
  <c r="A537" i="4"/>
  <c r="A536" i="4"/>
  <c r="A535" i="4"/>
  <c r="A534" i="4"/>
  <c r="A533" i="4"/>
  <c r="A532" i="4"/>
  <c r="A531" i="4"/>
  <c r="A530" i="4"/>
  <c r="A529" i="4"/>
  <c r="A528" i="4"/>
  <c r="A527" i="4"/>
  <c r="A526" i="4"/>
  <c r="A525" i="4"/>
  <c r="A524" i="4"/>
  <c r="A523" i="4"/>
  <c r="A522" i="4"/>
  <c r="A521" i="4"/>
  <c r="A520" i="4"/>
  <c r="A519" i="4"/>
  <c r="A518" i="4"/>
  <c r="A517" i="4"/>
  <c r="A516" i="4"/>
  <c r="A515" i="4"/>
  <c r="A514" i="4"/>
  <c r="A513" i="4"/>
  <c r="A512" i="4"/>
  <c r="A511" i="4"/>
  <c r="A510" i="4"/>
  <c r="A509" i="4"/>
  <c r="A508" i="4"/>
  <c r="A507" i="4"/>
  <c r="A506" i="4"/>
  <c r="A505" i="4"/>
  <c r="A504" i="4"/>
  <c r="A503" i="4"/>
  <c r="A502" i="4"/>
  <c r="A501" i="4"/>
  <c r="A500" i="4"/>
  <c r="A499" i="4"/>
  <c r="A498" i="4"/>
  <c r="A497" i="4"/>
  <c r="A496" i="4"/>
  <c r="A495" i="4"/>
  <c r="A494" i="4"/>
  <c r="A493" i="4"/>
  <c r="A492" i="4"/>
  <c r="A491" i="4"/>
  <c r="A490" i="4"/>
  <c r="A489" i="4"/>
  <c r="A488" i="4"/>
  <c r="A487" i="4"/>
  <c r="A486" i="4"/>
  <c r="A485" i="4"/>
  <c r="A484" i="4"/>
  <c r="A483" i="4"/>
  <c r="A482" i="4"/>
  <c r="A481" i="4"/>
  <c r="A480" i="4"/>
  <c r="A479" i="4"/>
  <c r="A478" i="4"/>
  <c r="A477" i="4"/>
  <c r="A476" i="4"/>
  <c r="A475" i="4"/>
  <c r="A474" i="4"/>
  <c r="A473" i="4"/>
  <c r="A472" i="4"/>
  <c r="A471" i="4"/>
  <c r="A470" i="4"/>
  <c r="A469" i="4"/>
  <c r="A468" i="4"/>
  <c r="A467" i="4"/>
  <c r="A466" i="4"/>
  <c r="A465" i="4"/>
  <c r="A464" i="4"/>
  <c r="A463" i="4"/>
  <c r="A462" i="4"/>
  <c r="A461" i="4"/>
  <c r="A460" i="4"/>
  <c r="A459" i="4"/>
  <c r="A458" i="4"/>
  <c r="A457" i="4"/>
  <c r="A456" i="4"/>
  <c r="A455" i="4"/>
  <c r="A454" i="4"/>
  <c r="A453" i="4"/>
  <c r="A452" i="4"/>
  <c r="A451" i="4"/>
  <c r="A450" i="4"/>
  <c r="A449" i="4"/>
  <c r="A448" i="4"/>
  <c r="A447" i="4"/>
  <c r="A446" i="4"/>
  <c r="A445" i="4"/>
  <c r="A444" i="4"/>
  <c r="A443" i="4"/>
  <c r="A442" i="4"/>
  <c r="A441" i="4"/>
  <c r="A440" i="4"/>
  <c r="A439" i="4"/>
  <c r="A438" i="4"/>
  <c r="A437" i="4"/>
  <c r="A436" i="4"/>
  <c r="A435" i="4"/>
  <c r="A434" i="4"/>
  <c r="A433" i="4"/>
  <c r="A432" i="4"/>
  <c r="A431" i="4"/>
  <c r="A430" i="4"/>
  <c r="A429" i="4"/>
  <c r="A428" i="4"/>
  <c r="A427" i="4"/>
  <c r="A426" i="4"/>
  <c r="A425" i="4"/>
  <c r="A424" i="4"/>
  <c r="A423" i="4"/>
  <c r="A422" i="4"/>
  <c r="A421" i="4"/>
  <c r="A420" i="4"/>
  <c r="A419" i="4"/>
  <c r="A418" i="4"/>
  <c r="A417" i="4"/>
  <c r="A416" i="4"/>
  <c r="A415" i="4"/>
  <c r="A414" i="4"/>
  <c r="A413" i="4"/>
  <c r="A412" i="4"/>
  <c r="A411" i="4"/>
  <c r="A410" i="4"/>
  <c r="A409" i="4"/>
  <c r="A408" i="4"/>
  <c r="A407" i="4"/>
  <c r="A406" i="4"/>
  <c r="A405" i="4"/>
  <c r="A404" i="4"/>
  <c r="A403" i="4"/>
  <c r="A402" i="4"/>
  <c r="A401" i="4"/>
  <c r="A400" i="4"/>
  <c r="A399" i="4"/>
  <c r="A398" i="4"/>
  <c r="A397" i="4"/>
  <c r="A396" i="4"/>
  <c r="A395" i="4"/>
  <c r="A394" i="4"/>
  <c r="A393" i="4"/>
  <c r="A392" i="4"/>
  <c r="A391" i="4"/>
  <c r="A390" i="4"/>
  <c r="A389" i="4"/>
  <c r="A388" i="4"/>
  <c r="A387" i="4"/>
  <c r="A386" i="4"/>
  <c r="A385" i="4"/>
  <c r="A384" i="4"/>
  <c r="A383" i="4"/>
  <c r="A382" i="4"/>
  <c r="A381" i="4"/>
  <c r="A380" i="4"/>
  <c r="A379" i="4"/>
  <c r="A378" i="4"/>
  <c r="A377" i="4"/>
  <c r="A376" i="4"/>
  <c r="A375" i="4"/>
  <c r="A374" i="4"/>
  <c r="A373" i="4"/>
  <c r="A372" i="4"/>
  <c r="A371" i="4"/>
  <c r="A370" i="4"/>
  <c r="A369" i="4"/>
  <c r="A368" i="4"/>
  <c r="A367" i="4"/>
  <c r="A366" i="4"/>
  <c r="A365" i="4"/>
  <c r="A364" i="4"/>
  <c r="A363" i="4"/>
  <c r="A362" i="4"/>
  <c r="A361" i="4"/>
  <c r="A360" i="4"/>
  <c r="A359" i="4"/>
  <c r="A358" i="4"/>
  <c r="A357" i="4"/>
  <c r="A356" i="4"/>
  <c r="A355" i="4"/>
  <c r="A354" i="4"/>
  <c r="A353" i="4"/>
  <c r="A352" i="4"/>
  <c r="A351" i="4"/>
  <c r="A350" i="4"/>
  <c r="A349" i="4"/>
  <c r="A348" i="4"/>
  <c r="A347" i="4"/>
  <c r="A346" i="4"/>
  <c r="A345" i="4"/>
  <c r="A344" i="4"/>
  <c r="A343" i="4"/>
  <c r="A342" i="4"/>
  <c r="A341" i="4"/>
  <c r="A340" i="4"/>
  <c r="A339" i="4"/>
  <c r="A338" i="4"/>
  <c r="A337" i="4"/>
  <c r="A336" i="4"/>
  <c r="A335" i="4"/>
  <c r="A334" i="4"/>
  <c r="A333" i="4"/>
  <c r="A332" i="4"/>
  <c r="A331" i="4"/>
  <c r="A330" i="4"/>
  <c r="A329" i="4"/>
  <c r="A328" i="4"/>
  <c r="A327" i="4"/>
  <c r="A326" i="4"/>
  <c r="A325" i="4"/>
  <c r="A324" i="4"/>
  <c r="A323" i="4"/>
  <c r="A322" i="4"/>
  <c r="A321" i="4"/>
  <c r="A320" i="4"/>
  <c r="A319" i="4"/>
  <c r="A318" i="4"/>
  <c r="A317" i="4"/>
  <c r="A316" i="4"/>
  <c r="A315" i="4"/>
  <c r="A314" i="4"/>
  <c r="A313" i="4"/>
  <c r="A312" i="4"/>
  <c r="A311" i="4"/>
  <c r="A310" i="4"/>
  <c r="A309" i="4"/>
  <c r="A308" i="4"/>
  <c r="A307" i="4"/>
  <c r="A306" i="4"/>
  <c r="A305" i="4"/>
  <c r="A304" i="4"/>
  <c r="A303" i="4"/>
  <c r="A302" i="4"/>
  <c r="A301" i="4"/>
  <c r="A300" i="4"/>
  <c r="A299" i="4"/>
  <c r="A298" i="4"/>
  <c r="A297" i="4"/>
  <c r="A296" i="4"/>
  <c r="A295" i="4"/>
  <c r="A294" i="4"/>
  <c r="A293" i="4"/>
  <c r="A292" i="4"/>
  <c r="A291" i="4"/>
  <c r="A290" i="4"/>
  <c r="A289" i="4"/>
  <c r="A288" i="4"/>
  <c r="A287" i="4"/>
  <c r="A286" i="4"/>
  <c r="A285" i="4"/>
  <c r="A284" i="4"/>
  <c r="A283" i="4"/>
  <c r="A282" i="4"/>
  <c r="A281" i="4"/>
  <c r="A280" i="4"/>
  <c r="A279" i="4"/>
  <c r="A278" i="4"/>
  <c r="A277" i="4"/>
  <c r="A276" i="4"/>
  <c r="A275" i="4"/>
  <c r="A274" i="4"/>
  <c r="A273" i="4"/>
  <c r="A272" i="4"/>
  <c r="A271" i="4"/>
  <c r="A270" i="4"/>
  <c r="A269" i="4"/>
  <c r="A268" i="4"/>
  <c r="A267" i="4"/>
  <c r="A266" i="4"/>
  <c r="A265" i="4"/>
  <c r="A264" i="4"/>
  <c r="A263" i="4"/>
  <c r="A262" i="4"/>
  <c r="A261" i="4"/>
  <c r="A260" i="4"/>
  <c r="A259" i="4"/>
  <c r="A258" i="4"/>
  <c r="A257" i="4"/>
  <c r="A256" i="4"/>
  <c r="A255" i="4"/>
  <c r="A254" i="4"/>
  <c r="A253" i="4"/>
  <c r="A252" i="4"/>
  <c r="A251" i="4"/>
  <c r="A250" i="4"/>
  <c r="A249" i="4"/>
  <c r="A248" i="4"/>
  <c r="A247" i="4"/>
  <c r="A246" i="4"/>
  <c r="A245" i="4"/>
  <c r="A244" i="4"/>
  <c r="A243" i="4"/>
  <c r="A242" i="4"/>
  <c r="A241" i="4"/>
  <c r="A240" i="4"/>
  <c r="A239" i="4"/>
  <c r="A238" i="4"/>
  <c r="A237" i="4"/>
  <c r="A236" i="4"/>
  <c r="A235" i="4"/>
  <c r="A234" i="4"/>
  <c r="A233" i="4"/>
  <c r="A232" i="4"/>
  <c r="A231" i="4"/>
  <c r="A230" i="4"/>
  <c r="A229" i="4"/>
  <c r="A228" i="4"/>
  <c r="A227" i="4"/>
  <c r="A226" i="4"/>
  <c r="A225" i="4"/>
  <c r="A224" i="4"/>
  <c r="A223" i="4"/>
  <c r="A222" i="4"/>
  <c r="A221" i="4"/>
  <c r="A220" i="4"/>
  <c r="A219" i="4"/>
  <c r="A218" i="4"/>
  <c r="A217" i="4"/>
  <c r="A216" i="4"/>
  <c r="A215" i="4"/>
  <c r="A214" i="4"/>
  <c r="A213" i="4"/>
  <c r="A212" i="4"/>
  <c r="A211" i="4"/>
  <c r="A210" i="4"/>
  <c r="A209" i="4"/>
  <c r="A208" i="4"/>
  <c r="A207" i="4"/>
  <c r="A206" i="4"/>
  <c r="A205" i="4"/>
  <c r="A204" i="4"/>
  <c r="A203" i="4"/>
  <c r="A202" i="4"/>
  <c r="A201" i="4"/>
  <c r="A200" i="4"/>
  <c r="A199" i="4"/>
  <c r="A198" i="4"/>
  <c r="A197" i="4"/>
  <c r="A196" i="4"/>
  <c r="A195" i="4"/>
  <c r="A194" i="4"/>
  <c r="A193" i="4"/>
  <c r="A192" i="4"/>
  <c r="A191" i="4"/>
  <c r="A190" i="4"/>
  <c r="A189" i="4"/>
  <c r="A188" i="4"/>
  <c r="A187" i="4"/>
  <c r="A186" i="4"/>
  <c r="A185" i="4"/>
  <c r="A184" i="4"/>
  <c r="A183" i="4"/>
  <c r="A182" i="4"/>
  <c r="A181" i="4"/>
  <c r="A180" i="4"/>
  <c r="A179" i="4"/>
  <c r="A178" i="4"/>
  <c r="A177" i="4"/>
  <c r="A176" i="4"/>
  <c r="A175" i="4"/>
  <c r="A174" i="4"/>
  <c r="A173" i="4"/>
  <c r="A172" i="4"/>
  <c r="A171" i="4"/>
  <c r="A170" i="4"/>
  <c r="A169" i="4"/>
  <c r="A168" i="4"/>
  <c r="A167" i="4"/>
  <c r="A166" i="4"/>
  <c r="A165" i="4"/>
  <c r="A164" i="4"/>
  <c r="A163" i="4"/>
  <c r="A162" i="4"/>
  <c r="A161" i="4"/>
  <c r="A160" i="4"/>
  <c r="A159" i="4"/>
  <c r="A158" i="4"/>
  <c r="A157" i="4"/>
  <c r="A156" i="4"/>
  <c r="A155" i="4"/>
  <c r="A154" i="4"/>
  <c r="A153" i="4"/>
  <c r="A152" i="4"/>
  <c r="A151" i="4"/>
  <c r="A150" i="4"/>
  <c r="A149" i="4"/>
  <c r="A148" i="4"/>
  <c r="A147" i="4"/>
  <c r="A146" i="4"/>
  <c r="A145" i="4"/>
  <c r="A144" i="4"/>
  <c r="A143" i="4"/>
  <c r="A142" i="4"/>
  <c r="A141" i="4"/>
  <c r="A140" i="4"/>
  <c r="A139" i="4"/>
  <c r="A138" i="4"/>
  <c r="A137" i="4"/>
  <c r="A136" i="4"/>
  <c r="A135" i="4"/>
  <c r="A134" i="4"/>
  <c r="A133" i="4"/>
  <c r="A132" i="4"/>
  <c r="A131" i="4"/>
  <c r="A130" i="4"/>
  <c r="A129" i="4"/>
  <c r="A128" i="4"/>
  <c r="A127" i="4"/>
  <c r="A126" i="4"/>
  <c r="A125" i="4"/>
  <c r="A124" i="4"/>
  <c r="A123" i="4"/>
  <c r="A122" i="4"/>
  <c r="A121" i="4"/>
  <c r="A120" i="4"/>
  <c r="A119" i="4"/>
  <c r="A118" i="4"/>
  <c r="A117" i="4"/>
  <c r="A116" i="4"/>
  <c r="A115" i="4"/>
  <c r="A114" i="4"/>
  <c r="A113" i="4"/>
  <c r="A112" i="4"/>
  <c r="A111" i="4"/>
  <c r="A110" i="4"/>
  <c r="A109" i="4"/>
  <c r="A108" i="4"/>
  <c r="A107" i="4"/>
  <c r="A106" i="4"/>
  <c r="A105" i="4"/>
  <c r="A104" i="4"/>
  <c r="A103" i="4"/>
  <c r="A102" i="4"/>
  <c r="A101" i="4"/>
  <c r="A100" i="4"/>
  <c r="A99" i="4"/>
  <c r="A98" i="4"/>
  <c r="A97" i="4"/>
  <c r="A96" i="4"/>
  <c r="A95" i="4"/>
  <c r="A94" i="4"/>
  <c r="A93" i="4"/>
  <c r="A92" i="4"/>
  <c r="A91" i="4"/>
  <c r="A90" i="4"/>
  <c r="A89" i="4"/>
  <c r="A88" i="4"/>
  <c r="A87" i="4"/>
  <c r="A86" i="4"/>
  <c r="A85" i="4"/>
  <c r="A84" i="4"/>
  <c r="A83" i="4"/>
  <c r="A82" i="4"/>
  <c r="A81" i="4"/>
  <c r="A80" i="4"/>
  <c r="A79" i="4"/>
  <c r="A78" i="4"/>
  <c r="A77" i="4"/>
  <c r="A76" i="4"/>
  <c r="A75" i="4"/>
  <c r="A74" i="4"/>
  <c r="A73" i="4"/>
  <c r="A72" i="4"/>
  <c r="A71" i="4"/>
  <c r="A70" i="4"/>
  <c r="A69" i="4"/>
  <c r="A68" i="4"/>
  <c r="A67" i="4"/>
  <c r="A66" i="4"/>
  <c r="A65" i="4"/>
  <c r="A64" i="4"/>
  <c r="A63" i="4"/>
  <c r="A62" i="4"/>
  <c r="A61" i="4"/>
  <c r="A60" i="4"/>
  <c r="A59" i="4"/>
  <c r="A58" i="4"/>
  <c r="A57" i="4"/>
  <c r="A56" i="4"/>
  <c r="A55" i="4"/>
  <c r="A54" i="4"/>
  <c r="A53" i="4"/>
  <c r="A52" i="4"/>
  <c r="A51" i="4"/>
  <c r="A50" i="4"/>
  <c r="A49" i="4"/>
  <c r="A48" i="4"/>
  <c r="A47" i="4"/>
  <c r="A46" i="4"/>
  <c r="A45" i="4"/>
  <c r="A44" i="4"/>
  <c r="A43" i="4"/>
  <c r="A42" i="4"/>
  <c r="A41" i="4"/>
  <c r="A40" i="4"/>
  <c r="A39" i="4"/>
  <c r="A38" i="4"/>
  <c r="A37" i="4"/>
  <c r="A36" i="4"/>
  <c r="A35" i="4"/>
  <c r="A34" i="4"/>
  <c r="A33" i="4"/>
  <c r="A32" i="4"/>
  <c r="A31" i="4"/>
  <c r="A30" i="4"/>
  <c r="A29" i="4"/>
  <c r="A28" i="4"/>
  <c r="A27" i="4"/>
  <c r="A26" i="4"/>
  <c r="A25" i="4"/>
  <c r="A24" i="4"/>
  <c r="A23" i="4"/>
  <c r="A22" i="4"/>
  <c r="A21" i="4"/>
  <c r="A20" i="4"/>
  <c r="A19" i="4"/>
  <c r="A18" i="4"/>
  <c r="A17" i="4"/>
  <c r="A16" i="4"/>
  <c r="A15" i="4"/>
  <c r="A14" i="4"/>
  <c r="A13" i="4"/>
  <c r="A12" i="4"/>
  <c r="A11" i="4"/>
  <c r="A10" i="4"/>
  <c r="A9" i="4"/>
  <c r="A8" i="4"/>
  <c r="A7" i="4"/>
  <c r="A6" i="4"/>
  <c r="A5" i="4"/>
  <c r="A4" i="4"/>
  <c r="A3" i="4"/>
  <c r="A2" i="4"/>
  <c r="N15" i="2" a="1"/>
  <c r="N15" i="2" s="1"/>
  <c r="H15" i="2" a="1"/>
  <c r="H15" i="2" s="1"/>
  <c r="M5" i="2"/>
  <c r="M6" i="2"/>
  <c r="M7" i="2"/>
  <c r="M8" i="2"/>
  <c r="M9" i="2"/>
  <c r="M10" i="2"/>
  <c r="M4" i="2"/>
  <c r="L5" i="2"/>
  <c r="L6" i="2"/>
  <c r="L7" i="2"/>
  <c r="L8" i="2"/>
  <c r="L9" i="2"/>
  <c r="L10" i="2"/>
  <c r="L4" i="2"/>
  <c r="I5" i="2"/>
  <c r="I6" i="2"/>
  <c r="I7" i="2"/>
  <c r="I8" i="2"/>
  <c r="I9" i="2"/>
  <c r="I10" i="2"/>
  <c r="H5" i="2"/>
  <c r="H6" i="2"/>
  <c r="H7" i="2"/>
  <c r="H8" i="2"/>
  <c r="H9" i="2"/>
  <c r="H10" i="2"/>
  <c r="I4" i="2"/>
  <c r="H4" i="2"/>
  <c r="D2" i="1"/>
  <c r="D3" i="1"/>
  <c r="D4" i="1"/>
  <c r="D5" i="1"/>
  <c r="D6" i="1"/>
  <c r="G5" i="2" s="1"/>
  <c r="D7" i="1"/>
  <c r="D8" i="1"/>
  <c r="D9" i="1"/>
  <c r="G8" i="2" s="1"/>
  <c r="D10" i="1"/>
  <c r="D11" i="1"/>
  <c r="D12" i="1"/>
  <c r="G7" i="2" s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G6" i="2" s="1"/>
  <c r="D35" i="1"/>
  <c r="D36" i="1"/>
  <c r="L15" i="2" s="1" a="1"/>
  <c r="L15" i="2" s="1"/>
  <c r="D37" i="1"/>
  <c r="D38" i="1"/>
  <c r="G15" i="2" s="1" a="1"/>
  <c r="G15" i="2" s="1"/>
  <c r="D39" i="1"/>
  <c r="D40" i="1"/>
  <c r="D41" i="1"/>
  <c r="D42" i="1"/>
  <c r="D43" i="1"/>
  <c r="D44" i="1"/>
  <c r="D45" i="1"/>
  <c r="D46" i="1"/>
  <c r="D47" i="1"/>
  <c r="D48" i="1"/>
  <c r="D49" i="1"/>
  <c r="D50" i="1"/>
  <c r="G10" i="2" s="1"/>
  <c r="D51" i="1"/>
  <c r="D52" i="1"/>
  <c r="D53" i="1"/>
  <c r="D54" i="1"/>
  <c r="D55" i="1"/>
  <c r="D56" i="1"/>
  <c r="G4" i="2" s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G9" i="2" s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G690" i="1"/>
  <c r="Q690" i="1" s="1"/>
  <c r="G689" i="1"/>
  <c r="Q689" i="1" s="1"/>
  <c r="G688" i="1"/>
  <c r="Q688" i="1" s="1"/>
  <c r="G687" i="1"/>
  <c r="Q687" i="1" s="1"/>
  <c r="G686" i="1"/>
  <c r="Q686" i="1" s="1"/>
  <c r="G685" i="1"/>
  <c r="Q685" i="1" s="1"/>
  <c r="G684" i="1"/>
  <c r="Q684" i="1" s="1"/>
  <c r="G683" i="1"/>
  <c r="Q683" i="1" s="1"/>
  <c r="G682" i="1"/>
  <c r="Q682" i="1" s="1"/>
  <c r="G681" i="1"/>
  <c r="Q681" i="1" s="1"/>
  <c r="G680" i="1"/>
  <c r="Q680" i="1" s="1"/>
  <c r="G679" i="1"/>
  <c r="Q679" i="1" s="1"/>
  <c r="G678" i="1"/>
  <c r="Q678" i="1" s="1"/>
  <c r="G677" i="1"/>
  <c r="Q677" i="1" s="1"/>
  <c r="G676" i="1"/>
  <c r="Q676" i="1" s="1"/>
  <c r="G675" i="1"/>
  <c r="Q675" i="1" s="1"/>
  <c r="G674" i="1"/>
  <c r="Q674" i="1" s="1"/>
  <c r="G673" i="1"/>
  <c r="Q673" i="1" s="1"/>
  <c r="G672" i="1"/>
  <c r="Q672" i="1" s="1"/>
  <c r="G671" i="1"/>
  <c r="Q671" i="1" s="1"/>
  <c r="G670" i="1"/>
  <c r="Q670" i="1" s="1"/>
  <c r="G669" i="1"/>
  <c r="Q669" i="1" s="1"/>
  <c r="G668" i="1"/>
  <c r="Q668" i="1" s="1"/>
  <c r="G667" i="1"/>
  <c r="Q667" i="1" s="1"/>
  <c r="G666" i="1"/>
  <c r="Q666" i="1" s="1"/>
  <c r="G665" i="1"/>
  <c r="Q665" i="1" s="1"/>
  <c r="G664" i="1"/>
  <c r="Q664" i="1" s="1"/>
  <c r="G663" i="1"/>
  <c r="Q663" i="1" s="1"/>
  <c r="G662" i="1"/>
  <c r="Q662" i="1" s="1"/>
  <c r="G661" i="1"/>
  <c r="Q661" i="1" s="1"/>
  <c r="G660" i="1"/>
  <c r="Q660" i="1" s="1"/>
  <c r="G659" i="1"/>
  <c r="Q659" i="1" s="1"/>
  <c r="G658" i="1"/>
  <c r="Q658" i="1" s="1"/>
  <c r="G657" i="1"/>
  <c r="Q657" i="1" s="1"/>
  <c r="G656" i="1"/>
  <c r="Q656" i="1" s="1"/>
  <c r="G655" i="1"/>
  <c r="Q655" i="1" s="1"/>
  <c r="G654" i="1"/>
  <c r="Q654" i="1" s="1"/>
  <c r="G653" i="1"/>
  <c r="Q653" i="1" s="1"/>
  <c r="G652" i="1"/>
  <c r="Q652" i="1" s="1"/>
  <c r="G651" i="1"/>
  <c r="Q651" i="1" s="1"/>
  <c r="G650" i="1"/>
  <c r="Q650" i="1" s="1"/>
  <c r="G649" i="1"/>
  <c r="Q649" i="1" s="1"/>
  <c r="G648" i="1"/>
  <c r="Q648" i="1" s="1"/>
  <c r="G647" i="1"/>
  <c r="Q647" i="1" s="1"/>
  <c r="G646" i="1"/>
  <c r="Q646" i="1" s="1"/>
  <c r="G645" i="1"/>
  <c r="Q645" i="1" s="1"/>
  <c r="G644" i="1"/>
  <c r="Q644" i="1" s="1"/>
  <c r="G643" i="1"/>
  <c r="Q643" i="1" s="1"/>
  <c r="G642" i="1"/>
  <c r="Q642" i="1" s="1"/>
  <c r="G641" i="1"/>
  <c r="Q641" i="1" s="1"/>
  <c r="G640" i="1"/>
  <c r="Q640" i="1" s="1"/>
  <c r="G639" i="1"/>
  <c r="Q639" i="1" s="1"/>
  <c r="G638" i="1"/>
  <c r="Q638" i="1" s="1"/>
  <c r="G637" i="1"/>
  <c r="Q637" i="1" s="1"/>
  <c r="G636" i="1"/>
  <c r="Q636" i="1" s="1"/>
  <c r="G635" i="1"/>
  <c r="Q635" i="1" s="1"/>
  <c r="G634" i="1"/>
  <c r="Q634" i="1" s="1"/>
  <c r="G633" i="1"/>
  <c r="Q633" i="1" s="1"/>
  <c r="G632" i="1"/>
  <c r="Q632" i="1" s="1"/>
  <c r="G631" i="1"/>
  <c r="Q631" i="1" s="1"/>
  <c r="G630" i="1"/>
  <c r="Q630" i="1" s="1"/>
  <c r="G629" i="1"/>
  <c r="Q629" i="1" s="1"/>
  <c r="G628" i="1"/>
  <c r="Q628" i="1" s="1"/>
  <c r="G627" i="1"/>
  <c r="Q627" i="1" s="1"/>
  <c r="G626" i="1"/>
  <c r="Q626" i="1" s="1"/>
  <c r="G625" i="1"/>
  <c r="Q625" i="1" s="1"/>
  <c r="G624" i="1"/>
  <c r="Q624" i="1" s="1"/>
  <c r="G623" i="1"/>
  <c r="Q623" i="1" s="1"/>
  <c r="G622" i="1"/>
  <c r="Q622" i="1" s="1"/>
  <c r="G621" i="1"/>
  <c r="Q621" i="1" s="1"/>
  <c r="G620" i="1"/>
  <c r="Q620" i="1" s="1"/>
  <c r="G619" i="1"/>
  <c r="Q619" i="1" s="1"/>
  <c r="G618" i="1"/>
  <c r="Q618" i="1" s="1"/>
  <c r="G617" i="1"/>
  <c r="Q617" i="1" s="1"/>
  <c r="G616" i="1"/>
  <c r="Q616" i="1" s="1"/>
  <c r="G615" i="1"/>
  <c r="Q615" i="1" s="1"/>
  <c r="G614" i="1"/>
  <c r="Q614" i="1" s="1"/>
  <c r="G613" i="1"/>
  <c r="Q613" i="1" s="1"/>
  <c r="G612" i="1"/>
  <c r="Q612" i="1" s="1"/>
  <c r="G611" i="1"/>
  <c r="Q611" i="1" s="1"/>
  <c r="G610" i="1"/>
  <c r="Q610" i="1" s="1"/>
  <c r="G609" i="1"/>
  <c r="Q609" i="1" s="1"/>
  <c r="G608" i="1"/>
  <c r="Q608" i="1" s="1"/>
  <c r="G607" i="1"/>
  <c r="Q607" i="1" s="1"/>
  <c r="G606" i="1"/>
  <c r="Q606" i="1" s="1"/>
  <c r="G605" i="1"/>
  <c r="Q605" i="1" s="1"/>
  <c r="G604" i="1"/>
  <c r="Q604" i="1" s="1"/>
  <c r="G603" i="1"/>
  <c r="Q603" i="1" s="1"/>
  <c r="G602" i="1"/>
  <c r="Q602" i="1" s="1"/>
  <c r="G601" i="1"/>
  <c r="Q601" i="1" s="1"/>
  <c r="G600" i="1"/>
  <c r="Q600" i="1" s="1"/>
  <c r="G599" i="1"/>
  <c r="Q599" i="1" s="1"/>
  <c r="G598" i="1"/>
  <c r="Q598" i="1" s="1"/>
  <c r="G597" i="1"/>
  <c r="Q597" i="1" s="1"/>
  <c r="G596" i="1"/>
  <c r="Q596" i="1" s="1"/>
  <c r="G595" i="1"/>
  <c r="Q595" i="1" s="1"/>
  <c r="G594" i="1"/>
  <c r="Q594" i="1" s="1"/>
  <c r="G593" i="1"/>
  <c r="Q593" i="1" s="1"/>
  <c r="G592" i="1"/>
  <c r="Q592" i="1" s="1"/>
  <c r="G591" i="1"/>
  <c r="Q591" i="1" s="1"/>
  <c r="G590" i="1"/>
  <c r="Q590" i="1" s="1"/>
  <c r="G589" i="1"/>
  <c r="Q589" i="1" s="1"/>
  <c r="G588" i="1"/>
  <c r="Q588" i="1" s="1"/>
  <c r="G587" i="1"/>
  <c r="Q587" i="1" s="1"/>
  <c r="G586" i="1"/>
  <c r="Q586" i="1" s="1"/>
  <c r="G585" i="1"/>
  <c r="Q585" i="1" s="1"/>
  <c r="G584" i="1"/>
  <c r="Q584" i="1" s="1"/>
  <c r="G583" i="1"/>
  <c r="Q583" i="1" s="1"/>
  <c r="G582" i="1"/>
  <c r="Q582" i="1" s="1"/>
  <c r="G581" i="1"/>
  <c r="Q581" i="1" s="1"/>
  <c r="G580" i="1"/>
  <c r="Q580" i="1" s="1"/>
  <c r="G579" i="1"/>
  <c r="Q579" i="1" s="1"/>
  <c r="G578" i="1"/>
  <c r="Q578" i="1" s="1"/>
  <c r="G577" i="1"/>
  <c r="Q577" i="1" s="1"/>
  <c r="G576" i="1"/>
  <c r="Q576" i="1" s="1"/>
  <c r="G575" i="1"/>
  <c r="Q575" i="1" s="1"/>
  <c r="G574" i="1"/>
  <c r="Q574" i="1" s="1"/>
  <c r="G573" i="1"/>
  <c r="Q573" i="1" s="1"/>
  <c r="G572" i="1"/>
  <c r="Q572" i="1" s="1"/>
  <c r="G571" i="1"/>
  <c r="Q571" i="1" s="1"/>
  <c r="G570" i="1"/>
  <c r="Q570" i="1" s="1"/>
  <c r="G569" i="1"/>
  <c r="Q569" i="1" s="1"/>
  <c r="G568" i="1"/>
  <c r="Q568" i="1" s="1"/>
  <c r="G567" i="1"/>
  <c r="Q567" i="1" s="1"/>
  <c r="G566" i="1"/>
  <c r="Q566" i="1" s="1"/>
  <c r="G565" i="1"/>
  <c r="Q565" i="1" s="1"/>
  <c r="G564" i="1"/>
  <c r="Q564" i="1" s="1"/>
  <c r="G563" i="1"/>
  <c r="Q563" i="1" s="1"/>
  <c r="G562" i="1"/>
  <c r="Q562" i="1" s="1"/>
  <c r="G561" i="1"/>
  <c r="Q561" i="1" s="1"/>
  <c r="G560" i="1"/>
  <c r="Q560" i="1" s="1"/>
  <c r="G559" i="1"/>
  <c r="Q559" i="1" s="1"/>
  <c r="G558" i="1"/>
  <c r="Q558" i="1" s="1"/>
  <c r="G557" i="1"/>
  <c r="Q557" i="1" s="1"/>
  <c r="G556" i="1"/>
  <c r="Q556" i="1" s="1"/>
  <c r="G555" i="1"/>
  <c r="Q555" i="1" s="1"/>
  <c r="G554" i="1"/>
  <c r="Q554" i="1" s="1"/>
  <c r="G553" i="1"/>
  <c r="Q553" i="1" s="1"/>
  <c r="G552" i="1"/>
  <c r="Q552" i="1" s="1"/>
  <c r="G551" i="1"/>
  <c r="Q551" i="1" s="1"/>
  <c r="G550" i="1"/>
  <c r="Q550" i="1" s="1"/>
  <c r="G549" i="1"/>
  <c r="Q549" i="1" s="1"/>
  <c r="G548" i="1"/>
  <c r="Q548" i="1" s="1"/>
  <c r="G547" i="1"/>
  <c r="Q547" i="1" s="1"/>
  <c r="G546" i="1"/>
  <c r="Q546" i="1" s="1"/>
  <c r="G545" i="1"/>
  <c r="Q545" i="1" s="1"/>
  <c r="G544" i="1"/>
  <c r="Q544" i="1" s="1"/>
  <c r="G543" i="1"/>
  <c r="Q543" i="1" s="1"/>
  <c r="G542" i="1"/>
  <c r="Q542" i="1" s="1"/>
  <c r="G541" i="1"/>
  <c r="Q541" i="1" s="1"/>
  <c r="G540" i="1"/>
  <c r="Q540" i="1" s="1"/>
  <c r="G539" i="1"/>
  <c r="Q539" i="1" s="1"/>
  <c r="G538" i="1"/>
  <c r="Q538" i="1" s="1"/>
  <c r="G537" i="1"/>
  <c r="Q537" i="1" s="1"/>
  <c r="G536" i="1"/>
  <c r="Q536" i="1" s="1"/>
  <c r="G535" i="1"/>
  <c r="Q535" i="1" s="1"/>
  <c r="G534" i="1"/>
  <c r="Q534" i="1" s="1"/>
  <c r="G533" i="1"/>
  <c r="Q533" i="1" s="1"/>
  <c r="G532" i="1"/>
  <c r="Q532" i="1" s="1"/>
  <c r="G531" i="1"/>
  <c r="Q531" i="1" s="1"/>
  <c r="G530" i="1"/>
  <c r="Q530" i="1" s="1"/>
  <c r="G529" i="1"/>
  <c r="Q529" i="1" s="1"/>
  <c r="G528" i="1"/>
  <c r="Q528" i="1" s="1"/>
  <c r="G527" i="1"/>
  <c r="Q527" i="1" s="1"/>
  <c r="G526" i="1"/>
  <c r="Q526" i="1" s="1"/>
  <c r="G525" i="1"/>
  <c r="Q525" i="1" s="1"/>
  <c r="G524" i="1"/>
  <c r="Q524" i="1" s="1"/>
  <c r="G523" i="1"/>
  <c r="Q523" i="1" s="1"/>
  <c r="G522" i="1"/>
  <c r="Q522" i="1" s="1"/>
  <c r="G521" i="1"/>
  <c r="Q521" i="1" s="1"/>
  <c r="G520" i="1"/>
  <c r="Q520" i="1" s="1"/>
  <c r="G519" i="1"/>
  <c r="Q519" i="1" s="1"/>
  <c r="G518" i="1"/>
  <c r="Q518" i="1" s="1"/>
  <c r="G517" i="1"/>
  <c r="Q517" i="1" s="1"/>
  <c r="G516" i="1"/>
  <c r="Q516" i="1" s="1"/>
  <c r="G515" i="1"/>
  <c r="Q515" i="1" s="1"/>
  <c r="G514" i="1"/>
  <c r="Q514" i="1" s="1"/>
  <c r="G513" i="1"/>
  <c r="Q513" i="1" s="1"/>
  <c r="G512" i="1"/>
  <c r="Q512" i="1" s="1"/>
  <c r="G511" i="1"/>
  <c r="Q511" i="1" s="1"/>
  <c r="G510" i="1"/>
  <c r="Q510" i="1" s="1"/>
  <c r="G509" i="1"/>
  <c r="Q509" i="1" s="1"/>
  <c r="G508" i="1"/>
  <c r="Q508" i="1" s="1"/>
  <c r="G507" i="1"/>
  <c r="Q507" i="1" s="1"/>
  <c r="G506" i="1"/>
  <c r="Q506" i="1" s="1"/>
  <c r="G505" i="1"/>
  <c r="Q505" i="1" s="1"/>
  <c r="G504" i="1"/>
  <c r="Q504" i="1" s="1"/>
  <c r="G503" i="1"/>
  <c r="Q503" i="1" s="1"/>
  <c r="G502" i="1"/>
  <c r="Q502" i="1" s="1"/>
  <c r="G501" i="1"/>
  <c r="Q501" i="1" s="1"/>
  <c r="G500" i="1"/>
  <c r="Q500" i="1" s="1"/>
  <c r="G499" i="1"/>
  <c r="Q499" i="1" s="1"/>
  <c r="G498" i="1"/>
  <c r="Q498" i="1" s="1"/>
  <c r="G497" i="1"/>
  <c r="Q497" i="1" s="1"/>
  <c r="G496" i="1"/>
  <c r="Q496" i="1" s="1"/>
  <c r="G495" i="1"/>
  <c r="Q495" i="1" s="1"/>
  <c r="G494" i="1"/>
  <c r="Q494" i="1" s="1"/>
  <c r="G493" i="1"/>
  <c r="Q493" i="1" s="1"/>
  <c r="G492" i="1"/>
  <c r="Q492" i="1" s="1"/>
  <c r="G491" i="1"/>
  <c r="Q491" i="1" s="1"/>
  <c r="G490" i="1"/>
  <c r="Q490" i="1" s="1"/>
  <c r="G489" i="1"/>
  <c r="Q489" i="1" s="1"/>
  <c r="G488" i="1"/>
  <c r="Q488" i="1" s="1"/>
  <c r="G487" i="1"/>
  <c r="Q487" i="1" s="1"/>
  <c r="G486" i="1"/>
  <c r="Q486" i="1" s="1"/>
  <c r="G485" i="1"/>
  <c r="Q485" i="1" s="1"/>
  <c r="G484" i="1"/>
  <c r="Q484" i="1" s="1"/>
  <c r="G483" i="1"/>
  <c r="Q483" i="1" s="1"/>
  <c r="G482" i="1"/>
  <c r="Q482" i="1" s="1"/>
  <c r="G481" i="1"/>
  <c r="Q481" i="1" s="1"/>
  <c r="G480" i="1"/>
  <c r="Q480" i="1" s="1"/>
  <c r="G479" i="1"/>
  <c r="Q479" i="1" s="1"/>
  <c r="G478" i="1"/>
  <c r="Q478" i="1" s="1"/>
  <c r="G477" i="1"/>
  <c r="Q477" i="1" s="1"/>
  <c r="G476" i="1"/>
  <c r="Q476" i="1" s="1"/>
  <c r="G475" i="1"/>
  <c r="Q475" i="1" s="1"/>
  <c r="G474" i="1"/>
  <c r="Q474" i="1" s="1"/>
  <c r="G473" i="1"/>
  <c r="Q473" i="1" s="1"/>
  <c r="G472" i="1"/>
  <c r="Q472" i="1" s="1"/>
  <c r="G471" i="1"/>
  <c r="Q471" i="1" s="1"/>
  <c r="G470" i="1"/>
  <c r="Q470" i="1" s="1"/>
  <c r="G469" i="1"/>
  <c r="Q469" i="1" s="1"/>
  <c r="G468" i="1"/>
  <c r="Q468" i="1" s="1"/>
  <c r="G467" i="1"/>
  <c r="Q467" i="1" s="1"/>
  <c r="G466" i="1"/>
  <c r="Q466" i="1" s="1"/>
  <c r="G465" i="1"/>
  <c r="Q465" i="1" s="1"/>
  <c r="G464" i="1"/>
  <c r="Q464" i="1" s="1"/>
  <c r="G463" i="1"/>
  <c r="Q463" i="1" s="1"/>
  <c r="G462" i="1"/>
  <c r="Q462" i="1" s="1"/>
  <c r="G461" i="1"/>
  <c r="Q461" i="1" s="1"/>
  <c r="G460" i="1"/>
  <c r="Q460" i="1" s="1"/>
  <c r="G459" i="1"/>
  <c r="Q459" i="1" s="1"/>
  <c r="G458" i="1"/>
  <c r="Q458" i="1" s="1"/>
  <c r="G457" i="1"/>
  <c r="Q457" i="1" s="1"/>
  <c r="G456" i="1"/>
  <c r="Q456" i="1" s="1"/>
  <c r="G455" i="1"/>
  <c r="Q455" i="1" s="1"/>
  <c r="G454" i="1"/>
  <c r="Q454" i="1" s="1"/>
  <c r="G453" i="1"/>
  <c r="Q453" i="1" s="1"/>
  <c r="G452" i="1"/>
  <c r="Q452" i="1" s="1"/>
  <c r="G451" i="1"/>
  <c r="Q451" i="1" s="1"/>
  <c r="G450" i="1"/>
  <c r="Q450" i="1" s="1"/>
  <c r="G449" i="1"/>
  <c r="Q449" i="1" s="1"/>
  <c r="G448" i="1"/>
  <c r="Q448" i="1" s="1"/>
  <c r="G447" i="1"/>
  <c r="Q447" i="1" s="1"/>
  <c r="G446" i="1"/>
  <c r="Q446" i="1" s="1"/>
  <c r="G445" i="1"/>
  <c r="Q445" i="1" s="1"/>
  <c r="G444" i="1"/>
  <c r="Q444" i="1" s="1"/>
  <c r="G443" i="1"/>
  <c r="Q443" i="1" s="1"/>
  <c r="G442" i="1"/>
  <c r="Q442" i="1" s="1"/>
  <c r="G441" i="1"/>
  <c r="Q441" i="1" s="1"/>
  <c r="G440" i="1"/>
  <c r="Q440" i="1" s="1"/>
  <c r="G439" i="1"/>
  <c r="Q439" i="1" s="1"/>
  <c r="G438" i="1"/>
  <c r="Q438" i="1" s="1"/>
  <c r="G437" i="1"/>
  <c r="Q437" i="1" s="1"/>
  <c r="G436" i="1"/>
  <c r="Q436" i="1" s="1"/>
  <c r="G435" i="1"/>
  <c r="Q435" i="1" s="1"/>
  <c r="G434" i="1"/>
  <c r="Q434" i="1" s="1"/>
  <c r="G433" i="1"/>
  <c r="Q433" i="1" s="1"/>
  <c r="G432" i="1"/>
  <c r="Q432" i="1" s="1"/>
  <c r="G431" i="1"/>
  <c r="Q431" i="1" s="1"/>
  <c r="G430" i="1"/>
  <c r="Q430" i="1" s="1"/>
  <c r="G429" i="1"/>
  <c r="Q429" i="1" s="1"/>
  <c r="G428" i="1"/>
  <c r="Q428" i="1" s="1"/>
  <c r="G427" i="1"/>
  <c r="Q427" i="1" s="1"/>
  <c r="G426" i="1"/>
  <c r="Q426" i="1" s="1"/>
  <c r="G425" i="1"/>
  <c r="Q425" i="1" s="1"/>
  <c r="G424" i="1"/>
  <c r="Q424" i="1" s="1"/>
  <c r="G423" i="1"/>
  <c r="Q423" i="1" s="1"/>
  <c r="G422" i="1"/>
  <c r="Q422" i="1" s="1"/>
  <c r="G421" i="1"/>
  <c r="Q421" i="1" s="1"/>
  <c r="G420" i="1"/>
  <c r="Q420" i="1" s="1"/>
  <c r="G419" i="1"/>
  <c r="Q419" i="1" s="1"/>
  <c r="G418" i="1"/>
  <c r="Q418" i="1" s="1"/>
  <c r="G417" i="1"/>
  <c r="Q417" i="1" s="1"/>
  <c r="G416" i="1"/>
  <c r="Q416" i="1" s="1"/>
  <c r="G415" i="1"/>
  <c r="Q415" i="1" s="1"/>
  <c r="G414" i="1"/>
  <c r="Q414" i="1" s="1"/>
  <c r="G413" i="1"/>
  <c r="Q413" i="1" s="1"/>
  <c r="G412" i="1"/>
  <c r="Q412" i="1" s="1"/>
  <c r="G411" i="1"/>
  <c r="Q411" i="1" s="1"/>
  <c r="G410" i="1"/>
  <c r="Q410" i="1" s="1"/>
  <c r="G409" i="1"/>
  <c r="Q409" i="1" s="1"/>
  <c r="G408" i="1"/>
  <c r="Q408" i="1" s="1"/>
  <c r="G407" i="1"/>
  <c r="Q407" i="1" s="1"/>
  <c r="G406" i="1"/>
  <c r="Q406" i="1" s="1"/>
  <c r="G405" i="1"/>
  <c r="Q405" i="1" s="1"/>
  <c r="G404" i="1"/>
  <c r="Q404" i="1" s="1"/>
  <c r="G403" i="1"/>
  <c r="Q403" i="1" s="1"/>
  <c r="G402" i="1"/>
  <c r="Q402" i="1" s="1"/>
  <c r="G401" i="1"/>
  <c r="Q401" i="1" s="1"/>
  <c r="G400" i="1"/>
  <c r="Q400" i="1" s="1"/>
  <c r="G399" i="1"/>
  <c r="Q399" i="1" s="1"/>
  <c r="G398" i="1"/>
  <c r="Q398" i="1" s="1"/>
  <c r="G397" i="1"/>
  <c r="Q397" i="1" s="1"/>
  <c r="G396" i="1"/>
  <c r="Q396" i="1" s="1"/>
  <c r="G395" i="1"/>
  <c r="Q395" i="1" s="1"/>
  <c r="G394" i="1"/>
  <c r="Q394" i="1" s="1"/>
  <c r="G393" i="1"/>
  <c r="Q393" i="1" s="1"/>
  <c r="G392" i="1"/>
  <c r="Q392" i="1" s="1"/>
  <c r="G391" i="1"/>
  <c r="Q391" i="1" s="1"/>
  <c r="G390" i="1"/>
  <c r="Q390" i="1" s="1"/>
  <c r="G389" i="1"/>
  <c r="Q389" i="1" s="1"/>
  <c r="G388" i="1"/>
  <c r="Q388" i="1" s="1"/>
  <c r="G387" i="1"/>
  <c r="Q387" i="1" s="1"/>
  <c r="G386" i="1"/>
  <c r="Q386" i="1" s="1"/>
  <c r="G385" i="1"/>
  <c r="Q385" i="1" s="1"/>
  <c r="G384" i="1"/>
  <c r="Q384" i="1" s="1"/>
  <c r="G383" i="1"/>
  <c r="Q383" i="1" s="1"/>
  <c r="G382" i="1"/>
  <c r="Q382" i="1" s="1"/>
  <c r="G381" i="1"/>
  <c r="Q381" i="1" s="1"/>
  <c r="G380" i="1"/>
  <c r="Q380" i="1" s="1"/>
  <c r="G379" i="1"/>
  <c r="Q379" i="1" s="1"/>
  <c r="G378" i="1"/>
  <c r="Q378" i="1" s="1"/>
  <c r="G377" i="1"/>
  <c r="Q377" i="1" s="1"/>
  <c r="G376" i="1"/>
  <c r="Q376" i="1" s="1"/>
  <c r="G375" i="1"/>
  <c r="Q375" i="1" s="1"/>
  <c r="G374" i="1"/>
  <c r="Q374" i="1" s="1"/>
  <c r="G373" i="1"/>
  <c r="Q373" i="1" s="1"/>
  <c r="G372" i="1"/>
  <c r="Q372" i="1" s="1"/>
  <c r="G371" i="1"/>
  <c r="Q371" i="1" s="1"/>
  <c r="G370" i="1"/>
  <c r="Q370" i="1" s="1"/>
  <c r="G369" i="1"/>
  <c r="Q369" i="1" s="1"/>
  <c r="G368" i="1"/>
  <c r="Q368" i="1" s="1"/>
  <c r="G367" i="1"/>
  <c r="Q367" i="1" s="1"/>
  <c r="G366" i="1"/>
  <c r="Q366" i="1" s="1"/>
  <c r="G365" i="1"/>
  <c r="Q365" i="1" s="1"/>
  <c r="G364" i="1"/>
  <c r="Q364" i="1" s="1"/>
  <c r="G363" i="1"/>
  <c r="Q363" i="1" s="1"/>
  <c r="G362" i="1"/>
  <c r="Q362" i="1" s="1"/>
  <c r="G361" i="1"/>
  <c r="Q361" i="1" s="1"/>
  <c r="G360" i="1"/>
  <c r="Q360" i="1" s="1"/>
  <c r="G359" i="1"/>
  <c r="Q359" i="1" s="1"/>
  <c r="G358" i="1"/>
  <c r="Q358" i="1" s="1"/>
  <c r="G357" i="1"/>
  <c r="Q357" i="1" s="1"/>
  <c r="G356" i="1"/>
  <c r="Q356" i="1" s="1"/>
  <c r="G355" i="1"/>
  <c r="Q355" i="1" s="1"/>
  <c r="G354" i="1"/>
  <c r="Q354" i="1" s="1"/>
  <c r="G353" i="1"/>
  <c r="Q353" i="1" s="1"/>
  <c r="G352" i="1"/>
  <c r="Q352" i="1" s="1"/>
  <c r="G351" i="1"/>
  <c r="Q351" i="1" s="1"/>
  <c r="G350" i="1"/>
  <c r="Q350" i="1" s="1"/>
  <c r="G349" i="1"/>
  <c r="Q349" i="1" s="1"/>
  <c r="G348" i="1"/>
  <c r="Q348" i="1" s="1"/>
  <c r="G347" i="1"/>
  <c r="Q347" i="1" s="1"/>
  <c r="G346" i="1"/>
  <c r="Q346" i="1" s="1"/>
  <c r="G345" i="1"/>
  <c r="Q345" i="1" s="1"/>
  <c r="G344" i="1"/>
  <c r="Q344" i="1" s="1"/>
  <c r="G343" i="1"/>
  <c r="Q343" i="1" s="1"/>
  <c r="G342" i="1"/>
  <c r="Q342" i="1" s="1"/>
  <c r="G341" i="1"/>
  <c r="Q341" i="1" s="1"/>
  <c r="G340" i="1"/>
  <c r="Q340" i="1" s="1"/>
  <c r="G339" i="1"/>
  <c r="Q339" i="1" s="1"/>
  <c r="G338" i="1"/>
  <c r="Q338" i="1" s="1"/>
  <c r="G337" i="1"/>
  <c r="Q337" i="1" s="1"/>
  <c r="G336" i="1"/>
  <c r="Q336" i="1" s="1"/>
  <c r="G335" i="1"/>
  <c r="Q335" i="1" s="1"/>
  <c r="G334" i="1"/>
  <c r="Q334" i="1" s="1"/>
  <c r="G333" i="1"/>
  <c r="Q333" i="1" s="1"/>
  <c r="G332" i="1"/>
  <c r="Q332" i="1" s="1"/>
  <c r="G331" i="1"/>
  <c r="Q331" i="1" s="1"/>
  <c r="G330" i="1"/>
  <c r="Q330" i="1" s="1"/>
  <c r="G329" i="1"/>
  <c r="Q329" i="1" s="1"/>
  <c r="G328" i="1"/>
  <c r="Q328" i="1" s="1"/>
  <c r="G327" i="1"/>
  <c r="Q327" i="1" s="1"/>
  <c r="G326" i="1"/>
  <c r="Q326" i="1" s="1"/>
  <c r="G325" i="1"/>
  <c r="Q325" i="1" s="1"/>
  <c r="G324" i="1"/>
  <c r="Q324" i="1" s="1"/>
  <c r="G323" i="1"/>
  <c r="Q323" i="1" s="1"/>
  <c r="G322" i="1"/>
  <c r="Q322" i="1" s="1"/>
  <c r="G321" i="1"/>
  <c r="Q321" i="1" s="1"/>
  <c r="G320" i="1"/>
  <c r="Q320" i="1" s="1"/>
  <c r="G319" i="1"/>
  <c r="Q319" i="1" s="1"/>
  <c r="G318" i="1"/>
  <c r="Q318" i="1" s="1"/>
  <c r="G317" i="1"/>
  <c r="Q317" i="1" s="1"/>
  <c r="G316" i="1"/>
  <c r="Q316" i="1" s="1"/>
  <c r="G315" i="1"/>
  <c r="Q315" i="1" s="1"/>
  <c r="G314" i="1"/>
  <c r="Q314" i="1" s="1"/>
  <c r="G313" i="1"/>
  <c r="Q313" i="1" s="1"/>
  <c r="G312" i="1"/>
  <c r="Q312" i="1" s="1"/>
  <c r="G311" i="1"/>
  <c r="Q311" i="1" s="1"/>
  <c r="G310" i="1"/>
  <c r="Q310" i="1" s="1"/>
  <c r="G309" i="1"/>
  <c r="Q309" i="1" s="1"/>
  <c r="G308" i="1"/>
  <c r="Q308" i="1" s="1"/>
  <c r="G307" i="1"/>
  <c r="Q307" i="1" s="1"/>
  <c r="G306" i="1"/>
  <c r="Q306" i="1" s="1"/>
  <c r="G305" i="1"/>
  <c r="Q305" i="1" s="1"/>
  <c r="G304" i="1"/>
  <c r="Q304" i="1" s="1"/>
  <c r="G303" i="1"/>
  <c r="Q303" i="1" s="1"/>
  <c r="G302" i="1"/>
  <c r="Q302" i="1" s="1"/>
  <c r="G301" i="1"/>
  <c r="Q301" i="1" s="1"/>
  <c r="G300" i="1"/>
  <c r="Q300" i="1" s="1"/>
  <c r="G299" i="1"/>
  <c r="Q299" i="1" s="1"/>
  <c r="G298" i="1"/>
  <c r="Q298" i="1" s="1"/>
  <c r="G297" i="1"/>
  <c r="Q297" i="1" s="1"/>
  <c r="G296" i="1"/>
  <c r="Q296" i="1" s="1"/>
  <c r="G295" i="1"/>
  <c r="Q295" i="1" s="1"/>
  <c r="G294" i="1"/>
  <c r="Q294" i="1" s="1"/>
  <c r="G293" i="1"/>
  <c r="Q293" i="1" s="1"/>
  <c r="G292" i="1"/>
  <c r="Q292" i="1" s="1"/>
  <c r="G291" i="1"/>
  <c r="Q291" i="1" s="1"/>
  <c r="G290" i="1"/>
  <c r="Q290" i="1" s="1"/>
  <c r="G289" i="1"/>
  <c r="Q289" i="1" s="1"/>
  <c r="G288" i="1"/>
  <c r="Q288" i="1" s="1"/>
  <c r="G287" i="1"/>
  <c r="Q287" i="1" s="1"/>
  <c r="G286" i="1"/>
  <c r="Q286" i="1" s="1"/>
  <c r="G285" i="1"/>
  <c r="Q285" i="1" s="1"/>
  <c r="G284" i="1"/>
  <c r="Q284" i="1" s="1"/>
  <c r="G283" i="1"/>
  <c r="Q283" i="1" s="1"/>
  <c r="G282" i="1"/>
  <c r="Q282" i="1" s="1"/>
  <c r="G281" i="1"/>
  <c r="Q281" i="1" s="1"/>
  <c r="G280" i="1"/>
  <c r="Q280" i="1" s="1"/>
  <c r="G279" i="1"/>
  <c r="Q279" i="1" s="1"/>
  <c r="G278" i="1"/>
  <c r="Q278" i="1" s="1"/>
  <c r="G277" i="1"/>
  <c r="Q277" i="1" s="1"/>
  <c r="G276" i="1"/>
  <c r="Q276" i="1" s="1"/>
  <c r="G275" i="1"/>
  <c r="Q275" i="1" s="1"/>
  <c r="G274" i="1"/>
  <c r="Q274" i="1" s="1"/>
  <c r="G273" i="1"/>
  <c r="Q273" i="1" s="1"/>
  <c r="G272" i="1"/>
  <c r="Q272" i="1" s="1"/>
  <c r="G271" i="1"/>
  <c r="Q271" i="1" s="1"/>
  <c r="G270" i="1"/>
  <c r="Q270" i="1" s="1"/>
  <c r="G269" i="1"/>
  <c r="Q269" i="1" s="1"/>
  <c r="G268" i="1"/>
  <c r="Q268" i="1" s="1"/>
  <c r="G267" i="1"/>
  <c r="Q267" i="1" s="1"/>
  <c r="G266" i="1"/>
  <c r="Q266" i="1" s="1"/>
  <c r="G265" i="1"/>
  <c r="Q265" i="1" s="1"/>
  <c r="G264" i="1"/>
  <c r="Q264" i="1" s="1"/>
  <c r="G263" i="1"/>
  <c r="Q263" i="1" s="1"/>
  <c r="G262" i="1"/>
  <c r="Q262" i="1" s="1"/>
  <c r="G261" i="1"/>
  <c r="Q261" i="1" s="1"/>
  <c r="G260" i="1"/>
  <c r="Q260" i="1" s="1"/>
  <c r="G259" i="1"/>
  <c r="Q259" i="1" s="1"/>
  <c r="G258" i="1"/>
  <c r="Q258" i="1" s="1"/>
  <c r="G257" i="1"/>
  <c r="Q257" i="1" s="1"/>
  <c r="G256" i="1"/>
  <c r="Q256" i="1" s="1"/>
  <c r="G255" i="1"/>
  <c r="Q255" i="1" s="1"/>
  <c r="G254" i="1"/>
  <c r="Q254" i="1" s="1"/>
  <c r="G253" i="1"/>
  <c r="Q253" i="1" s="1"/>
  <c r="G252" i="1"/>
  <c r="Q252" i="1" s="1"/>
  <c r="G251" i="1"/>
  <c r="Q251" i="1" s="1"/>
  <c r="G250" i="1"/>
  <c r="Q250" i="1" s="1"/>
  <c r="G249" i="1"/>
  <c r="Q249" i="1" s="1"/>
  <c r="G248" i="1"/>
  <c r="Q248" i="1" s="1"/>
  <c r="G247" i="1"/>
  <c r="Q247" i="1" s="1"/>
  <c r="G246" i="1"/>
  <c r="Q246" i="1" s="1"/>
  <c r="G245" i="1"/>
  <c r="Q245" i="1" s="1"/>
  <c r="G244" i="1"/>
  <c r="Q244" i="1" s="1"/>
  <c r="G243" i="1"/>
  <c r="Q243" i="1" s="1"/>
  <c r="G242" i="1"/>
  <c r="Q242" i="1" s="1"/>
  <c r="G241" i="1"/>
  <c r="Q241" i="1" s="1"/>
  <c r="G240" i="1"/>
  <c r="Q240" i="1" s="1"/>
  <c r="G239" i="1"/>
  <c r="Q239" i="1" s="1"/>
  <c r="G238" i="1"/>
  <c r="Q238" i="1" s="1"/>
  <c r="G237" i="1"/>
  <c r="Q237" i="1" s="1"/>
  <c r="G236" i="1"/>
  <c r="Q236" i="1" s="1"/>
  <c r="G235" i="1"/>
  <c r="Q235" i="1" s="1"/>
  <c r="G234" i="1"/>
  <c r="Q234" i="1" s="1"/>
  <c r="G233" i="1"/>
  <c r="Q233" i="1" s="1"/>
  <c r="G232" i="1"/>
  <c r="Q232" i="1" s="1"/>
  <c r="G231" i="1"/>
  <c r="Q231" i="1" s="1"/>
  <c r="G230" i="1"/>
  <c r="Q230" i="1" s="1"/>
  <c r="G229" i="1"/>
  <c r="Q229" i="1" s="1"/>
  <c r="G228" i="1"/>
  <c r="Q228" i="1" s="1"/>
  <c r="G227" i="1"/>
  <c r="Q227" i="1" s="1"/>
  <c r="G226" i="1"/>
  <c r="Q226" i="1" s="1"/>
  <c r="G225" i="1"/>
  <c r="Q225" i="1" s="1"/>
  <c r="G224" i="1"/>
  <c r="Q224" i="1" s="1"/>
  <c r="G223" i="1"/>
  <c r="Q223" i="1" s="1"/>
  <c r="G222" i="1"/>
  <c r="Q222" i="1" s="1"/>
  <c r="G221" i="1"/>
  <c r="Q221" i="1" s="1"/>
  <c r="G220" i="1"/>
  <c r="Q220" i="1" s="1"/>
  <c r="G219" i="1"/>
  <c r="Q219" i="1" s="1"/>
  <c r="G218" i="1"/>
  <c r="Q218" i="1" s="1"/>
  <c r="G217" i="1"/>
  <c r="Q217" i="1" s="1"/>
  <c r="G216" i="1"/>
  <c r="Q216" i="1" s="1"/>
  <c r="G215" i="1"/>
  <c r="Q215" i="1" s="1"/>
  <c r="G214" i="1"/>
  <c r="Q214" i="1" s="1"/>
  <c r="G213" i="1"/>
  <c r="Q213" i="1" s="1"/>
  <c r="G212" i="1"/>
  <c r="Q212" i="1" s="1"/>
  <c r="G211" i="1"/>
  <c r="Q211" i="1" s="1"/>
  <c r="G210" i="1"/>
  <c r="Q210" i="1" s="1"/>
  <c r="G209" i="1"/>
  <c r="Q209" i="1" s="1"/>
  <c r="G208" i="1"/>
  <c r="Q208" i="1" s="1"/>
  <c r="G207" i="1"/>
  <c r="Q207" i="1" s="1"/>
  <c r="G206" i="1"/>
  <c r="Q206" i="1" s="1"/>
  <c r="G205" i="1"/>
  <c r="Q205" i="1" s="1"/>
  <c r="G204" i="1"/>
  <c r="Q204" i="1" s="1"/>
  <c r="G203" i="1"/>
  <c r="Q203" i="1" s="1"/>
  <c r="G202" i="1"/>
  <c r="Q202" i="1" s="1"/>
  <c r="G201" i="1"/>
  <c r="Q201" i="1" s="1"/>
  <c r="G200" i="1"/>
  <c r="Q200" i="1" s="1"/>
  <c r="G199" i="1"/>
  <c r="Q199" i="1" s="1"/>
  <c r="G198" i="1"/>
  <c r="Q198" i="1" s="1"/>
  <c r="G197" i="1"/>
  <c r="Q197" i="1" s="1"/>
  <c r="G196" i="1"/>
  <c r="Q196" i="1" s="1"/>
  <c r="G195" i="1"/>
  <c r="Q195" i="1" s="1"/>
  <c r="G194" i="1"/>
  <c r="Q194" i="1" s="1"/>
  <c r="G193" i="1"/>
  <c r="Q193" i="1" s="1"/>
  <c r="G192" i="1"/>
  <c r="Q192" i="1" s="1"/>
  <c r="G191" i="1"/>
  <c r="Q191" i="1" s="1"/>
  <c r="G190" i="1"/>
  <c r="Q190" i="1" s="1"/>
  <c r="G189" i="1"/>
  <c r="Q189" i="1" s="1"/>
  <c r="G188" i="1"/>
  <c r="Q188" i="1" s="1"/>
  <c r="G187" i="1"/>
  <c r="Q187" i="1" s="1"/>
  <c r="G186" i="1"/>
  <c r="Q186" i="1" s="1"/>
  <c r="G185" i="1"/>
  <c r="Q185" i="1" s="1"/>
  <c r="G184" i="1"/>
  <c r="Q184" i="1" s="1"/>
  <c r="G183" i="1"/>
  <c r="Q183" i="1" s="1"/>
  <c r="G182" i="1"/>
  <c r="Q182" i="1" s="1"/>
  <c r="G181" i="1"/>
  <c r="Q181" i="1" s="1"/>
  <c r="G180" i="1"/>
  <c r="Q180" i="1" s="1"/>
  <c r="G179" i="1"/>
  <c r="Q179" i="1" s="1"/>
  <c r="G178" i="1"/>
  <c r="Q178" i="1" s="1"/>
  <c r="G177" i="1"/>
  <c r="Q177" i="1" s="1"/>
  <c r="G176" i="1"/>
  <c r="Q176" i="1" s="1"/>
  <c r="G175" i="1"/>
  <c r="Q175" i="1" s="1"/>
  <c r="G174" i="1"/>
  <c r="Q174" i="1" s="1"/>
  <c r="G173" i="1"/>
  <c r="Q173" i="1" s="1"/>
  <c r="G172" i="1"/>
  <c r="Q172" i="1" s="1"/>
  <c r="G171" i="1"/>
  <c r="Q171" i="1" s="1"/>
  <c r="G170" i="1"/>
  <c r="Q170" i="1" s="1"/>
  <c r="G169" i="1"/>
  <c r="Q169" i="1" s="1"/>
  <c r="G168" i="1"/>
  <c r="Q168" i="1" s="1"/>
  <c r="G167" i="1"/>
  <c r="Q167" i="1" s="1"/>
  <c r="G166" i="1"/>
  <c r="Q166" i="1" s="1"/>
  <c r="G165" i="1"/>
  <c r="Q165" i="1" s="1"/>
  <c r="G164" i="1"/>
  <c r="Q164" i="1" s="1"/>
  <c r="G163" i="1"/>
  <c r="Q163" i="1" s="1"/>
  <c r="G162" i="1"/>
  <c r="Q162" i="1" s="1"/>
  <c r="G161" i="1"/>
  <c r="Q161" i="1" s="1"/>
  <c r="G160" i="1"/>
  <c r="Q160" i="1" s="1"/>
  <c r="G159" i="1"/>
  <c r="Q159" i="1" s="1"/>
  <c r="G158" i="1"/>
  <c r="Q158" i="1" s="1"/>
  <c r="G157" i="1"/>
  <c r="Q157" i="1" s="1"/>
  <c r="G156" i="1"/>
  <c r="Q156" i="1" s="1"/>
  <c r="G155" i="1"/>
  <c r="Q155" i="1" s="1"/>
  <c r="G154" i="1"/>
  <c r="Q154" i="1" s="1"/>
  <c r="G153" i="1"/>
  <c r="Q153" i="1" s="1"/>
  <c r="G152" i="1"/>
  <c r="Q152" i="1" s="1"/>
  <c r="G151" i="1"/>
  <c r="Q151" i="1" s="1"/>
  <c r="G150" i="1"/>
  <c r="Q150" i="1" s="1"/>
  <c r="G149" i="1"/>
  <c r="Q149" i="1" s="1"/>
  <c r="G148" i="1"/>
  <c r="Q148" i="1" s="1"/>
  <c r="G147" i="1"/>
  <c r="Q147" i="1" s="1"/>
  <c r="G146" i="1"/>
  <c r="Q146" i="1" s="1"/>
  <c r="G145" i="1"/>
  <c r="Q145" i="1" s="1"/>
  <c r="G144" i="1"/>
  <c r="Q144" i="1" s="1"/>
  <c r="G143" i="1"/>
  <c r="Q143" i="1" s="1"/>
  <c r="G142" i="1"/>
  <c r="Q142" i="1" s="1"/>
  <c r="G141" i="1"/>
  <c r="Q141" i="1" s="1"/>
  <c r="G140" i="1"/>
  <c r="Q140" i="1" s="1"/>
  <c r="G139" i="1"/>
  <c r="Q139" i="1" s="1"/>
  <c r="G138" i="1"/>
  <c r="Q138" i="1" s="1"/>
  <c r="G137" i="1"/>
  <c r="Q137" i="1" s="1"/>
  <c r="G136" i="1"/>
  <c r="Q136" i="1" s="1"/>
  <c r="G135" i="1"/>
  <c r="Q135" i="1" s="1"/>
  <c r="G134" i="1"/>
  <c r="Q134" i="1" s="1"/>
  <c r="G133" i="1"/>
  <c r="Q133" i="1" s="1"/>
  <c r="G132" i="1"/>
  <c r="Q132" i="1" s="1"/>
  <c r="G131" i="1"/>
  <c r="Q131" i="1" s="1"/>
  <c r="G130" i="1"/>
  <c r="Q130" i="1" s="1"/>
  <c r="G129" i="1"/>
  <c r="Q129" i="1" s="1"/>
  <c r="G128" i="1"/>
  <c r="Q128" i="1" s="1"/>
  <c r="G127" i="1"/>
  <c r="Q127" i="1" s="1"/>
  <c r="G126" i="1"/>
  <c r="Q126" i="1" s="1"/>
  <c r="G125" i="1"/>
  <c r="Q125" i="1" s="1"/>
  <c r="G124" i="1"/>
  <c r="Q124" i="1" s="1"/>
  <c r="G123" i="1"/>
  <c r="Q123" i="1" s="1"/>
  <c r="G122" i="1"/>
  <c r="Q122" i="1" s="1"/>
  <c r="G121" i="1"/>
  <c r="Q121" i="1" s="1"/>
  <c r="G120" i="1"/>
  <c r="Q120" i="1" s="1"/>
  <c r="G119" i="1"/>
  <c r="Q119" i="1" s="1"/>
  <c r="G118" i="1"/>
  <c r="Q118" i="1" s="1"/>
  <c r="G117" i="1"/>
  <c r="Q117" i="1" s="1"/>
  <c r="G116" i="1"/>
  <c r="Q116" i="1" s="1"/>
  <c r="G115" i="1"/>
  <c r="Q115" i="1" s="1"/>
  <c r="G114" i="1"/>
  <c r="Q114" i="1" s="1"/>
  <c r="G113" i="1"/>
  <c r="Q113" i="1" s="1"/>
  <c r="G112" i="1"/>
  <c r="Q112" i="1" s="1"/>
  <c r="G111" i="1"/>
  <c r="Q111" i="1" s="1"/>
  <c r="G110" i="1"/>
  <c r="Q110" i="1" s="1"/>
  <c r="G109" i="1"/>
  <c r="Q109" i="1" s="1"/>
  <c r="G108" i="1"/>
  <c r="Q108" i="1" s="1"/>
  <c r="G107" i="1"/>
  <c r="Q107" i="1" s="1"/>
  <c r="G106" i="1"/>
  <c r="Q106" i="1" s="1"/>
  <c r="G105" i="1"/>
  <c r="Q105" i="1" s="1"/>
  <c r="G104" i="1"/>
  <c r="Q104" i="1" s="1"/>
  <c r="G103" i="1"/>
  <c r="Q103" i="1" s="1"/>
  <c r="G102" i="1"/>
  <c r="Q102" i="1" s="1"/>
  <c r="G101" i="1"/>
  <c r="Q101" i="1" s="1"/>
  <c r="G100" i="1"/>
  <c r="Q100" i="1" s="1"/>
  <c r="G99" i="1"/>
  <c r="Q99" i="1" s="1"/>
  <c r="G98" i="1"/>
  <c r="Q98" i="1" s="1"/>
  <c r="G97" i="1"/>
  <c r="Q97" i="1" s="1"/>
  <c r="G96" i="1"/>
  <c r="Q96" i="1" s="1"/>
  <c r="G95" i="1"/>
  <c r="Q95" i="1" s="1"/>
  <c r="G94" i="1"/>
  <c r="Q94" i="1" s="1"/>
  <c r="G93" i="1"/>
  <c r="Q93" i="1" s="1"/>
  <c r="G92" i="1"/>
  <c r="Q92" i="1" s="1"/>
  <c r="G91" i="1"/>
  <c r="Q91" i="1" s="1"/>
  <c r="G90" i="1"/>
  <c r="Q90" i="1" s="1"/>
  <c r="G89" i="1"/>
  <c r="Q89" i="1" s="1"/>
  <c r="G88" i="1"/>
  <c r="Q88" i="1" s="1"/>
  <c r="G87" i="1"/>
  <c r="Q87" i="1" s="1"/>
  <c r="G86" i="1"/>
  <c r="Q86" i="1" s="1"/>
  <c r="G85" i="1"/>
  <c r="Q85" i="1" s="1"/>
  <c r="G84" i="1"/>
  <c r="Q84" i="1" s="1"/>
  <c r="G83" i="1"/>
  <c r="Q83" i="1" s="1"/>
  <c r="G82" i="1"/>
  <c r="Q82" i="1" s="1"/>
  <c r="G81" i="1"/>
  <c r="Q81" i="1" s="1"/>
  <c r="G80" i="1"/>
  <c r="Q80" i="1" s="1"/>
  <c r="G79" i="1"/>
  <c r="Q79" i="1" s="1"/>
  <c r="G78" i="1"/>
  <c r="Q78" i="1" s="1"/>
  <c r="G77" i="1"/>
  <c r="Q77" i="1" s="1"/>
  <c r="G76" i="1"/>
  <c r="Q76" i="1" s="1"/>
  <c r="G75" i="1"/>
  <c r="Q75" i="1" s="1"/>
  <c r="G74" i="1"/>
  <c r="Q74" i="1" s="1"/>
  <c r="G73" i="1"/>
  <c r="Q73" i="1" s="1"/>
  <c r="G72" i="1"/>
  <c r="Q72" i="1" s="1"/>
  <c r="G71" i="1"/>
  <c r="Q71" i="1" s="1"/>
  <c r="G70" i="1"/>
  <c r="Q70" i="1" s="1"/>
  <c r="G69" i="1"/>
  <c r="Q69" i="1" s="1"/>
  <c r="G68" i="1"/>
  <c r="Q68" i="1" s="1"/>
  <c r="G67" i="1"/>
  <c r="Q67" i="1" s="1"/>
  <c r="G66" i="1"/>
  <c r="Q66" i="1" s="1"/>
  <c r="G65" i="1"/>
  <c r="Q65" i="1" s="1"/>
  <c r="G64" i="1"/>
  <c r="Q64" i="1" s="1"/>
  <c r="G63" i="1"/>
  <c r="Q63" i="1" s="1"/>
  <c r="G62" i="1"/>
  <c r="Q62" i="1" s="1"/>
  <c r="G61" i="1"/>
  <c r="Q61" i="1" s="1"/>
  <c r="G60" i="1"/>
  <c r="Q60" i="1" s="1"/>
  <c r="G59" i="1"/>
  <c r="Q59" i="1" s="1"/>
  <c r="G58" i="1"/>
  <c r="Q58" i="1" s="1"/>
  <c r="G57" i="1"/>
  <c r="Q57" i="1" s="1"/>
  <c r="G56" i="1"/>
  <c r="Q56" i="1" s="1"/>
  <c r="G55" i="1"/>
  <c r="Q55" i="1" s="1"/>
  <c r="G54" i="1"/>
  <c r="Q54" i="1" s="1"/>
  <c r="G53" i="1"/>
  <c r="Q53" i="1" s="1"/>
  <c r="G52" i="1"/>
  <c r="Q52" i="1" s="1"/>
  <c r="G51" i="1"/>
  <c r="Q51" i="1" s="1"/>
  <c r="G50" i="1"/>
  <c r="Q50" i="1" s="1"/>
  <c r="G49" i="1"/>
  <c r="Q49" i="1" s="1"/>
  <c r="G48" i="1"/>
  <c r="Q48" i="1" s="1"/>
  <c r="G47" i="1"/>
  <c r="Q47" i="1" s="1"/>
  <c r="G46" i="1"/>
  <c r="Q46" i="1" s="1"/>
  <c r="G45" i="1"/>
  <c r="Q45" i="1" s="1"/>
  <c r="G44" i="1"/>
  <c r="Q44" i="1" s="1"/>
  <c r="G43" i="1"/>
  <c r="Q43" i="1" s="1"/>
  <c r="G42" i="1"/>
  <c r="Q42" i="1" s="1"/>
  <c r="G41" i="1"/>
  <c r="Q41" i="1" s="1"/>
  <c r="G40" i="1"/>
  <c r="Q40" i="1" s="1"/>
  <c r="G39" i="1"/>
  <c r="Q39" i="1" s="1"/>
  <c r="G38" i="1"/>
  <c r="Q38" i="1" s="1"/>
  <c r="G37" i="1"/>
  <c r="Q37" i="1" s="1"/>
  <c r="G36" i="1"/>
  <c r="Q36" i="1" s="1"/>
  <c r="G35" i="1"/>
  <c r="Q35" i="1" s="1"/>
  <c r="G34" i="1"/>
  <c r="Q34" i="1" s="1"/>
  <c r="G33" i="1"/>
  <c r="Q33" i="1" s="1"/>
  <c r="G32" i="1"/>
  <c r="Q32" i="1" s="1"/>
  <c r="G31" i="1"/>
  <c r="Q31" i="1" s="1"/>
  <c r="G30" i="1"/>
  <c r="Q30" i="1" s="1"/>
  <c r="G29" i="1"/>
  <c r="Q29" i="1" s="1"/>
  <c r="G28" i="1"/>
  <c r="Q28" i="1" s="1"/>
  <c r="G27" i="1"/>
  <c r="Q27" i="1" s="1"/>
  <c r="G26" i="1"/>
  <c r="Q26" i="1" s="1"/>
  <c r="G25" i="1"/>
  <c r="Q25" i="1" s="1"/>
  <c r="G24" i="1"/>
  <c r="Q24" i="1" s="1"/>
  <c r="G23" i="1"/>
  <c r="Q23" i="1" s="1"/>
  <c r="G22" i="1"/>
  <c r="Q22" i="1" s="1"/>
  <c r="G21" i="1"/>
  <c r="Q21" i="1" s="1"/>
  <c r="G20" i="1"/>
  <c r="Q20" i="1" s="1"/>
  <c r="G19" i="1"/>
  <c r="Q19" i="1" s="1"/>
  <c r="G18" i="1"/>
  <c r="Q18" i="1" s="1"/>
  <c r="G17" i="1"/>
  <c r="Q17" i="1" s="1"/>
  <c r="G16" i="1"/>
  <c r="Q16" i="1" s="1"/>
  <c r="G15" i="1"/>
  <c r="Q15" i="1" s="1"/>
  <c r="G14" i="1"/>
  <c r="Q14" i="1" s="1"/>
  <c r="G13" i="1"/>
  <c r="Q13" i="1" s="1"/>
  <c r="G12" i="1"/>
  <c r="Q12" i="1" s="1"/>
  <c r="G11" i="1"/>
  <c r="Q11" i="1" s="1"/>
  <c r="G10" i="1"/>
  <c r="Q10" i="1" s="1"/>
  <c r="G9" i="1"/>
  <c r="Q9" i="1" s="1"/>
  <c r="G8" i="1"/>
  <c r="Q8" i="1" s="1"/>
  <c r="G7" i="1"/>
  <c r="Q7" i="1" s="1"/>
  <c r="G6" i="1"/>
  <c r="Q6" i="1" s="1"/>
  <c r="G5" i="1"/>
  <c r="Q5" i="1" s="1"/>
  <c r="G4" i="1"/>
  <c r="Q4" i="1" s="1"/>
  <c r="G3" i="1"/>
  <c r="Q3" i="1" s="1"/>
  <c r="G2" i="1"/>
  <c r="Q2" i="1" s="1"/>
  <c r="I15" i="2" l="1" a="1"/>
  <c r="I15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<sst xmlns="http://schemas.openxmlformats.org/spreadsheetml/2006/main" count="4217" uniqueCount="920">
  <si>
    <t xml:space="preserve">Q1: </t>
  </si>
  <si>
    <t xml:space="preserve">Q2: </t>
  </si>
  <si>
    <t xml:space="preserve">Q3: </t>
  </si>
  <si>
    <t>No</t>
  </si>
  <si>
    <r>
      <rPr>
        <b/>
        <sz val="12"/>
        <color theme="1"/>
        <rFont val="Calibri"/>
      </rPr>
      <t xml:space="preserve">A manager wants to review compensation (Salary) for the following employees
</t>
    </r>
    <r>
      <rPr>
        <sz val="12"/>
        <color theme="1"/>
        <rFont val="Calibri"/>
      </rPr>
      <t>Using Vlookup, return the following:</t>
    </r>
  </si>
  <si>
    <t>First Name</t>
  </si>
  <si>
    <t>Last Name</t>
  </si>
  <si>
    <t>Gender</t>
  </si>
  <si>
    <t>Start Date</t>
  </si>
  <si>
    <r>
      <rPr>
        <b/>
        <sz val="12"/>
        <color theme="1"/>
        <rFont val="Calibri"/>
      </rPr>
      <t xml:space="preserve">The HR department needs to identify where employees are located.
</t>
    </r>
    <r>
      <rPr>
        <sz val="12"/>
        <color theme="1"/>
        <rFont val="Calibri"/>
      </rPr>
      <t>Using Xlookup, retrieve the following information:</t>
    </r>
  </si>
  <si>
    <t>Years</t>
  </si>
  <si>
    <t>Department</t>
  </si>
  <si>
    <t>Country</t>
  </si>
  <si>
    <r>
      <rPr>
        <b/>
        <sz val="12"/>
        <color theme="1"/>
        <rFont val="Calibri"/>
      </rPr>
      <t xml:space="preserve">Sometimes HR receives an employee's name instead of their employee number.
</t>
    </r>
    <r>
      <rPr>
        <sz val="12"/>
        <color theme="1"/>
        <rFont val="Calibri"/>
      </rPr>
      <t>Using Xlookup, find the following information:</t>
    </r>
  </si>
  <si>
    <t>Center</t>
  </si>
  <si>
    <t>Monthly Salary</t>
  </si>
  <si>
    <t>Annual Salary</t>
  </si>
  <si>
    <t>Job Rate</t>
  </si>
  <si>
    <t>Sick Leaves</t>
  </si>
  <si>
    <t>Unpaid Leaves</t>
  </si>
  <si>
    <t>Overtime Hours</t>
  </si>
  <si>
    <t>Employee No</t>
  </si>
  <si>
    <t>Ghadir</t>
  </si>
  <si>
    <t>Hmshw</t>
  </si>
  <si>
    <t>Employee Name</t>
  </si>
  <si>
    <t>Male</t>
  </si>
  <si>
    <t>Quality Control</t>
  </si>
  <si>
    <t>Egypt</t>
  </si>
  <si>
    <t>Dijwar</t>
  </si>
  <si>
    <t>West</t>
  </si>
  <si>
    <t>Jawaher</t>
  </si>
  <si>
    <t>Farahad</t>
  </si>
  <si>
    <t>Layzaan</t>
  </si>
  <si>
    <t>Almuthanaa</t>
  </si>
  <si>
    <t>Batual</t>
  </si>
  <si>
    <t>Bushraa</t>
  </si>
  <si>
    <t>Omar</t>
  </si>
  <si>
    <t>Hishan</t>
  </si>
  <si>
    <t xml:space="preserve">Q4: </t>
  </si>
  <si>
    <t xml:space="preserve">Q5: </t>
  </si>
  <si>
    <t>Saudi Arabia</t>
  </si>
  <si>
    <t xml:space="preserve">Q6: </t>
  </si>
  <si>
    <t>Ailya</t>
  </si>
  <si>
    <t>Sharaf</t>
  </si>
  <si>
    <t>Female</t>
  </si>
  <si>
    <r>
      <rPr>
        <b/>
        <sz val="12"/>
        <color theme="1"/>
        <rFont val="Calibri"/>
      </rPr>
      <t xml:space="preserve">Operations management wants to identify employees working the most overtime.
</t>
    </r>
    <r>
      <rPr>
        <sz val="12"/>
        <color theme="1"/>
        <rFont val="Calibri"/>
      </rPr>
      <t>Using Vlookup, return the following:</t>
    </r>
  </si>
  <si>
    <r>
      <rPr>
        <b/>
        <sz val="12"/>
        <color theme="1"/>
        <rFont val="Calibri"/>
      </rPr>
      <t xml:space="preserve">The HR department wants to review how long certain employees have been working at the company.
</t>
    </r>
    <r>
      <rPr>
        <sz val="12"/>
        <color theme="1"/>
        <rFont val="Calibri"/>
      </rPr>
      <t>Use Index and Match to retrieve the following information:</t>
    </r>
  </si>
  <si>
    <t>Major Mfg Projects</t>
  </si>
  <si>
    <r>
      <rPr>
        <b/>
        <sz val="12"/>
        <color theme="1"/>
        <rFont val="Calibri"/>
      </rPr>
      <t xml:space="preserve">The HR manager wants to investigate employee attendance
</t>
    </r>
    <r>
      <rPr>
        <sz val="12"/>
        <color theme="1"/>
        <rFont val="Calibri"/>
      </rPr>
      <t>Use Index and Match to retrieve the following information:</t>
    </r>
  </si>
  <si>
    <t>Lwiy</t>
  </si>
  <si>
    <t>Qbany</t>
  </si>
  <si>
    <t>Years at the Company</t>
  </si>
  <si>
    <t>Manufacturing</t>
  </si>
  <si>
    <t>United Arab Emirates</t>
  </si>
  <si>
    <t>Main</t>
  </si>
  <si>
    <t>Ahmad</t>
  </si>
  <si>
    <t>Bikri</t>
  </si>
  <si>
    <t>Muhamad</t>
  </si>
  <si>
    <t>Zueitr</t>
  </si>
  <si>
    <t>Product Development</t>
  </si>
  <si>
    <t>North</t>
  </si>
  <si>
    <t>Iin</t>
  </si>
  <si>
    <t>Alhalaliu</t>
  </si>
  <si>
    <t>Sales</t>
  </si>
  <si>
    <t>Alaya</t>
  </si>
  <si>
    <t>Account Management</t>
  </si>
  <si>
    <t>Susin</t>
  </si>
  <si>
    <t>Almilat</t>
  </si>
  <si>
    <t>Green Building</t>
  </si>
  <si>
    <t>Alrifaei</t>
  </si>
  <si>
    <t>Alqadah</t>
  </si>
  <si>
    <t>Syria</t>
  </si>
  <si>
    <t>Iad</t>
  </si>
  <si>
    <t>IT</t>
  </si>
  <si>
    <t>Razaan</t>
  </si>
  <si>
    <t>Nasif</t>
  </si>
  <si>
    <t>Facilities/Engineering</t>
  </si>
  <si>
    <t>Iilian</t>
  </si>
  <si>
    <t>Dbs</t>
  </si>
  <si>
    <t>Bayan</t>
  </si>
  <si>
    <t>Qdw</t>
  </si>
  <si>
    <t>Marketing</t>
  </si>
  <si>
    <t>Alaa</t>
  </si>
  <si>
    <t>South</t>
  </si>
  <si>
    <t>Sandra</t>
  </si>
  <si>
    <t>Aljurmqaniu</t>
  </si>
  <si>
    <t>Husayn</t>
  </si>
  <si>
    <t>Ahed</t>
  </si>
  <si>
    <t>Salim</t>
  </si>
  <si>
    <t>Ayham</t>
  </si>
  <si>
    <t>Tutwnji</t>
  </si>
  <si>
    <t>Samir</t>
  </si>
  <si>
    <t>Alsafdi</t>
  </si>
  <si>
    <t>Bilal</t>
  </si>
  <si>
    <t>Jalal</t>
  </si>
  <si>
    <t>Manufacturing Admin</t>
  </si>
  <si>
    <t>Riad</t>
  </si>
  <si>
    <t>Sahalul</t>
  </si>
  <si>
    <t>Training</t>
  </si>
  <si>
    <t>Quality Assurance</t>
  </si>
  <si>
    <t>Altarah</t>
  </si>
  <si>
    <t>Lwna</t>
  </si>
  <si>
    <t>Abu</t>
  </si>
  <si>
    <t>Almuluhi</t>
  </si>
  <si>
    <t>Rana</t>
  </si>
  <si>
    <t>Mius</t>
  </si>
  <si>
    <t>Lina</t>
  </si>
  <si>
    <t>Aljabaan</t>
  </si>
  <si>
    <t>Rami</t>
  </si>
  <si>
    <t>Shanan</t>
  </si>
  <si>
    <t>Professional Training Group</t>
  </si>
  <si>
    <t>Eala</t>
  </si>
  <si>
    <t>Alhaj</t>
  </si>
  <si>
    <t>Ghalib</t>
  </si>
  <si>
    <t>Zakianiin</t>
  </si>
  <si>
    <t>Environmental Compliance</t>
  </si>
  <si>
    <t>Eurul</t>
  </si>
  <si>
    <t>Eizat</t>
  </si>
  <si>
    <t>Ghanim</t>
  </si>
  <si>
    <t>Swyd</t>
  </si>
  <si>
    <t>Aleass</t>
  </si>
  <si>
    <t>Rima</t>
  </si>
  <si>
    <t>AlAsfar</t>
  </si>
  <si>
    <t>Zayn</t>
  </si>
  <si>
    <t>Aleabdyn Zaetar</t>
  </si>
  <si>
    <t>Hazim</t>
  </si>
  <si>
    <t>Alshshatim</t>
  </si>
  <si>
    <t>Dia</t>
  </si>
  <si>
    <t>Alshahf</t>
  </si>
  <si>
    <t>Almusaa</t>
  </si>
  <si>
    <t>Abd Allatif</t>
  </si>
  <si>
    <t>Mabrukh</t>
  </si>
  <si>
    <t>Abumaeun</t>
  </si>
  <si>
    <t>Rafat</t>
  </si>
  <si>
    <t>Hamza</t>
  </si>
  <si>
    <t>Laylana</t>
  </si>
  <si>
    <t>Lobnaa</t>
  </si>
  <si>
    <t>Khalifih</t>
  </si>
  <si>
    <t>Sami</t>
  </si>
  <si>
    <t>Alkhujih</t>
  </si>
  <si>
    <t>Creative</t>
  </si>
  <si>
    <t>Salam</t>
  </si>
  <si>
    <t>Alealbi</t>
  </si>
  <si>
    <t>Rim</t>
  </si>
  <si>
    <t>Ghada</t>
  </si>
  <si>
    <t>Aleasimii</t>
  </si>
  <si>
    <t>Abd Alwahhab</t>
  </si>
  <si>
    <t>Ayman</t>
  </si>
  <si>
    <t>Eubayd</t>
  </si>
  <si>
    <t>Faras</t>
  </si>
  <si>
    <t>Karim</t>
  </si>
  <si>
    <t>Shadi</t>
  </si>
  <si>
    <t>Salayk</t>
  </si>
  <si>
    <t>Eubay</t>
  </si>
  <si>
    <t>Alttahir</t>
  </si>
  <si>
    <t>Abd Alhadi</t>
  </si>
  <si>
    <t>Alzzahir</t>
  </si>
  <si>
    <t>Majdulin</t>
  </si>
  <si>
    <t>Ashbrh</t>
  </si>
  <si>
    <t>Aylyn</t>
  </si>
  <si>
    <t>Dahadal</t>
  </si>
  <si>
    <t>Tala</t>
  </si>
  <si>
    <t>Tuish</t>
  </si>
  <si>
    <t>Qarh</t>
  </si>
  <si>
    <t>Almisri</t>
  </si>
  <si>
    <t>Alzaybq</t>
  </si>
  <si>
    <t>Research/Development</t>
  </si>
  <si>
    <t>Asamy</t>
  </si>
  <si>
    <t>Ibrahim</t>
  </si>
  <si>
    <t>Almasri</t>
  </si>
  <si>
    <t>Hamdah</t>
  </si>
  <si>
    <t>Alkhalifa</t>
  </si>
  <si>
    <t>Jawish</t>
  </si>
  <si>
    <t>Muwmin</t>
  </si>
  <si>
    <t>Almudhin</t>
  </si>
  <si>
    <t>Zayd</t>
  </si>
  <si>
    <t>Nabulsi</t>
  </si>
  <si>
    <t>Sarih</t>
  </si>
  <si>
    <t>Eammar</t>
  </si>
  <si>
    <t>Karam</t>
  </si>
  <si>
    <t>Hutayniun</t>
  </si>
  <si>
    <t>Shahad</t>
  </si>
  <si>
    <t>Salah</t>
  </si>
  <si>
    <t>Ramadan</t>
  </si>
  <si>
    <t>Environmental Health/Safety</t>
  </si>
  <si>
    <t>Alkhayrat</t>
  </si>
  <si>
    <t>Khalid</t>
  </si>
  <si>
    <t>Snan</t>
  </si>
  <si>
    <t>Alkhatib</t>
  </si>
  <si>
    <t>Darar</t>
  </si>
  <si>
    <t>Alshiyraziu</t>
  </si>
  <si>
    <t>Mazin</t>
  </si>
  <si>
    <t>Yusif</t>
  </si>
  <si>
    <t>Rasha</t>
  </si>
  <si>
    <t>Naeim</t>
  </si>
  <si>
    <t>Eamra</t>
  </si>
  <si>
    <t>Alshueranii</t>
  </si>
  <si>
    <t>Amira</t>
  </si>
  <si>
    <t>Akrym</t>
  </si>
  <si>
    <t>Hamzat</t>
  </si>
  <si>
    <t>Khayr</t>
  </si>
  <si>
    <t>Abd Almalik</t>
  </si>
  <si>
    <t>Nazal</t>
  </si>
  <si>
    <t>Rabya</t>
  </si>
  <si>
    <t>Kiwan</t>
  </si>
  <si>
    <t>Samah</t>
  </si>
  <si>
    <t>Almaydanii</t>
  </si>
  <si>
    <t>Ali</t>
  </si>
  <si>
    <t>Watar</t>
  </si>
  <si>
    <t>Darin</t>
  </si>
  <si>
    <t>Ghunum</t>
  </si>
  <si>
    <t>Alhamal</t>
  </si>
  <si>
    <t>Amal</t>
  </si>
  <si>
    <t>Razan</t>
  </si>
  <si>
    <t>AlAhmad</t>
  </si>
  <si>
    <t>Kharasah</t>
  </si>
  <si>
    <t>Tariq</t>
  </si>
  <si>
    <t>Bryghl</t>
  </si>
  <si>
    <t>Fadi</t>
  </si>
  <si>
    <t>Aleid</t>
  </si>
  <si>
    <t>Abuzahir</t>
  </si>
  <si>
    <t>Human Resources</t>
  </si>
  <si>
    <t>Aljabr</t>
  </si>
  <si>
    <t>Abu Eadlh</t>
  </si>
  <si>
    <t>Abu Adhan</t>
  </si>
  <si>
    <t>Ehab</t>
  </si>
  <si>
    <t>Alkhibaz</t>
  </si>
  <si>
    <t>Ranya</t>
  </si>
  <si>
    <t>Salah Aldiyn</t>
  </si>
  <si>
    <t>Juri</t>
  </si>
  <si>
    <t>Zaytun</t>
  </si>
  <si>
    <t>Sahar</t>
  </si>
  <si>
    <t>Almuhamad</t>
  </si>
  <si>
    <t>Mari</t>
  </si>
  <si>
    <t>Ayly</t>
  </si>
  <si>
    <t>Alhuri</t>
  </si>
  <si>
    <t>Dania</t>
  </si>
  <si>
    <t>Almala</t>
  </si>
  <si>
    <t>Rym</t>
  </si>
  <si>
    <t>Alsydawi</t>
  </si>
  <si>
    <t>Mahir</t>
  </si>
  <si>
    <t>Alshear</t>
  </si>
  <si>
    <t>Alhamid</t>
  </si>
  <si>
    <t>Alkhayr</t>
  </si>
  <si>
    <t>Bashshar</t>
  </si>
  <si>
    <t>Jhad</t>
  </si>
  <si>
    <t>Limays</t>
  </si>
  <si>
    <t>Ghrz</t>
  </si>
  <si>
    <t>Zaydun</t>
  </si>
  <si>
    <t>Jabir</t>
  </si>
  <si>
    <t>Fatima</t>
  </si>
  <si>
    <t>Zaetar</t>
  </si>
  <si>
    <t>Shakir</t>
  </si>
  <si>
    <t>Ruyda</t>
  </si>
  <si>
    <t>Alhamadii</t>
  </si>
  <si>
    <t>Anwar</t>
  </si>
  <si>
    <t>Almaseud</t>
  </si>
  <si>
    <t>Fayaruz</t>
  </si>
  <si>
    <t>Sabih</t>
  </si>
  <si>
    <t>Jwny</t>
  </si>
  <si>
    <t>Alrashid</t>
  </si>
  <si>
    <t>Kiali</t>
  </si>
  <si>
    <t>Jamal</t>
  </si>
  <si>
    <t>Alhalib</t>
  </si>
  <si>
    <t>Suzan</t>
  </si>
  <si>
    <t>Alsawis</t>
  </si>
  <si>
    <t>Efan</t>
  </si>
  <si>
    <t>Jihad</t>
  </si>
  <si>
    <t>Aldarawasha</t>
  </si>
  <si>
    <t>Haithim</t>
  </si>
  <si>
    <t>Hujah</t>
  </si>
  <si>
    <t>Duhana</t>
  </si>
  <si>
    <t>Alakhris</t>
  </si>
  <si>
    <t>Eazalidin</t>
  </si>
  <si>
    <t>Habib</t>
  </si>
  <si>
    <t>Klizli</t>
  </si>
  <si>
    <t>Bajubuj</t>
  </si>
  <si>
    <t>Albaghdadi</t>
  </si>
  <si>
    <t>Almunzilijiu</t>
  </si>
  <si>
    <t>Labanaa</t>
  </si>
  <si>
    <t>Qaziyha</t>
  </si>
  <si>
    <t>Fatnh</t>
  </si>
  <si>
    <t>Iilyas</t>
  </si>
  <si>
    <t>Huaydi</t>
  </si>
  <si>
    <t>Abd Alruhmin</t>
  </si>
  <si>
    <t>Almahrus</t>
  </si>
  <si>
    <t>Biaism</t>
  </si>
  <si>
    <t>Tyzry</t>
  </si>
  <si>
    <t>Milatu</t>
  </si>
  <si>
    <t>Alyida</t>
  </si>
  <si>
    <t>Nieamah</t>
  </si>
  <si>
    <t>Kamal</t>
  </si>
  <si>
    <t>Hajl</t>
  </si>
  <si>
    <t>Amjad</t>
  </si>
  <si>
    <t>Naghnagh</t>
  </si>
  <si>
    <t>Qisi</t>
  </si>
  <si>
    <t>Basmah</t>
  </si>
  <si>
    <t>Alhabis</t>
  </si>
  <si>
    <t>Dahbur</t>
  </si>
  <si>
    <t>Rwbyna</t>
  </si>
  <si>
    <t>Iibrahim</t>
  </si>
  <si>
    <t>Basimah</t>
  </si>
  <si>
    <t>Sybea</t>
  </si>
  <si>
    <t>Zunar</t>
  </si>
  <si>
    <t>Eali</t>
  </si>
  <si>
    <t>Mia</t>
  </si>
  <si>
    <t>Lana</t>
  </si>
  <si>
    <t>Alhabash</t>
  </si>
  <si>
    <t>Alshghry</t>
  </si>
  <si>
    <t>Ghazal</t>
  </si>
  <si>
    <t>Hisan</t>
  </si>
  <si>
    <t>Khalil</t>
  </si>
  <si>
    <t>Alzaebii</t>
  </si>
  <si>
    <t>Shalish</t>
  </si>
  <si>
    <t>Abdalmjid</t>
  </si>
  <si>
    <t>Lebanon</t>
  </si>
  <si>
    <t>Emar</t>
  </si>
  <si>
    <t>Abil</t>
  </si>
  <si>
    <t>Lamia</t>
  </si>
  <si>
    <t>Warur</t>
  </si>
  <si>
    <t>Fyfian</t>
  </si>
  <si>
    <t>Majd</t>
  </si>
  <si>
    <t>Yasin</t>
  </si>
  <si>
    <t>Amir</t>
  </si>
  <si>
    <t>Lilas</t>
  </si>
  <si>
    <t>Balatah</t>
  </si>
  <si>
    <t>Ruaa</t>
  </si>
  <si>
    <t>Mukiin</t>
  </si>
  <si>
    <t>Shaeban</t>
  </si>
  <si>
    <t>Ewad</t>
  </si>
  <si>
    <t>Rahaf</t>
  </si>
  <si>
    <t>Alaleppoy</t>
  </si>
  <si>
    <t>Samiah</t>
  </si>
  <si>
    <t>Alsaedi</t>
  </si>
  <si>
    <t>Hamdu</t>
  </si>
  <si>
    <t>Aishah</t>
  </si>
  <si>
    <t>Alquatliu</t>
  </si>
  <si>
    <t>Dany</t>
  </si>
  <si>
    <t>Albaba</t>
  </si>
  <si>
    <t>Rinkusi</t>
  </si>
  <si>
    <t>Isam</t>
  </si>
  <si>
    <t>Jadid</t>
  </si>
  <si>
    <t>Drwysh</t>
  </si>
  <si>
    <t>Zakarian</t>
  </si>
  <si>
    <t>Rashwani</t>
  </si>
  <si>
    <t>Alqadi</t>
  </si>
  <si>
    <t>Diea</t>
  </si>
  <si>
    <t>Almarstani</t>
  </si>
  <si>
    <t>Siedih</t>
  </si>
  <si>
    <t>Bisam</t>
  </si>
  <si>
    <t>Rghid</t>
  </si>
  <si>
    <t>Aryj</t>
  </si>
  <si>
    <t>Hamada</t>
  </si>
  <si>
    <t>Madlin</t>
  </si>
  <si>
    <t>Saeid</t>
  </si>
  <si>
    <t>Rybal</t>
  </si>
  <si>
    <t>Sabagh</t>
  </si>
  <si>
    <t>Samar</t>
  </si>
  <si>
    <t>Alqutb</t>
  </si>
  <si>
    <t>Murad</t>
  </si>
  <si>
    <t>Salih</t>
  </si>
  <si>
    <t>Alziyat</t>
  </si>
  <si>
    <t>Nhl</t>
  </si>
  <si>
    <t>Saed</t>
  </si>
  <si>
    <t>Alsiyah</t>
  </si>
  <si>
    <t>Majdy</t>
  </si>
  <si>
    <t>Rafaea</t>
  </si>
  <si>
    <t>Ihsan</t>
  </si>
  <si>
    <t>Eazu</t>
  </si>
  <si>
    <t>Alshaykh</t>
  </si>
  <si>
    <t>Bara</t>
  </si>
  <si>
    <t>Alrrashid</t>
  </si>
  <si>
    <t>Research Center</t>
  </si>
  <si>
    <t>Nuna</t>
  </si>
  <si>
    <t>Bima</t>
  </si>
  <si>
    <t>Mustafaa</t>
  </si>
  <si>
    <t>Husam</t>
  </si>
  <si>
    <t>Abu Shwmr</t>
  </si>
  <si>
    <t>Abdalrahmin</t>
  </si>
  <si>
    <t>Turkmany</t>
  </si>
  <si>
    <t>Majdulyn</t>
  </si>
  <si>
    <t>Alhakim</t>
  </si>
  <si>
    <t>Abu Jaysh</t>
  </si>
  <si>
    <t>Majid</t>
  </si>
  <si>
    <t>Aleusud</t>
  </si>
  <si>
    <t>Shakhashiru</t>
  </si>
  <si>
    <t>Malik</t>
  </si>
  <si>
    <t>Zarzur</t>
  </si>
  <si>
    <t>Hasan</t>
  </si>
  <si>
    <t>Iismaeil</t>
  </si>
  <si>
    <t>Abu Nasir</t>
  </si>
  <si>
    <t>Earabi</t>
  </si>
  <si>
    <t>Zahir</t>
  </si>
  <si>
    <t>Eisaa</t>
  </si>
  <si>
    <t>Lama</t>
  </si>
  <si>
    <t>Sabiq</t>
  </si>
  <si>
    <t>Dw</t>
  </si>
  <si>
    <t>Shaykhus</t>
  </si>
  <si>
    <t>Emam</t>
  </si>
  <si>
    <t>Mansur</t>
  </si>
  <si>
    <t>Bulta</t>
  </si>
  <si>
    <t>Fatin</t>
  </si>
  <si>
    <t>Hamshu</t>
  </si>
  <si>
    <t>Alnasar</t>
  </si>
  <si>
    <t>Red</t>
  </si>
  <si>
    <t>Dwalyby</t>
  </si>
  <si>
    <t>Basil</t>
  </si>
  <si>
    <t>Musaa</t>
  </si>
  <si>
    <t>Antuan</t>
  </si>
  <si>
    <t>Litansdurfr</t>
  </si>
  <si>
    <t>Rashad</t>
  </si>
  <si>
    <t>Iidris</t>
  </si>
  <si>
    <t>Bidralidin</t>
  </si>
  <si>
    <t>Ahmdghrybw</t>
  </si>
  <si>
    <t>Shaykh</t>
  </si>
  <si>
    <t>Eala Aldiyn</t>
  </si>
  <si>
    <t>Khaldun</t>
  </si>
  <si>
    <t>Suqbani</t>
  </si>
  <si>
    <t>Albahra</t>
  </si>
  <si>
    <t>Ezqul</t>
  </si>
  <si>
    <t>Alhamuwd</t>
  </si>
  <si>
    <t>Abu Zamil</t>
  </si>
  <si>
    <t>Fuad</t>
  </si>
  <si>
    <t>Alsyqly</t>
  </si>
  <si>
    <t>Aldamshqi</t>
  </si>
  <si>
    <t>Sayf Aldiyn</t>
  </si>
  <si>
    <t>Alkmshh</t>
  </si>
  <si>
    <t>Alssati</t>
  </si>
  <si>
    <t>Alem</t>
  </si>
  <si>
    <t>Aleisaa</t>
  </si>
  <si>
    <t>Dulul</t>
  </si>
  <si>
    <t>Ruba</t>
  </si>
  <si>
    <t>Badawiin</t>
  </si>
  <si>
    <t>Sharihan</t>
  </si>
  <si>
    <t>Rihan</t>
  </si>
  <si>
    <t>Alyasin</t>
  </si>
  <si>
    <t>Mulaliyun</t>
  </si>
  <si>
    <t>Danah</t>
  </si>
  <si>
    <t>Almahdi</t>
  </si>
  <si>
    <t>Sakar</t>
  </si>
  <si>
    <t>Asf</t>
  </si>
  <si>
    <t>Abultif</t>
  </si>
  <si>
    <t>Alshalaq</t>
  </si>
  <si>
    <t>Zawal</t>
  </si>
  <si>
    <t>Diana</t>
  </si>
  <si>
    <t>Aleabd</t>
  </si>
  <si>
    <t>Kawkab</t>
  </si>
  <si>
    <t>Qarqazan</t>
  </si>
  <si>
    <t>Thamir</t>
  </si>
  <si>
    <t>Abu Ghazy</t>
  </si>
  <si>
    <t>Alabth</t>
  </si>
  <si>
    <t>Khadijah</t>
  </si>
  <si>
    <t>Abu Taqih</t>
  </si>
  <si>
    <t>Salwaa</t>
  </si>
  <si>
    <t>Alsyd</t>
  </si>
  <si>
    <t>Muayid</t>
  </si>
  <si>
    <t>Shbyb</t>
  </si>
  <si>
    <t>Rannym</t>
  </si>
  <si>
    <t>Tyru</t>
  </si>
  <si>
    <t>Alhaju Bikr</t>
  </si>
  <si>
    <t>Aldukifi</t>
  </si>
  <si>
    <t>Sandurana</t>
  </si>
  <si>
    <t>Antun</t>
  </si>
  <si>
    <t>Darkzifli</t>
  </si>
  <si>
    <t>Alsaeid</t>
  </si>
  <si>
    <t>Alhifar</t>
  </si>
  <si>
    <t>Kalthum</t>
  </si>
  <si>
    <t>Saeadat</t>
  </si>
  <si>
    <t>Eijrush</t>
  </si>
  <si>
    <t>Alkinaya</t>
  </si>
  <si>
    <t>Alrz</t>
  </si>
  <si>
    <t>Daniah</t>
  </si>
  <si>
    <t>Alhariri</t>
  </si>
  <si>
    <t>Quidr</t>
  </si>
  <si>
    <t>Shaykh Janid</t>
  </si>
  <si>
    <t>Esamat</t>
  </si>
  <si>
    <t>Zaza</t>
  </si>
  <si>
    <t>Hububati</t>
  </si>
  <si>
    <t>Adnan</t>
  </si>
  <si>
    <t>Alhusayn</t>
  </si>
  <si>
    <t>Allibad</t>
  </si>
  <si>
    <t>Tana</t>
  </si>
  <si>
    <t>Dahruj</t>
  </si>
  <si>
    <t>Almtlq</t>
  </si>
  <si>
    <t>Sana</t>
  </si>
  <si>
    <t>Bdraldyn</t>
  </si>
  <si>
    <t>Eataya</t>
  </si>
  <si>
    <t>Aljizamati</t>
  </si>
  <si>
    <t>Alqasir</t>
  </si>
  <si>
    <t>Shilan</t>
  </si>
  <si>
    <t>Aljasim</t>
  </si>
  <si>
    <t>Abuhamd</t>
  </si>
  <si>
    <t>Qareush</t>
  </si>
  <si>
    <t>Jaridiun</t>
  </si>
  <si>
    <t>Alhumwi</t>
  </si>
  <si>
    <t>Akthum</t>
  </si>
  <si>
    <t>Eibdalbaqi</t>
  </si>
  <si>
    <t>Almurashihi</t>
  </si>
  <si>
    <t>Abu Fakhar</t>
  </si>
  <si>
    <t>Rinah</t>
  </si>
  <si>
    <t>Alkhuriu</t>
  </si>
  <si>
    <t>Alsaqaraq</t>
  </si>
  <si>
    <t>Sharina</t>
  </si>
  <si>
    <t>Jablah</t>
  </si>
  <si>
    <t>Alsulayman</t>
  </si>
  <si>
    <t>Almaghribiu</t>
  </si>
  <si>
    <t>Kholoud</t>
  </si>
  <si>
    <t>Khayti</t>
  </si>
  <si>
    <t>Jamul</t>
  </si>
  <si>
    <t>Alrahil</t>
  </si>
  <si>
    <t>Abd Alrazzaq</t>
  </si>
  <si>
    <t>Gharah</t>
  </si>
  <si>
    <t>Lylas</t>
  </si>
  <si>
    <t>Shiah</t>
  </si>
  <si>
    <t>Kinda</t>
  </si>
  <si>
    <t>Alaqre</t>
  </si>
  <si>
    <t>Dinana</t>
  </si>
  <si>
    <t>Zaydan</t>
  </si>
  <si>
    <t>Amyrah</t>
  </si>
  <si>
    <t>Mudinih</t>
  </si>
  <si>
    <t>Safa</t>
  </si>
  <si>
    <t>AlAhmar</t>
  </si>
  <si>
    <t>Eurman</t>
  </si>
  <si>
    <t>Abd Allah</t>
  </si>
  <si>
    <t>Almawsiliu</t>
  </si>
  <si>
    <t>Salhany</t>
  </si>
  <si>
    <t>Ashraf</t>
  </si>
  <si>
    <t>Shadi Alghazy</t>
  </si>
  <si>
    <t>Bytar</t>
  </si>
  <si>
    <t>Farahat</t>
  </si>
  <si>
    <t>Albazir</t>
  </si>
  <si>
    <t>Alnisrin</t>
  </si>
  <si>
    <t>Afra</t>
  </si>
  <si>
    <t>Sharabi</t>
  </si>
  <si>
    <t>Hamuwd</t>
  </si>
  <si>
    <t>Ramiz</t>
  </si>
  <si>
    <t>Aleuryan</t>
  </si>
  <si>
    <t>Eaku</t>
  </si>
  <si>
    <t>Euthman</t>
  </si>
  <si>
    <t>Imran</t>
  </si>
  <si>
    <t>Hazruma</t>
  </si>
  <si>
    <t>Rawan</t>
  </si>
  <si>
    <t>Durkzili</t>
  </si>
  <si>
    <t>Shaqir</t>
  </si>
  <si>
    <t>Muanis</t>
  </si>
  <si>
    <t>Alsabagh</t>
  </si>
  <si>
    <t>Husu</t>
  </si>
  <si>
    <t>Asama</t>
  </si>
  <si>
    <t>Eilwan</t>
  </si>
  <si>
    <t>Alhidad</t>
  </si>
  <si>
    <t>Zaeur</t>
  </si>
  <si>
    <t>Rasul</t>
  </si>
  <si>
    <t>Aleumurii</t>
  </si>
  <si>
    <t>Albaytar</t>
  </si>
  <si>
    <t>Altuean</t>
  </si>
  <si>
    <t>Dalia</t>
  </si>
  <si>
    <t>Hamdan</t>
  </si>
  <si>
    <t>Alhindi</t>
  </si>
  <si>
    <t>Zyny</t>
  </si>
  <si>
    <t>Almuetaz</t>
  </si>
  <si>
    <t>Biallah</t>
  </si>
  <si>
    <t>Rabana</t>
  </si>
  <si>
    <t>Alsaman</t>
  </si>
  <si>
    <t>Alriys</t>
  </si>
  <si>
    <t>Samirah</t>
  </si>
  <si>
    <t>Jumea</t>
  </si>
  <si>
    <t>Alhaj Ali</t>
  </si>
  <si>
    <t>Farial</t>
  </si>
  <si>
    <t>Qulumih</t>
  </si>
  <si>
    <t>Dawara</t>
  </si>
  <si>
    <t>Abdalhadi</t>
  </si>
  <si>
    <t>Qahraman</t>
  </si>
  <si>
    <t>Mshati</t>
  </si>
  <si>
    <t>Altibae</t>
  </si>
  <si>
    <t>Iidlibi</t>
  </si>
  <si>
    <t>East</t>
  </si>
  <si>
    <t>Ghazzawi</t>
  </si>
  <si>
    <t>Eabd Aleal</t>
  </si>
  <si>
    <t>Sali</t>
  </si>
  <si>
    <t>Musuh</t>
  </si>
  <si>
    <t>Maria</t>
  </si>
  <si>
    <t>Alhizae</t>
  </si>
  <si>
    <t>Alghan</t>
  </si>
  <si>
    <t>Mitri</t>
  </si>
  <si>
    <t>Aleliwi</t>
  </si>
  <si>
    <t>Aldwltali</t>
  </si>
  <si>
    <t>Udib</t>
  </si>
  <si>
    <t>Yuzbik</t>
  </si>
  <si>
    <t>Zaerur</t>
  </si>
  <si>
    <t>Mazlum</t>
  </si>
  <si>
    <t>Alghurani</t>
  </si>
  <si>
    <t>Abd Alsamad</t>
  </si>
  <si>
    <t>Alhasan</t>
  </si>
  <si>
    <t>Altahhan</t>
  </si>
  <si>
    <t>Mahfud</t>
  </si>
  <si>
    <t>Sarah</t>
  </si>
  <si>
    <t>Damrani</t>
  </si>
  <si>
    <t>Aldubus</t>
  </si>
  <si>
    <t>Zynu</t>
  </si>
  <si>
    <t>Lwy</t>
  </si>
  <si>
    <t>Shams</t>
  </si>
  <si>
    <t>Shakur</t>
  </si>
  <si>
    <t>Abdalhai</t>
  </si>
  <si>
    <t>Sarhan</t>
  </si>
  <si>
    <t>Albush</t>
  </si>
  <si>
    <t>Anas</t>
  </si>
  <si>
    <t>Eabidin</t>
  </si>
  <si>
    <t>Ebdalwahd</t>
  </si>
  <si>
    <t>Aleazm</t>
  </si>
  <si>
    <t>Maya</t>
  </si>
  <si>
    <t>Alhmwi</t>
  </si>
  <si>
    <t>Khiat</t>
  </si>
  <si>
    <t>Randa</t>
  </si>
  <si>
    <t>Alajw</t>
  </si>
  <si>
    <t>Alghazi</t>
  </si>
  <si>
    <t>Eijluni</t>
  </si>
  <si>
    <t>Sultan</t>
  </si>
  <si>
    <t>Alhijar</t>
  </si>
  <si>
    <t>Asma</t>
  </si>
  <si>
    <t>Sadqawi</t>
  </si>
  <si>
    <t>Fulla</t>
  </si>
  <si>
    <t>Alkhalid</t>
  </si>
  <si>
    <t>Lujin</t>
  </si>
  <si>
    <t>Jihan</t>
  </si>
  <si>
    <t>Alqudmani</t>
  </si>
  <si>
    <t>Alkhayran</t>
  </si>
  <si>
    <t>Qasim</t>
  </si>
  <si>
    <t>Altaynawi</t>
  </si>
  <si>
    <t>Hafiz</t>
  </si>
  <si>
    <t>Kamilia</t>
  </si>
  <si>
    <t>Sydu</t>
  </si>
  <si>
    <t>Marwan</t>
  </si>
  <si>
    <t>Rwad</t>
  </si>
  <si>
    <t>Alddahir</t>
  </si>
  <si>
    <t>Jury</t>
  </si>
  <si>
    <t>Eabuwd</t>
  </si>
  <si>
    <t>Sayban</t>
  </si>
  <si>
    <t>Musur</t>
  </si>
  <si>
    <t>Lbyb</t>
  </si>
  <si>
    <t>Fahd</t>
  </si>
  <si>
    <t>Bilul</t>
  </si>
  <si>
    <t>Alnuwri</t>
  </si>
  <si>
    <t>Allaham</t>
  </si>
  <si>
    <t>Raft</t>
  </si>
  <si>
    <t>Asead</t>
  </si>
  <si>
    <t>Alwurhani</t>
  </si>
  <si>
    <t>Kharbutli</t>
  </si>
  <si>
    <t>Tamur</t>
  </si>
  <si>
    <t>Alkhlf</t>
  </si>
  <si>
    <t>Eisaf</t>
  </si>
  <si>
    <t>Bitahish</t>
  </si>
  <si>
    <t>Abdalrhim</t>
  </si>
  <si>
    <t>Eimaruh</t>
  </si>
  <si>
    <t>Bashaer</t>
  </si>
  <si>
    <t>Hadalah</t>
  </si>
  <si>
    <t>Maeruf</t>
  </si>
  <si>
    <t>Alnuwnu</t>
  </si>
  <si>
    <t>Albarghali</t>
  </si>
  <si>
    <t>Baha Aldiyn</t>
  </si>
  <si>
    <t>Marzuq</t>
  </si>
  <si>
    <t>Hamj</t>
  </si>
  <si>
    <t>Bradey</t>
  </si>
  <si>
    <t>Sabah</t>
  </si>
  <si>
    <t>Qadish</t>
  </si>
  <si>
    <t>Asra</t>
  </si>
  <si>
    <t>Kawaara</t>
  </si>
  <si>
    <t>Abunfis</t>
  </si>
  <si>
    <t>Lawiy</t>
  </si>
  <si>
    <t>Rama</t>
  </si>
  <si>
    <t>Alsaghir</t>
  </si>
  <si>
    <t>Qadimati</t>
  </si>
  <si>
    <t>Qays</t>
  </si>
  <si>
    <t>Dahna</t>
  </si>
  <si>
    <t>Raja</t>
  </si>
  <si>
    <t>Eaziza</t>
  </si>
  <si>
    <t>Nakaash</t>
  </si>
  <si>
    <t>Khuluf</t>
  </si>
  <si>
    <t>Zaki</t>
  </si>
  <si>
    <t>Asamh Tubae</t>
  </si>
  <si>
    <t>Daeas</t>
  </si>
  <si>
    <t>Shadi Alkhiat</t>
  </si>
  <si>
    <t>Omaimah</t>
  </si>
  <si>
    <t>Tqi Aldiyn</t>
  </si>
  <si>
    <t>Tahani</t>
  </si>
  <si>
    <t>Yasir</t>
  </si>
  <si>
    <t>Alfywmi</t>
  </si>
  <si>
    <t>Zarie</t>
  </si>
  <si>
    <t>Eaqad</t>
  </si>
  <si>
    <t>Ismaeil</t>
  </si>
  <si>
    <t>Jdwe</t>
  </si>
  <si>
    <t>Saeid Alzarey</t>
  </si>
  <si>
    <t>Bakr</t>
  </si>
  <si>
    <t>Eubdallah</t>
  </si>
  <si>
    <t>Alnajar</t>
  </si>
  <si>
    <t>Wayly</t>
  </si>
  <si>
    <t>Raghid</t>
  </si>
  <si>
    <t>Alsiraj</t>
  </si>
  <si>
    <t>Allaadhiqanii</t>
  </si>
  <si>
    <t>Ghyath</t>
  </si>
  <si>
    <t>Siriul</t>
  </si>
  <si>
    <t>Einziin</t>
  </si>
  <si>
    <t>Abdalrhmin</t>
  </si>
  <si>
    <t>Aljuju</t>
  </si>
  <si>
    <t>Lawy</t>
  </si>
  <si>
    <t>Nadaf</t>
  </si>
  <si>
    <t>Bikar</t>
  </si>
  <si>
    <t>Ziada</t>
  </si>
  <si>
    <t>Eashur</t>
  </si>
  <si>
    <t>Naqawuh</t>
  </si>
  <si>
    <t>Tamadur</t>
  </si>
  <si>
    <t>Barghuth</t>
  </si>
  <si>
    <t>Jazar</t>
  </si>
  <si>
    <t>Mareiun</t>
  </si>
  <si>
    <t>Abdaleziz</t>
  </si>
  <si>
    <t>Eiwad</t>
  </si>
  <si>
    <t>Alkhawam</t>
  </si>
  <si>
    <t>Alia</t>
  </si>
  <si>
    <t>Maseud</t>
  </si>
  <si>
    <t>Abuhani</t>
  </si>
  <si>
    <t>Alshamy</t>
  </si>
  <si>
    <t>Baha</t>
  </si>
  <si>
    <t>Eusqul</t>
  </si>
  <si>
    <t>Hylmyh</t>
  </si>
  <si>
    <t>Turkamani</t>
  </si>
  <si>
    <t>Jameah</t>
  </si>
  <si>
    <t>Akram</t>
  </si>
  <si>
    <t>Alhulwanii</t>
  </si>
  <si>
    <t>Khawla</t>
  </si>
  <si>
    <t>Dawi</t>
  </si>
  <si>
    <t>Rayid</t>
  </si>
  <si>
    <t>Zazana</t>
  </si>
  <si>
    <t>Iybw</t>
  </si>
  <si>
    <t>Jamil</t>
  </si>
  <si>
    <t>Ghabur</t>
  </si>
  <si>
    <t>Taysir</t>
  </si>
  <si>
    <t>Hanan</t>
  </si>
  <si>
    <t>Kurdiun</t>
  </si>
  <si>
    <t>Rita</t>
  </si>
  <si>
    <t>Dib</t>
  </si>
  <si>
    <t>Alghush</t>
  </si>
  <si>
    <t>Ghaliah</t>
  </si>
  <si>
    <t>Eibad</t>
  </si>
  <si>
    <t>Zaniqa</t>
  </si>
  <si>
    <t>Sharfah</t>
  </si>
  <si>
    <t>Kazeur</t>
  </si>
  <si>
    <t>Mujdi</t>
  </si>
  <si>
    <t>Altynawi</t>
  </si>
  <si>
    <t>Thayir</t>
  </si>
  <si>
    <t>Hamuwda</t>
  </si>
  <si>
    <t>Abdallah</t>
  </si>
  <si>
    <t>Zakariaa</t>
  </si>
  <si>
    <t>Ikhlas</t>
  </si>
  <si>
    <t>Jzayrly</t>
  </si>
  <si>
    <t>Badr</t>
  </si>
  <si>
    <t>Hunun</t>
  </si>
  <si>
    <t>Sariji</t>
  </si>
  <si>
    <t>Albieli</t>
  </si>
  <si>
    <t>Eyd Bndqjy</t>
  </si>
  <si>
    <t>Lulu</t>
  </si>
  <si>
    <t>Shhybr</t>
  </si>
  <si>
    <t>Abdalbasit</t>
  </si>
  <si>
    <t>Aljazayiriu</t>
  </si>
  <si>
    <t>Aywbi</t>
  </si>
  <si>
    <t>Dabana</t>
  </si>
  <si>
    <t>Fawaz</t>
  </si>
  <si>
    <t>Nafae</t>
  </si>
  <si>
    <t>Ranim</t>
  </si>
  <si>
    <t>Amani</t>
  </si>
  <si>
    <t>Altujjar</t>
  </si>
  <si>
    <t>Rashid</t>
  </si>
  <si>
    <t>Amin</t>
  </si>
  <si>
    <t>Hamid</t>
  </si>
  <si>
    <t>Kashik</t>
  </si>
  <si>
    <t>Dakhal</t>
  </si>
  <si>
    <t>Karishati</t>
  </si>
  <si>
    <t>Alsaed</t>
  </si>
  <si>
    <t>Aleaqla</t>
  </si>
  <si>
    <t>Eursaly</t>
  </si>
  <si>
    <t>Alaishhab</t>
  </si>
  <si>
    <t>Rulaa</t>
  </si>
  <si>
    <t>Shannar</t>
  </si>
  <si>
    <t>Aynas</t>
  </si>
  <si>
    <t>Alhiwat</t>
  </si>
  <si>
    <t>Sara</t>
  </si>
  <si>
    <t>Tabanaj</t>
  </si>
  <si>
    <t>Aldahan</t>
  </si>
  <si>
    <t>Ramzi</t>
  </si>
  <si>
    <t>Jan</t>
  </si>
  <si>
    <t>Mikayiylian</t>
  </si>
  <si>
    <t>Alsaediu</t>
  </si>
  <si>
    <t>Emad</t>
  </si>
  <si>
    <t>Haydar</t>
  </si>
  <si>
    <t>Abdalkarim</t>
  </si>
  <si>
    <t>Shueayb</t>
  </si>
  <si>
    <t>Qitan</t>
  </si>
  <si>
    <t>Rajab</t>
  </si>
  <si>
    <t>Asamh</t>
  </si>
  <si>
    <t>Alyusif</t>
  </si>
  <si>
    <t>Asym</t>
  </si>
  <si>
    <t>Aleaqqad</t>
  </si>
  <si>
    <t>Dahman</t>
  </si>
  <si>
    <t>Oqba</t>
  </si>
  <si>
    <t>Alqintar</t>
  </si>
  <si>
    <t>Laylanaan</t>
  </si>
  <si>
    <t>Muhii Aldiyn</t>
  </si>
  <si>
    <t>Zaynab</t>
  </si>
  <si>
    <t>Eirat</t>
  </si>
  <si>
    <t>Alghandur</t>
  </si>
  <si>
    <t>Tamim</t>
  </si>
  <si>
    <t>Ayat</t>
  </si>
  <si>
    <t>Byd</t>
  </si>
  <si>
    <t>Daly</t>
  </si>
  <si>
    <t>Almunajid</t>
  </si>
  <si>
    <t>Eynas</t>
  </si>
  <si>
    <t>Ahmid</t>
  </si>
  <si>
    <t>Aljabaei</t>
  </si>
  <si>
    <t>Alqadri</t>
  </si>
  <si>
    <t>Bradiei</t>
  </si>
  <si>
    <t>Suirkili</t>
  </si>
  <si>
    <t>Darakal</t>
  </si>
  <si>
    <t>Bihtiti</t>
  </si>
  <si>
    <t>Ridwan</t>
  </si>
  <si>
    <t>Alshulyan</t>
  </si>
  <si>
    <t>Barghaly</t>
  </si>
  <si>
    <t>Badran</t>
  </si>
  <si>
    <t>Shwk</t>
  </si>
  <si>
    <t>Aldiyn</t>
  </si>
  <si>
    <t>Hamuwdatan</t>
  </si>
  <si>
    <t>Shuruq</t>
  </si>
  <si>
    <t>Alshahrur</t>
  </si>
  <si>
    <t>Rafif</t>
  </si>
  <si>
    <t>Khalf</t>
  </si>
  <si>
    <t>Albarnawi</t>
  </si>
  <si>
    <t>Almiqdad</t>
  </si>
  <si>
    <t>Faris</t>
  </si>
  <si>
    <t>Kafa</t>
  </si>
  <si>
    <t>Almaghribi</t>
  </si>
  <si>
    <t>Aldrwysh</t>
  </si>
  <si>
    <t>Hatim</t>
  </si>
  <si>
    <t>Nahlawi</t>
  </si>
  <si>
    <t>Rabye'</t>
  </si>
  <si>
    <t>Alzrqawy</t>
  </si>
  <si>
    <t>Huquq</t>
  </si>
  <si>
    <t>Alqatish</t>
  </si>
  <si>
    <t>Altawil</t>
  </si>
  <si>
    <t>Alsyd Ahmad</t>
  </si>
  <si>
    <t>Aleitar</t>
  </si>
  <si>
    <t>Fatir</t>
  </si>
  <si>
    <t>Alealiu</t>
  </si>
  <si>
    <t>Sulayman</t>
  </si>
  <si>
    <t>Suqabani</t>
  </si>
  <si>
    <t>Aldubbas</t>
  </si>
  <si>
    <t>Hamzaa</t>
  </si>
  <si>
    <t>Astitih</t>
  </si>
  <si>
    <t>Zinu</t>
  </si>
  <si>
    <t>Darbika</t>
  </si>
  <si>
    <t>Aldhiyab</t>
  </si>
  <si>
    <t>Salahi</t>
  </si>
  <si>
    <t>Ayuwb</t>
  </si>
  <si>
    <t>Shawqi</t>
  </si>
  <si>
    <t>Aldhahabi</t>
  </si>
  <si>
    <t>Ghayth</t>
  </si>
  <si>
    <t>Almujahid</t>
  </si>
  <si>
    <t>Dima</t>
  </si>
  <si>
    <t>Filyun</t>
  </si>
  <si>
    <t>Tasbihji</t>
  </si>
  <si>
    <t>Shumut</t>
  </si>
  <si>
    <t>Zaqzuq</t>
  </si>
  <si>
    <t>Yasmin</t>
  </si>
  <si>
    <t>Eamir</t>
  </si>
  <si>
    <t>Ratib</t>
  </si>
  <si>
    <t>Alhamd</t>
  </si>
  <si>
    <t>Abdalkrim</t>
  </si>
  <si>
    <t>Fadal</t>
  </si>
  <si>
    <t>Eurnus</t>
  </si>
  <si>
    <t>Abd Almueiyn</t>
  </si>
  <si>
    <t>Eitaya</t>
  </si>
  <si>
    <t>Qisam</t>
  </si>
  <si>
    <t>Shafiq</t>
  </si>
  <si>
    <t>Almalih</t>
  </si>
  <si>
    <t>Raghad</t>
  </si>
  <si>
    <t>Aghasi</t>
  </si>
  <si>
    <t>Alqalish</t>
  </si>
  <si>
    <t>Hawria</t>
  </si>
  <si>
    <t>Alshahadat</t>
  </si>
  <si>
    <t>Aldiyk</t>
  </si>
  <si>
    <t>Hind</t>
  </si>
  <si>
    <t>Almueasaeas</t>
  </si>
  <si>
    <t>Earmush</t>
  </si>
  <si>
    <t>Bahriin</t>
  </si>
  <si>
    <t>Nadir</t>
  </si>
  <si>
    <t>Sharif Aldaghly</t>
  </si>
  <si>
    <t>Emara</t>
  </si>
  <si>
    <t>bwalsibae</t>
  </si>
  <si>
    <t>Razzan</t>
  </si>
  <si>
    <t>Alhusayni</t>
  </si>
  <si>
    <t>Ghassan</t>
  </si>
  <si>
    <t>Aljamal</t>
  </si>
  <si>
    <t>Kahulus</t>
  </si>
  <si>
    <t>Nasir</t>
  </si>
  <si>
    <t>Iman</t>
  </si>
  <si>
    <t>Ghrz Aldiyn</t>
  </si>
  <si>
    <t>Alysia</t>
  </si>
  <si>
    <t>Alyaghshiu</t>
  </si>
  <si>
    <t>Shuelan</t>
  </si>
  <si>
    <t>Asd</t>
  </si>
  <si>
    <t>Bwfaeur</t>
  </si>
  <si>
    <t>Sari</t>
  </si>
  <si>
    <t>Hanna</t>
  </si>
  <si>
    <t>Eubayda</t>
  </si>
  <si>
    <t>Kayd</t>
  </si>
  <si>
    <t>Alkalu</t>
  </si>
  <si>
    <t>Shrbjy</t>
  </si>
  <si>
    <t>Abd Albasit</t>
  </si>
  <si>
    <t>Experience Level</t>
  </si>
  <si>
    <t>Hardworking Employee</t>
  </si>
  <si>
    <t>Attendance Warning</t>
  </si>
  <si>
    <t>Bonus Eligibility</t>
  </si>
  <si>
    <t>Overtime Status</t>
  </si>
  <si>
    <t>Salary 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</si>
</sst>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44" formatCode="_(&quot;$&quot;* #,##0.00_);_(&quot;$&quot;* \(#,##0.00\);_(&quot;$&quot;* &quot;-&quot;??_);_(@_)"/>
    <numFmt numFmtId="164" formatCode="d/m/yyyy"/>
    <numFmt numFmtId="165" formatCode="dd/mm/yyyy"/>
    <numFmt numFmtId="166" formatCode="&quot;$&quot;#,##0"/>
    <numFmt numFmtId="167" formatCode="_(&quot;$&quot;* #,##0_);_(&quot;$&quot;* \(#,##0\);_(&quot;$&quot;* &quot;-&quot;??_);_(@_)"/>
  </numFmts>
  <fonts count="13" x14ac:knownFonts="1">
    <font>
      <sz val="12"/>
      <color theme="1"/>
      <name val="Calibri"/>
      <scheme val="minor"/>
    </font>
    <font>
      <b/>
      <sz val="13"/>
      <color rgb="FFFFFFFF"/>
      <name val="Calibri"/>
    </font>
    <font>
      <sz val="12"/>
      <name val="Calibri"/>
    </font>
    <font>
      <sz val="12"/>
      <color theme="1"/>
      <name val="Calibri"/>
    </font>
    <font>
      <sz val="12"/>
      <color rgb="FFFFFFFF"/>
      <name val="Calibri"/>
      <scheme val="minor"/>
    </font>
    <font>
      <b/>
      <sz val="12"/>
      <color theme="1"/>
      <name val="Calibri"/>
    </font>
    <font>
      <sz val="12"/>
      <color rgb="FFFFFFFF"/>
      <name val="Calibri"/>
    </font>
    <font>
      <b/>
      <sz val="12"/>
      <color rgb="FFFFFFFF"/>
      <name val="Calibri"/>
    </font>
    <font>
      <sz val="12"/>
      <color theme="1"/>
      <name val="Calibri"/>
      <scheme val="minor"/>
    </font>
    <font>
      <sz val="12"/>
      <color theme="1"/>
      <name val="Calibri"/>
      <family val="2"/>
    </font>
    <font>
      <sz val="12"/>
      <color theme="1"/>
      <name val="Calibri"/>
      <family val="2"/>
      <scheme val="minor"/>
    </font>
    <font>
      <sz val="12"/>
      <color rgb="FFFFFFFF"/>
      <name val="Calibri"/>
      <family val="2"/>
    </font>
    <font>
      <sz val="12"/>
      <color rgb="FFFFFFFF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294BA1"/>
        <bgColor rgb="FF294BA1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</fills>
  <borders count="2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double">
        <color rgb="FF000000"/>
      </bottom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/>
      <top style="double">
        <color rgb="FF000000"/>
      </top>
      <bottom style="double">
        <color rgb="FF000000"/>
      </bottom>
      <diagonal/>
    </border>
    <border>
      <left/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/>
      <diagonal/>
    </border>
    <border>
      <left/>
      <right/>
      <top style="double">
        <color rgb="FF000000"/>
      </top>
      <bottom/>
      <diagonal/>
    </border>
    <border>
      <left/>
      <right/>
      <top style="double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44" fontId="8" fillId="0" borderId="0" applyFont="0" applyFill="0" applyBorder="0" applyAlignment="0" applyProtection="0"/>
  </cellStyleXfs>
  <cellXfs count="75">
    <xf numFmtId="0" fontId="0" fillId="0" borderId="0" xfId="0"/>
    <xf numFmtId="0" fontId="3" fillId="3" borderId="4" xfId="0" applyFont="1" applyFill="1" applyBorder="1"/>
    <xf numFmtId="0" fontId="3" fillId="4" borderId="4" xfId="0" applyFont="1" applyFill="1" applyBorder="1"/>
    <xf numFmtId="0" fontId="7" fillId="2" borderId="6" xfId="0" applyFont="1" applyFill="1" applyBorder="1"/>
    <xf numFmtId="0" fontId="8" fillId="0" borderId="0" xfId="0" applyFont="1"/>
    <xf numFmtId="0" fontId="7" fillId="2" borderId="7" xfId="0" applyFont="1" applyFill="1" applyBorder="1"/>
    <xf numFmtId="164" fontId="3" fillId="0" borderId="0" xfId="0" applyNumberFormat="1" applyFont="1"/>
    <xf numFmtId="0" fontId="7" fillId="2" borderId="8" xfId="0" applyFont="1" applyFill="1" applyBorder="1"/>
    <xf numFmtId="0" fontId="7" fillId="2" borderId="9" xfId="0" applyFont="1" applyFill="1" applyBorder="1"/>
    <xf numFmtId="0" fontId="7" fillId="2" borderId="10" xfId="0" applyFont="1" applyFill="1" applyBorder="1"/>
    <xf numFmtId="0" fontId="5" fillId="0" borderId="0" xfId="0" applyFont="1"/>
    <xf numFmtId="14" fontId="3" fillId="0" borderId="0" xfId="0" applyNumberFormat="1" applyFont="1"/>
    <xf numFmtId="1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4" fillId="0" borderId="15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165" fontId="6" fillId="0" borderId="16" xfId="0" applyNumberFormat="1" applyFont="1" applyBorder="1" applyAlignment="1">
      <alignment horizontal="center" vertical="center"/>
    </xf>
    <xf numFmtId="164" fontId="6" fillId="0" borderId="16" xfId="0" applyNumberFormat="1" applyFont="1" applyBorder="1" applyAlignment="1">
      <alignment horizontal="center" vertical="center"/>
    </xf>
    <xf numFmtId="167" fontId="4" fillId="0" borderId="16" xfId="1" applyNumberFormat="1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65" fontId="3" fillId="0" borderId="14" xfId="0" applyNumberFormat="1" applyFont="1" applyBorder="1" applyAlignment="1">
      <alignment horizontal="center" vertical="center"/>
    </xf>
    <xf numFmtId="1" fontId="3" fillId="0" borderId="14" xfId="0" applyNumberFormat="1" applyFont="1" applyBorder="1" applyAlignment="1">
      <alignment horizontal="center" vertical="center"/>
    </xf>
    <xf numFmtId="167" fontId="8" fillId="0" borderId="14" xfId="1" applyNumberFormat="1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165" fontId="3" fillId="0" borderId="21" xfId="0" applyNumberFormat="1" applyFont="1" applyBorder="1" applyAlignment="1">
      <alignment horizontal="center" vertical="center"/>
    </xf>
    <xf numFmtId="1" fontId="3" fillId="0" borderId="21" xfId="0" applyNumberFormat="1" applyFont="1" applyBorder="1" applyAlignment="1">
      <alignment horizontal="center" vertical="center"/>
    </xf>
    <xf numFmtId="167" fontId="8" fillId="0" borderId="21" xfId="1" applyNumberFormat="1" applyFont="1" applyBorder="1" applyAlignment="1">
      <alignment horizontal="center" vertical="center"/>
    </xf>
    <xf numFmtId="0" fontId="12" fillId="5" borderId="15" xfId="0" applyFont="1" applyFill="1" applyBorder="1" applyAlignment="1">
      <alignment horizontal="center" vertical="center"/>
    </xf>
    <xf numFmtId="164" fontId="11" fillId="5" borderId="16" xfId="0" applyNumberFormat="1" applyFont="1" applyFill="1" applyBorder="1" applyAlignment="1">
      <alignment horizontal="center" vertical="center"/>
    </xf>
    <xf numFmtId="0" fontId="12" fillId="5" borderId="16" xfId="0" applyFont="1" applyFill="1" applyBorder="1" applyAlignment="1">
      <alignment horizontal="center" vertical="center"/>
    </xf>
    <xf numFmtId="164" fontId="11" fillId="5" borderId="17" xfId="0" applyNumberFormat="1" applyFont="1" applyFill="1" applyBorder="1" applyAlignment="1">
      <alignment horizontal="center" vertical="center"/>
    </xf>
    <xf numFmtId="0" fontId="0" fillId="6" borderId="18" xfId="0" applyFill="1" applyBorder="1" applyAlignment="1">
      <alignment horizontal="center" vertical="center"/>
    </xf>
    <xf numFmtId="1" fontId="9" fillId="6" borderId="14" xfId="0" applyNumberFormat="1" applyFont="1" applyFill="1" applyBorder="1" applyAlignment="1">
      <alignment horizontal="center" vertical="center"/>
    </xf>
    <xf numFmtId="0" fontId="0" fillId="6" borderId="14" xfId="0" applyFill="1" applyBorder="1" applyAlignment="1">
      <alignment horizontal="center" vertical="center"/>
    </xf>
    <xf numFmtId="1" fontId="9" fillId="6" borderId="19" xfId="0" applyNumberFormat="1" applyFont="1" applyFill="1" applyBorder="1" applyAlignment="1">
      <alignment horizontal="center" vertical="center"/>
    </xf>
    <xf numFmtId="0" fontId="0" fillId="4" borderId="18" xfId="0" applyFill="1" applyBorder="1" applyAlignment="1">
      <alignment horizontal="center" vertical="center"/>
    </xf>
    <xf numFmtId="1" fontId="9" fillId="4" borderId="14" xfId="0" applyNumberFormat="1" applyFont="1" applyFill="1" applyBorder="1" applyAlignment="1">
      <alignment horizontal="center" vertical="center"/>
    </xf>
    <xf numFmtId="0" fontId="0" fillId="4" borderId="14" xfId="0" applyFill="1" applyBorder="1" applyAlignment="1">
      <alignment horizontal="center" vertical="center"/>
    </xf>
    <xf numFmtId="1" fontId="9" fillId="4" borderId="19" xfId="0" applyNumberFormat="1" applyFont="1" applyFill="1" applyBorder="1" applyAlignment="1">
      <alignment horizontal="center" vertical="center"/>
    </xf>
    <xf numFmtId="0" fontId="0" fillId="6" borderId="20" xfId="0" applyFill="1" applyBorder="1" applyAlignment="1">
      <alignment horizontal="center" vertical="center"/>
    </xf>
    <xf numFmtId="1" fontId="9" fillId="6" borderId="21" xfId="0" applyNumberFormat="1" applyFont="1" applyFill="1" applyBorder="1" applyAlignment="1">
      <alignment horizontal="center" vertical="center"/>
    </xf>
    <xf numFmtId="0" fontId="0" fillId="6" borderId="21" xfId="0" applyFill="1" applyBorder="1" applyAlignment="1">
      <alignment horizontal="center" vertical="center"/>
    </xf>
    <xf numFmtId="1" fontId="9" fillId="6" borderId="22" xfId="0" applyNumberFormat="1" applyFont="1" applyFill="1" applyBorder="1" applyAlignment="1">
      <alignment horizontal="center" vertical="center"/>
    </xf>
    <xf numFmtId="0" fontId="0" fillId="6" borderId="19" xfId="0" applyFill="1" applyBorder="1" applyAlignment="1">
      <alignment horizontal="center" vertical="center"/>
    </xf>
    <xf numFmtId="0" fontId="0" fillId="4" borderId="19" xfId="0" applyFill="1" applyBorder="1" applyAlignment="1">
      <alignment horizontal="center" vertical="center"/>
    </xf>
    <xf numFmtId="0" fontId="0" fillId="6" borderId="22" xfId="0" applyFill="1" applyBorder="1" applyAlignment="1">
      <alignment horizontal="center" vertical="center"/>
    </xf>
    <xf numFmtId="166" fontId="12" fillId="5" borderId="16" xfId="0" applyNumberFormat="1" applyFont="1" applyFill="1" applyBorder="1" applyAlignment="1">
      <alignment horizontal="center" vertical="center"/>
    </xf>
    <xf numFmtId="0" fontId="12" fillId="5" borderId="17" xfId="0" applyFont="1" applyFill="1" applyBorder="1" applyAlignment="1">
      <alignment horizontal="center" vertical="center"/>
    </xf>
    <xf numFmtId="166" fontId="10" fillId="6" borderId="14" xfId="0" applyNumberFormat="1" applyFont="1" applyFill="1" applyBorder="1" applyAlignment="1">
      <alignment horizontal="center" vertical="center"/>
    </xf>
    <xf numFmtId="0" fontId="10" fillId="6" borderId="19" xfId="0" applyFont="1" applyFill="1" applyBorder="1" applyAlignment="1">
      <alignment horizontal="center" vertical="center"/>
    </xf>
    <xf numFmtId="166" fontId="10" fillId="4" borderId="14" xfId="0" applyNumberFormat="1" applyFont="1" applyFill="1" applyBorder="1" applyAlignment="1">
      <alignment horizontal="center" vertical="center"/>
    </xf>
    <xf numFmtId="0" fontId="10" fillId="4" borderId="19" xfId="0" applyFont="1" applyFill="1" applyBorder="1" applyAlignment="1">
      <alignment horizontal="center" vertical="center"/>
    </xf>
    <xf numFmtId="166" fontId="10" fillId="6" borderId="21" xfId="0" applyNumberFormat="1" applyFont="1" applyFill="1" applyBorder="1" applyAlignment="1">
      <alignment horizontal="center" vertical="center"/>
    </xf>
    <xf numFmtId="0" fontId="10" fillId="6" borderId="22" xfId="0" applyFont="1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10" fillId="6" borderId="14" xfId="0" applyFont="1" applyFill="1" applyBorder="1" applyAlignment="1">
      <alignment horizontal="center" vertical="center"/>
    </xf>
    <xf numFmtId="0" fontId="10" fillId="4" borderId="14" xfId="0" applyFont="1" applyFill="1" applyBorder="1" applyAlignment="1">
      <alignment horizontal="center" vertical="center"/>
    </xf>
    <xf numFmtId="0" fontId="12" fillId="0" borderId="16" xfId="0" applyFont="1" applyBorder="1" applyAlignment="1">
      <alignment horizontal="center" vertical="center"/>
    </xf>
    <xf numFmtId="0" fontId="10" fillId="6" borderId="21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2" fillId="0" borderId="12" xfId="0" applyFont="1" applyBorder="1"/>
    <xf numFmtId="0" fontId="2" fillId="0" borderId="13" xfId="0" applyFont="1" applyBorder="1"/>
    <xf numFmtId="0" fontId="5" fillId="0" borderId="5" xfId="0" applyFont="1" applyBorder="1" applyAlignment="1">
      <alignment horizontal="center" vertical="center" wrapText="1"/>
    </xf>
    <xf numFmtId="0" fontId="2" fillId="0" borderId="5" xfId="0" applyFont="1" applyBorder="1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</cellXfs>
  <cellStyles count="2">
    <cellStyle name="Currency" xfId="1" builtinId="4"/>
    <cellStyle name="Normal" xfId="0" builtinId="0"/>
  </cellStyles>
  <dxfs count="107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002060"/>
      </font>
      <fill>
        <patternFill>
          <bgColor rgb="FFFFFF00"/>
        </patternFill>
      </fill>
    </dxf>
    <dxf>
      <font>
        <color rgb="FFFFFF00"/>
      </font>
      <fill>
        <patternFill>
          <bgColor rgb="FF00206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numFmt numFmtId="0" formatCode="General"/>
      <fill>
        <patternFill patternType="solid">
          <fgColor rgb="FFD9E2F3"/>
          <bgColor rgb="FFD9E2F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7" formatCode="_(&quot;$&quot;* #,##0_);_(&quot;$&quot;* \(#,##0\);_(&quot;$&quot;* &quot;-&quot;??_);_(@_)"/>
      <fill>
        <patternFill patternType="solid">
          <fgColor rgb="FFD9E2F3"/>
          <bgColor rgb="FFD9E2F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rgb="FFD9E2F3"/>
          <bgColor rgb="FFD9E2F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rgb="FFD9E2F3"/>
          <bgColor rgb="FFD9E2F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numFmt numFmtId="1" formatCode="0"/>
      <fill>
        <patternFill patternType="solid">
          <fgColor rgb="FFD9E2F3"/>
          <bgColor rgb="FFD9E2F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rgb="FFD9E2F3"/>
          <bgColor rgb="FFD9E2F3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numFmt numFmtId="1" formatCode="0"/>
      <fill>
        <patternFill patternType="solid">
          <fgColor rgb="FFD9E2F3"/>
          <bgColor rgb="FFD9E2F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rgb="FFD9E2F3"/>
          <bgColor rgb="FFD9E2F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numFmt numFmtId="1" formatCode="0"/>
      <fill>
        <patternFill patternType="solid">
          <fgColor rgb="FFD9E2F3"/>
          <bgColor rgb="FFD9E2F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rgb="FFD9E2F3"/>
          <bgColor rgb="FFD9E2F3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0" formatCode="General"/>
      <fill>
        <patternFill patternType="solid">
          <fgColor rgb="FFD9E2F3"/>
          <bgColor rgb="FFD9E2F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numFmt numFmtId="1" formatCode="0"/>
      <fill>
        <patternFill patternType="solid">
          <fgColor rgb="FFD9E2F3"/>
          <bgColor rgb="FFD9E2F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rgb="FFD9E2F3"/>
          <bgColor rgb="FFD9E2F3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0" formatCode="General"/>
      <fill>
        <patternFill patternType="solid">
          <fgColor rgb="FFD9E2F3"/>
          <bgColor rgb="FFD9E2F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6" formatCode="&quot;$&quot;#,##0"/>
      <fill>
        <patternFill patternType="solid">
          <fgColor rgb="FFD9E2F3"/>
          <bgColor rgb="FFD9E2F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rgb="FFD9E2F3"/>
          <bgColor rgb="FFD9E2F3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7" formatCode="_(&quot;$&quot;* #,##0_);_(&quot;$&quot;* \(#,##0\);_(&quot;$&quot;* &quot;-&quot;??_);_(@_)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7" formatCode="_(&quot;$&quot;* #,##0_);_(&quot;$&quot;* \(#,##0\);_(&quot;$&quot;* &quot;-&quot;??_);_(@_)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dd/mm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fill>
        <patternFill patternType="solid">
          <fgColor rgb="FFD9E2F3"/>
          <bgColor rgb="FFD9E2F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rgb="FFD9E2F3"/>
          <bgColor rgb="FFD9E2F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rgb="FFD9E2F3"/>
          <bgColor rgb="FFD9E2F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rgb="FFD9E2F3"/>
          <bgColor rgb="FFD9E2F3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Employees-style" pivot="0" count="3" xr9:uid="{00000000-0011-0000-FFFF-FFFF00000000}">
      <tableStyleElement type="headerRow" dxfId="106"/>
      <tableStyleElement type="firstRowStripe" dxfId="105"/>
      <tableStyleElement type="secondRowStripe" dxfId="104"/>
    </tableStyle>
  </tableStyles>
  <colors>
    <mruColors>
      <color rgb="FFFFC7CE"/>
      <color rgb="FF9C0006"/>
      <color rgb="FFFFEB9C"/>
      <color rgb="FF9C5700"/>
      <color rgb="FF006100"/>
      <color rgb="FFC6EF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Relationship Id="rId14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Employees_Data" displayName="Employees_Data" ref="A1:Q690" headerRowDxfId="95" dataDxfId="93" totalsRowDxfId="91" headerRowBorderDxfId="94" tableBorderDxfId="92">
  <autoFilter ref="A1:Q690" xr:uid="{00000000-000C-0000-FFFF-FFFF00000000}"/>
  <tableColumns count="17">
    <tableColumn id="1" xr3:uid="{00000000-0010-0000-0000-000001000000}" name="No" dataDxfId="90"/>
    <tableColumn id="2" xr3:uid="{00000000-0010-0000-0000-000002000000}" name="First Name" dataDxfId="89"/>
    <tableColumn id="3" xr3:uid="{00000000-0010-0000-0000-000003000000}" name="Last Name" dataDxfId="88"/>
    <tableColumn id="21" xr3:uid="{6C5AFEC7-186C-43E7-BB06-CDF76DEF301D}" name="Employee Name" dataDxfId="87">
      <calculatedColumnFormula>_xlfn.TEXTJOIN(" ",TRUE,Employees_Data[[#This Row],[First Name]],Employees_Data[[#This Row],[Last Name]])</calculatedColumnFormula>
    </tableColumn>
    <tableColumn id="4" xr3:uid="{00000000-0010-0000-0000-000004000000}" name="Gender" dataDxfId="86"/>
    <tableColumn id="5" xr3:uid="{00000000-0010-0000-0000-000005000000}" name="Start Date" dataDxfId="85"/>
    <tableColumn id="6" xr3:uid="{00000000-0010-0000-0000-000006000000}" name="Years" dataDxfId="84"/>
    <tableColumn id="7" xr3:uid="{00000000-0010-0000-0000-000007000000}" name="Department" dataDxfId="83"/>
    <tableColumn id="8" xr3:uid="{00000000-0010-0000-0000-000008000000}" name="Country" dataDxfId="82"/>
    <tableColumn id="9" xr3:uid="{00000000-0010-0000-0000-000009000000}" name="Center" dataDxfId="81"/>
    <tableColumn id="10" xr3:uid="{00000000-0010-0000-0000-00000A000000}" name="Monthly Salary" dataDxfId="80" dataCellStyle="Currency"/>
    <tableColumn id="11" xr3:uid="{00000000-0010-0000-0000-00000B000000}" name="Annual Salary" dataDxfId="79" dataCellStyle="Currency"/>
    <tableColumn id="12" xr3:uid="{00000000-0010-0000-0000-00000C000000}" name="Job Rate" dataDxfId="78"/>
    <tableColumn id="13" xr3:uid="{00000000-0010-0000-0000-00000D000000}" name="Sick Leaves" dataDxfId="77"/>
    <tableColumn id="14" xr3:uid="{00000000-0010-0000-0000-00000E000000}" name="Unpaid Leaves" dataDxfId="76"/>
    <tableColumn id="15" xr3:uid="{00000000-0010-0000-0000-00000F000000}" name="Overtime Hours" dataDxfId="75"/>
    <tableColumn id="16" xr3:uid="{00000000-0010-0000-0000-000010000000}" name="Bonus Eligibility" dataDxfId="74"/>
  </tableColumns>
  <tableStyleInfo name="Employees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9F90434-6AC1-412C-97D7-703F60EC31E7}" name="Significant_Overtime" displayName="Significant_Overtime" ref="A1:C690" totalsRowShown="0" headerRowDxfId="73" dataDxfId="71" headerRowBorderDxfId="72" tableBorderDxfId="70" totalsRowBorderDxfId="69">
  <autoFilter ref="A1:C690" xr:uid="{29F90434-6AC1-412C-97D7-703F60EC31E7}"/>
  <tableColumns count="3">
    <tableColumn id="1" xr3:uid="{53C8011A-AFFE-4146-8C62-929A89343C58}" name="Employee Name" dataDxfId="68">
      <calculatedColumnFormula>_xlfn.TEXTJOIN(" ",TRUE,Employees_Data[[#This Row],[First Name]],Employees_Data[[#This Row],[Last Name]])</calculatedColumnFormula>
    </tableColumn>
    <tableColumn id="2" xr3:uid="{E616E5D1-A956-4D4D-9700-6936D231ADBC}" name="Overtime Hours" dataDxfId="67"/>
    <tableColumn id="3" xr3:uid="{8A2EC34E-CDB0-4C5F-AE23-D3FBA1A036B7}" name="Overtime Status" dataDxfId="66">
      <calculatedColumnFormula>IFERROR(IF(Significant_Overtime[[#This Row],[Overtime Hours]]&gt;100,"High Overtime","Normal"),"Not Found")</calculatedColumnFormula>
    </tableColumn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8DE8D92-272B-41C6-AB18-ACE8174DD9AA}" name="Salary_Category" displayName="Salary_Category" ref="A1:C690" totalsRowShown="0" headerRowDxfId="65" dataDxfId="63" headerRowBorderDxfId="64" tableBorderDxfId="62" totalsRowBorderDxfId="61">
  <autoFilter ref="A1:C690" xr:uid="{68DE8D92-272B-41C6-AB18-ACE8174DD9AA}"/>
  <tableColumns count="3">
    <tableColumn id="1" xr3:uid="{6834A40A-91E5-47AC-8CDA-363755200FBD}" name="Employee Name" dataDxfId="60">
      <calculatedColumnFormula>_xlfn.TEXTJOIN(" ",TRUE,Employees_Data[[#This Row],[First Name]],Employees_Data[[#This Row],[Last Name]])</calculatedColumnFormula>
    </tableColumn>
    <tableColumn id="2" xr3:uid="{9C7A6A6B-741E-4A0C-BF7A-FA181D4263F4}" name="Monthly Salary" dataDxfId="59"/>
    <tableColumn id="3" xr3:uid="{7BE8F0B1-056C-4F2E-B587-F44EC3A74C66}" name="Salary Category" dataDxfId="58">
      <calculatedColumnFormula>IFERROR(IF(Salary_Category[[#This Row],[Monthly Salary]]&gt;7000,"High",IF(AND(Salary_Category[[#This Row],[Monthly Salary]]&gt;=4000,Salary_Category[[#This Row],[Monthly Salary]]&lt;=7000),"Medium","Low")),"Not Found")</calculatedColumnFormula>
    </tableColumn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D465E03-C650-4B96-87DD-1EEAA452957B}" name="Experience_Level" displayName="Experience_Level" ref="A1:C690" totalsRowShown="0" headerRowDxfId="57" dataDxfId="55" headerRowBorderDxfId="56" tableBorderDxfId="54" totalsRowBorderDxfId="53">
  <autoFilter ref="A1:C690" xr:uid="{5D465E03-C650-4B96-87DD-1EEAA452957B}"/>
  <tableColumns count="3">
    <tableColumn id="1" xr3:uid="{F7DC15DC-5961-49C6-8E8C-84D0E1ADE7F1}" name="Employee Name" dataDxfId="52">
      <calculatedColumnFormula>_xlfn.TEXTJOIN(" ",TRUE,Employees_Data[[#This Row],[First Name]],Employees_Data[[#This Row],[Last Name]])</calculatedColumnFormula>
    </tableColumn>
    <tableColumn id="2" xr3:uid="{C4F00DB4-E61C-46FC-BA03-C7D6D7CFFB9B}" name="Years" dataDxfId="51">
      <calculatedColumnFormula>DATEDIF(Employees!$F2,TODAY(),"Y")</calculatedColumnFormula>
    </tableColumn>
    <tableColumn id="3" xr3:uid="{2798D312-3917-41DF-9E88-41F3F68FC5A8}" name="Experience Level" dataDxfId="50">
      <calculatedColumnFormula>IFERROR(IF(Experience_Level[[#This Row],[Years]]&gt;=10,"Senior",IF(AND(Experience_Level[[#This Row],[Years]]&gt;=5,Experience_Level[[#This Row],[Years]]&lt;=9),"Mid-Level","Junior")),"Not Found")</calculatedColumnFormula>
    </tableColumn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83BE9CD-A1EF-4AC1-929F-454EA3DBCBAD}" name="Hardworking_Employee" displayName="Hardworking_Employee" ref="A1:D690" totalsRowShown="0" headerRowDxfId="49" headerRowBorderDxfId="48" tableBorderDxfId="47" totalsRowBorderDxfId="46">
  <autoFilter ref="A1:D690" xr:uid="{883BE9CD-A1EF-4AC1-929F-454EA3DBCBAD}"/>
  <tableColumns count="4">
    <tableColumn id="1" xr3:uid="{881A7B21-F4C9-4C3B-813D-D50BEBB00537}" name="Employee Name" dataDxfId="45">
      <calculatedColumnFormula>_xlfn.TEXTJOIN(" ",TRUE,Employees_Data[[#This Row],[First Name]],Employees_Data[[#This Row],[Last Name]])</calculatedColumnFormula>
    </tableColumn>
    <tableColumn id="2" xr3:uid="{966DFE31-1D5D-4D66-9426-2AAA9FB72483}" name="Years" dataDxfId="44">
      <calculatedColumnFormula>DATEDIF(Employees!$F2,TODAY(),"Y")</calculatedColumnFormula>
    </tableColumn>
    <tableColumn id="3" xr3:uid="{B9683C23-390B-4F0D-8D70-507CA6C8E433}" name="Overtime Hours" dataDxfId="43"/>
    <tableColumn id="4" xr3:uid="{F70B584C-88CA-4627-9E29-B7B46CCE2D4E}" name="Hardworking Employee" dataDxfId="42">
      <calculatedColumnFormula>IFERROR(IF(AND(Hardworking_Employee[[#This Row],[Years]]&gt;=5,Hardworking_Employee[[#This Row],[Overtime Hours]]&gt;50),"Yes","No"),"Not Found")</calculatedColumnFormula>
    </tableColumn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CCAD7BC-E4AB-4AD5-866E-6A049D19968E}" name="Attendance_Warning" displayName="Attendance_Warning" ref="A1:D690" totalsRowShown="0" headerRowDxfId="103" headerRowBorderDxfId="102" tableBorderDxfId="101" totalsRowBorderDxfId="100">
  <autoFilter ref="A1:D690" xr:uid="{ACCAD7BC-E4AB-4AD5-866E-6A049D19968E}"/>
  <tableColumns count="4">
    <tableColumn id="1" xr3:uid="{A3B47380-F7F4-49B5-9013-032703F3AE63}" name="Employee Name" dataDxfId="99">
      <calculatedColumnFormula>_xlfn.TEXTJOIN(" ",TRUE,Employees_Data[[#This Row],[First Name]],Employees_Data[[#This Row],[Last Name]])</calculatedColumnFormula>
    </tableColumn>
    <tableColumn id="2" xr3:uid="{811A33B6-9932-417B-ABA6-6C0695CF5E11}" name="Sick Leaves" dataDxfId="98"/>
    <tableColumn id="3" xr3:uid="{CB572BE5-B121-4FD4-B729-0E29D127E5B2}" name="Unpaid Leaves" dataDxfId="97"/>
    <tableColumn id="4" xr3:uid="{8129904B-FFEB-49E8-8CA1-415E43DFA9E5}" name="Attendance Warning" dataDxfId="96">
      <calculatedColumnFormula>IFERROR(IF(OR(Attendance_Warning[[#This Row],[Sick Leaves]]&gt;3,Attendance_Warning[[#This Row],[Unpaid Leaves]]&gt;3),"Warning","OK"),"Not Found")</calculatedColumnFormula>
    </tableColumn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C15CE1A-EF07-40B6-9D5A-F7C6B4B89E0A}" name="Bonus_Eligibility" displayName="Bonus_Eligibility" ref="A1:F690" totalsRowShown="0" headerRowDxfId="41" headerRowBorderDxfId="40" tableBorderDxfId="39" totalsRowBorderDxfId="38">
  <autoFilter ref="A1:F690" xr:uid="{8C15CE1A-EF07-40B6-9D5A-F7C6B4B89E0A}"/>
  <tableColumns count="6">
    <tableColumn id="1" xr3:uid="{E7DE99E4-7F33-4443-927C-FF967272B6ED}" name="Employee Name" dataDxfId="37">
      <calculatedColumnFormula>_xlfn.TEXTJOIN(" ",TRUE,Employees_Data[[#This Row],[First Name]],Employees_Data[[#This Row],[Last Name]])</calculatedColumnFormula>
    </tableColumn>
    <tableColumn id="2" xr3:uid="{9A476EC8-6914-4833-86D4-3B79F6448DF4}" name="Years" dataDxfId="36">
      <calculatedColumnFormula>DATEDIF(Employees!$F2,TODAY(),"Y")</calculatedColumnFormula>
    </tableColumn>
    <tableColumn id="3" xr3:uid="{C5468948-C04E-48F6-A527-B4E026AD2A30}" name="Job Rate" dataDxfId="35"/>
    <tableColumn id="4" xr3:uid="{7759621E-59B6-4E27-A4C3-F0AED9E8EFD3}" name="Overtime Hours" dataDxfId="34"/>
    <tableColumn id="5" xr3:uid="{7496D584-8352-4F7F-ACF9-41BF9F8FA757}" name="Monthly Salary" dataDxfId="33" dataCellStyle="Currency"/>
    <tableColumn id="6" xr3:uid="{4E84D071-0F7B-4571-987B-019A30CF0858}" name="Bonus Eligibility" dataDxfId="32">
      <calculatedColumnFormula>IFERROR(IF(AND(Bonus_Eligibility[[#This Row],[Years]]&gt;=5,Bonus_Eligibility[[#This Row],[Job Rate]]&gt;=3,OR(Bonus_Eligibility[[#This Row],[Overtime Hours]]&gt;50,Bonus_Eligibility[[#This Row],[Monthly Salary]]&gt;7000)),"Eligible","Not Eligible"),"Not Found")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00"/>
  <sheetViews>
    <sheetView topLeftCell="H1" workbookViewId="0">
      <selection activeCell="R7" sqref="R7"/>
    </sheetView>
  </sheetViews>
  <sheetFormatPr defaultColWidth="11.25" defaultRowHeight="15" customHeight="1" x14ac:dyDescent="0.35"/>
  <cols>
    <col min="1" max="1" width="11.25" customWidth="1"/>
    <col min="2" max="2" width="13" customWidth="1"/>
    <col min="3" max="3" width="14.4140625" customWidth="1"/>
    <col min="4" max="4" width="22.33203125" bestFit="1" customWidth="1"/>
    <col min="5" max="5" width="11.25" customWidth="1"/>
    <col min="6" max="6" width="11.08203125" style="12" bestFit="1" customWidth="1"/>
    <col min="7" max="7" width="13" customWidth="1"/>
    <col min="8" max="9" width="25.25" customWidth="1"/>
    <col min="11" max="11" width="13.75" customWidth="1"/>
    <col min="12" max="12" width="12.6640625" customWidth="1"/>
    <col min="13" max="13" width="9.83203125" bestFit="1" customWidth="1"/>
    <col min="14" max="14" width="11.9140625" bestFit="1" customWidth="1"/>
    <col min="15" max="15" width="14.75" bestFit="1" customWidth="1"/>
    <col min="16" max="16" width="15.83203125" bestFit="1" customWidth="1"/>
    <col min="17" max="17" width="16.25" bestFit="1" customWidth="1"/>
  </cols>
  <sheetData>
    <row r="1" spans="1:17" ht="15.5" x14ac:dyDescent="0.35">
      <c r="A1" s="15" t="s">
        <v>3</v>
      </c>
      <c r="B1" s="16" t="s">
        <v>5</v>
      </c>
      <c r="C1" s="16" t="s">
        <v>6</v>
      </c>
      <c r="D1" s="16" t="s">
        <v>24</v>
      </c>
      <c r="E1" s="16" t="s">
        <v>7</v>
      </c>
      <c r="F1" s="17" t="s">
        <v>8</v>
      </c>
      <c r="G1" s="18" t="s">
        <v>10</v>
      </c>
      <c r="H1" s="16" t="s">
        <v>11</v>
      </c>
      <c r="I1" s="16" t="s">
        <v>12</v>
      </c>
      <c r="J1" s="16" t="s">
        <v>14</v>
      </c>
      <c r="K1" s="19" t="s">
        <v>15</v>
      </c>
      <c r="L1" s="19" t="s">
        <v>16</v>
      </c>
      <c r="M1" s="16" t="s">
        <v>17</v>
      </c>
      <c r="N1" s="65" t="s">
        <v>18</v>
      </c>
      <c r="O1" s="16" t="s">
        <v>19</v>
      </c>
      <c r="P1" s="16" t="s">
        <v>20</v>
      </c>
      <c r="Q1" s="65" t="s">
        <v>917</v>
      </c>
    </row>
    <row r="2" spans="1:17" ht="15.5" x14ac:dyDescent="0.35">
      <c r="A2" s="20">
        <v>1</v>
      </c>
      <c r="B2" s="21" t="s">
        <v>22</v>
      </c>
      <c r="C2" s="21" t="s">
        <v>23</v>
      </c>
      <c r="D2" s="22" t="str">
        <f>_xlfn.TEXTJOIN(" ",TRUE,Employees_Data[[#This Row],[First Name]],Employees_Data[[#This Row],[Last Name]])</f>
        <v>Ghadir Hmshw</v>
      </c>
      <c r="E2" s="21" t="s">
        <v>25</v>
      </c>
      <c r="F2" s="23">
        <v>43194</v>
      </c>
      <c r="G2" s="24">
        <f ca="1">DATEDIF(Employees!$F2,TODAY(),"Y")</f>
        <v>8</v>
      </c>
      <c r="H2" s="21" t="s">
        <v>26</v>
      </c>
      <c r="I2" s="21" t="s">
        <v>27</v>
      </c>
      <c r="J2" s="21" t="s">
        <v>29</v>
      </c>
      <c r="K2" s="25">
        <v>1560</v>
      </c>
      <c r="L2" s="25">
        <v>18720</v>
      </c>
      <c r="M2" s="21">
        <v>3</v>
      </c>
      <c r="N2" s="21">
        <v>1</v>
      </c>
      <c r="O2" s="21">
        <v>0</v>
      </c>
      <c r="P2" s="21">
        <v>183</v>
      </c>
      <c r="Q2" s="21" t="str">
        <f t="shared" ref="Q2:Q256" ca="1" si="0">IF(AND(G2&gt;=5,M2&gt;=3,OR(P2&gt;50,K2&gt;7000)),"Eligible","Not Eligible")</f>
        <v>Eligible</v>
      </c>
    </row>
    <row r="3" spans="1:17" ht="15.5" x14ac:dyDescent="0.35">
      <c r="A3" s="20">
        <v>2</v>
      </c>
      <c r="B3" s="21" t="s">
        <v>36</v>
      </c>
      <c r="C3" s="21" t="s">
        <v>37</v>
      </c>
      <c r="D3" s="22" t="str">
        <f>_xlfn.TEXTJOIN(" ",TRUE,Employees_Data[[#This Row],[First Name]],Employees_Data[[#This Row],[Last Name]])</f>
        <v>Omar Hishan</v>
      </c>
      <c r="E3" s="21" t="s">
        <v>25</v>
      </c>
      <c r="F3" s="23">
        <v>43972</v>
      </c>
      <c r="G3" s="24">
        <f ca="1">DATEDIF(Employees!$F3,TODAY(),"Y")</f>
        <v>6</v>
      </c>
      <c r="H3" s="21" t="s">
        <v>26</v>
      </c>
      <c r="I3" s="21" t="s">
        <v>40</v>
      </c>
      <c r="J3" s="21" t="s">
        <v>29</v>
      </c>
      <c r="K3" s="25">
        <v>3247</v>
      </c>
      <c r="L3" s="25">
        <v>38964</v>
      </c>
      <c r="M3" s="21">
        <v>1</v>
      </c>
      <c r="N3" s="21">
        <v>0</v>
      </c>
      <c r="O3" s="21">
        <v>5</v>
      </c>
      <c r="P3" s="21">
        <v>198</v>
      </c>
      <c r="Q3" s="21" t="str">
        <f t="shared" ca="1" si="0"/>
        <v>Not Eligible</v>
      </c>
    </row>
    <row r="4" spans="1:17" ht="15.5" x14ac:dyDescent="0.35">
      <c r="A4" s="20">
        <v>3</v>
      </c>
      <c r="B4" s="21" t="s">
        <v>42</v>
      </c>
      <c r="C4" s="21" t="s">
        <v>43</v>
      </c>
      <c r="D4" s="22" t="str">
        <f>_xlfn.TEXTJOIN(" ",TRUE,Employees_Data[[#This Row],[First Name]],Employees_Data[[#This Row],[Last Name]])</f>
        <v>Ailya Sharaf</v>
      </c>
      <c r="E4" s="21" t="s">
        <v>44</v>
      </c>
      <c r="F4" s="23">
        <v>43006</v>
      </c>
      <c r="G4" s="24">
        <f ca="1">DATEDIF(Employees!$F4,TODAY(),"Y")</f>
        <v>9</v>
      </c>
      <c r="H4" s="21" t="s">
        <v>47</v>
      </c>
      <c r="I4" s="21" t="s">
        <v>40</v>
      </c>
      <c r="J4" s="21" t="s">
        <v>29</v>
      </c>
      <c r="K4" s="25">
        <v>2506</v>
      </c>
      <c r="L4" s="25">
        <v>30072</v>
      </c>
      <c r="M4" s="21">
        <v>2</v>
      </c>
      <c r="N4" s="21">
        <v>0</v>
      </c>
      <c r="O4" s="21">
        <v>3</v>
      </c>
      <c r="P4" s="21">
        <v>192</v>
      </c>
      <c r="Q4" s="21" t="str">
        <f t="shared" ca="1" si="0"/>
        <v>Not Eligible</v>
      </c>
    </row>
    <row r="5" spans="1:17" ht="15.5" x14ac:dyDescent="0.35">
      <c r="A5" s="20">
        <v>4</v>
      </c>
      <c r="B5" s="21" t="s">
        <v>49</v>
      </c>
      <c r="C5" s="21" t="s">
        <v>50</v>
      </c>
      <c r="D5" s="22" t="str">
        <f>_xlfn.TEXTJOIN(" ",TRUE,Employees_Data[[#This Row],[First Name]],Employees_Data[[#This Row],[Last Name]])</f>
        <v>Lwiy Qbany</v>
      </c>
      <c r="E5" s="21" t="s">
        <v>25</v>
      </c>
      <c r="F5" s="23">
        <v>43326</v>
      </c>
      <c r="G5" s="24">
        <f ca="1">DATEDIF(Employees!$F5,TODAY(),"Y")</f>
        <v>8</v>
      </c>
      <c r="H5" s="21" t="s">
        <v>52</v>
      </c>
      <c r="I5" s="21" t="s">
        <v>53</v>
      </c>
      <c r="J5" s="21" t="s">
        <v>54</v>
      </c>
      <c r="K5" s="25">
        <v>1828</v>
      </c>
      <c r="L5" s="25">
        <v>21936</v>
      </c>
      <c r="M5" s="21">
        <v>3</v>
      </c>
      <c r="N5" s="21">
        <v>0</v>
      </c>
      <c r="O5" s="21">
        <v>0</v>
      </c>
      <c r="P5" s="21">
        <v>7</v>
      </c>
      <c r="Q5" s="21" t="str">
        <f t="shared" ca="1" si="0"/>
        <v>Not Eligible</v>
      </c>
    </row>
    <row r="6" spans="1:17" ht="15.5" x14ac:dyDescent="0.35">
      <c r="A6" s="20">
        <v>5</v>
      </c>
      <c r="B6" s="21" t="s">
        <v>55</v>
      </c>
      <c r="C6" s="21" t="s">
        <v>56</v>
      </c>
      <c r="D6" s="22" t="str">
        <f>_xlfn.TEXTJOIN(" ",TRUE,Employees_Data[[#This Row],[First Name]],Employees_Data[[#This Row],[Last Name]])</f>
        <v>Ahmad Bikri</v>
      </c>
      <c r="E6" s="21" t="s">
        <v>25</v>
      </c>
      <c r="F6" s="23">
        <v>43901</v>
      </c>
      <c r="G6" s="24">
        <f ca="1">DATEDIF(Employees!$F6,TODAY(),"Y")</f>
        <v>6</v>
      </c>
      <c r="H6" s="21" t="s">
        <v>52</v>
      </c>
      <c r="I6" s="21" t="s">
        <v>27</v>
      </c>
      <c r="J6" s="21" t="s">
        <v>54</v>
      </c>
      <c r="K6" s="25">
        <v>970</v>
      </c>
      <c r="L6" s="25">
        <v>11640</v>
      </c>
      <c r="M6" s="21">
        <v>5</v>
      </c>
      <c r="N6" s="21">
        <v>0</v>
      </c>
      <c r="O6" s="21">
        <v>5</v>
      </c>
      <c r="P6" s="21">
        <v>121</v>
      </c>
      <c r="Q6" s="21" t="str">
        <f t="shared" ca="1" si="0"/>
        <v>Eligible</v>
      </c>
    </row>
    <row r="7" spans="1:17" ht="15.5" x14ac:dyDescent="0.35">
      <c r="A7" s="20">
        <v>6</v>
      </c>
      <c r="B7" s="21" t="s">
        <v>57</v>
      </c>
      <c r="C7" s="21" t="s">
        <v>58</v>
      </c>
      <c r="D7" s="22" t="str">
        <f>_xlfn.TEXTJOIN(" ",TRUE,Employees_Data[[#This Row],[First Name]],Employees_Data[[#This Row],[Last Name]])</f>
        <v>Muhamad Zueitr</v>
      </c>
      <c r="E7" s="21" t="s">
        <v>25</v>
      </c>
      <c r="F7" s="23">
        <v>42402</v>
      </c>
      <c r="G7" s="24">
        <f ca="1">DATEDIF(Employees!$F7,TODAY(),"Y")</f>
        <v>10</v>
      </c>
      <c r="H7" s="21" t="s">
        <v>59</v>
      </c>
      <c r="I7" s="21" t="s">
        <v>40</v>
      </c>
      <c r="J7" s="21" t="s">
        <v>60</v>
      </c>
      <c r="K7" s="25">
        <v>2332</v>
      </c>
      <c r="L7" s="25">
        <v>27984</v>
      </c>
      <c r="M7" s="21">
        <v>3</v>
      </c>
      <c r="N7" s="21">
        <v>3</v>
      </c>
      <c r="O7" s="21">
        <v>0</v>
      </c>
      <c r="P7" s="21">
        <v>8</v>
      </c>
      <c r="Q7" s="21" t="str">
        <f t="shared" ca="1" si="0"/>
        <v>Not Eligible</v>
      </c>
    </row>
    <row r="8" spans="1:17" ht="15.5" x14ac:dyDescent="0.35">
      <c r="A8" s="20">
        <v>7</v>
      </c>
      <c r="B8" s="21" t="s">
        <v>61</v>
      </c>
      <c r="C8" s="21" t="s">
        <v>62</v>
      </c>
      <c r="D8" s="22" t="str">
        <f>_xlfn.TEXTJOIN(" ",TRUE,Employees_Data[[#This Row],[First Name]],Employees_Data[[#This Row],[Last Name]])</f>
        <v>Iin Alhalaliu</v>
      </c>
      <c r="E8" s="21" t="s">
        <v>44</v>
      </c>
      <c r="F8" s="23">
        <v>43959</v>
      </c>
      <c r="G8" s="24">
        <f ca="1">DATEDIF(Employees!$F8,TODAY(),"Y")</f>
        <v>6</v>
      </c>
      <c r="H8" s="21" t="s">
        <v>63</v>
      </c>
      <c r="I8" s="21" t="s">
        <v>53</v>
      </c>
      <c r="J8" s="21" t="s">
        <v>54</v>
      </c>
      <c r="K8" s="25">
        <v>1959</v>
      </c>
      <c r="L8" s="25">
        <v>23508</v>
      </c>
      <c r="M8" s="21">
        <v>3</v>
      </c>
      <c r="N8" s="21">
        <v>6</v>
      </c>
      <c r="O8" s="21">
        <v>0</v>
      </c>
      <c r="P8" s="21">
        <v>116</v>
      </c>
      <c r="Q8" s="21" t="str">
        <f t="shared" ca="1" si="0"/>
        <v>Eligible</v>
      </c>
    </row>
    <row r="9" spans="1:17" ht="15.5" x14ac:dyDescent="0.35">
      <c r="A9" s="20">
        <v>8</v>
      </c>
      <c r="B9" s="21" t="s">
        <v>57</v>
      </c>
      <c r="C9" s="21" t="s">
        <v>64</v>
      </c>
      <c r="D9" s="22" t="str">
        <f>_xlfn.TEXTJOIN(" ",TRUE,Employees_Data[[#This Row],[First Name]],Employees_Data[[#This Row],[Last Name]])</f>
        <v>Muhamad Alaya</v>
      </c>
      <c r="E9" s="21" t="s">
        <v>25</v>
      </c>
      <c r="F9" s="23">
        <v>43141</v>
      </c>
      <c r="G9" s="24">
        <f ca="1">DATEDIF(Employees!$F9,TODAY(),"Y")</f>
        <v>8</v>
      </c>
      <c r="H9" s="21" t="s">
        <v>65</v>
      </c>
      <c r="I9" s="21" t="s">
        <v>27</v>
      </c>
      <c r="J9" s="21" t="s">
        <v>54</v>
      </c>
      <c r="K9" s="25">
        <v>3394</v>
      </c>
      <c r="L9" s="25">
        <v>40728</v>
      </c>
      <c r="M9" s="21">
        <v>5</v>
      </c>
      <c r="N9" s="21">
        <v>0</v>
      </c>
      <c r="O9" s="21">
        <v>0</v>
      </c>
      <c r="P9" s="21">
        <v>7</v>
      </c>
      <c r="Q9" s="21" t="str">
        <f t="shared" ca="1" si="0"/>
        <v>Not Eligible</v>
      </c>
    </row>
    <row r="10" spans="1:17" ht="15.5" x14ac:dyDescent="0.35">
      <c r="A10" s="20">
        <v>9</v>
      </c>
      <c r="B10" s="21" t="s">
        <v>66</v>
      </c>
      <c r="C10" s="21" t="s">
        <v>67</v>
      </c>
      <c r="D10" s="22" t="str">
        <f>_xlfn.TEXTJOIN(" ",TRUE,Employees_Data[[#This Row],[First Name]],Employees_Data[[#This Row],[Last Name]])</f>
        <v>Susin Almilat</v>
      </c>
      <c r="E10" s="21" t="s">
        <v>44</v>
      </c>
      <c r="F10" s="23">
        <v>43170</v>
      </c>
      <c r="G10" s="24">
        <f ca="1">DATEDIF(Employees!$F10,TODAY(),"Y")</f>
        <v>8</v>
      </c>
      <c r="H10" s="21" t="s">
        <v>68</v>
      </c>
      <c r="I10" s="21" t="s">
        <v>27</v>
      </c>
      <c r="J10" s="21" t="s">
        <v>60</v>
      </c>
      <c r="K10" s="25">
        <v>1479</v>
      </c>
      <c r="L10" s="25">
        <v>17748</v>
      </c>
      <c r="M10" s="21">
        <v>4.5</v>
      </c>
      <c r="N10" s="21">
        <v>0</v>
      </c>
      <c r="O10" s="21">
        <v>0</v>
      </c>
      <c r="P10" s="21">
        <v>105</v>
      </c>
      <c r="Q10" s="21" t="str">
        <f t="shared" ca="1" si="0"/>
        <v>Eligible</v>
      </c>
    </row>
    <row r="11" spans="1:17" ht="15.5" x14ac:dyDescent="0.35">
      <c r="A11" s="20">
        <v>10</v>
      </c>
      <c r="B11" s="21" t="s">
        <v>57</v>
      </c>
      <c r="C11" s="21" t="s">
        <v>69</v>
      </c>
      <c r="D11" s="22" t="str">
        <f>_xlfn.TEXTJOIN(" ",TRUE,Employees_Data[[#This Row],[First Name]],Employees_Data[[#This Row],[Last Name]])</f>
        <v>Muhamad Alrifaei</v>
      </c>
      <c r="E11" s="21" t="s">
        <v>25</v>
      </c>
      <c r="F11" s="23">
        <v>43833</v>
      </c>
      <c r="G11" s="24">
        <f ca="1">DATEDIF(Employees!$F11,TODAY(),"Y")</f>
        <v>6</v>
      </c>
      <c r="H11" s="21" t="s">
        <v>65</v>
      </c>
      <c r="I11" s="21" t="s">
        <v>27</v>
      </c>
      <c r="J11" s="21" t="s">
        <v>54</v>
      </c>
      <c r="K11" s="25">
        <v>1186</v>
      </c>
      <c r="L11" s="25">
        <v>14232</v>
      </c>
      <c r="M11" s="21">
        <v>4.5</v>
      </c>
      <c r="N11" s="21">
        <v>1</v>
      </c>
      <c r="O11" s="21">
        <v>0</v>
      </c>
      <c r="P11" s="21">
        <v>153</v>
      </c>
      <c r="Q11" s="21" t="str">
        <f t="shared" ca="1" si="0"/>
        <v>Eligible</v>
      </c>
    </row>
    <row r="12" spans="1:17" ht="15.5" x14ac:dyDescent="0.35">
      <c r="A12" s="20">
        <v>11</v>
      </c>
      <c r="B12" s="21" t="s">
        <v>57</v>
      </c>
      <c r="C12" s="21" t="s">
        <v>70</v>
      </c>
      <c r="D12" s="22" t="str">
        <f>_xlfn.TEXTJOIN(" ",TRUE,Employees_Data[[#This Row],[First Name]],Employees_Data[[#This Row],[Last Name]])</f>
        <v>Muhamad Alqadah</v>
      </c>
      <c r="E12" s="21" t="s">
        <v>25</v>
      </c>
      <c r="F12" s="23">
        <v>43116</v>
      </c>
      <c r="G12" s="24">
        <f ca="1">DATEDIF(Employees!$F12,TODAY(),"Y")</f>
        <v>8</v>
      </c>
      <c r="H12" s="21" t="s">
        <v>52</v>
      </c>
      <c r="I12" s="21" t="s">
        <v>71</v>
      </c>
      <c r="J12" s="21" t="s">
        <v>54</v>
      </c>
      <c r="K12" s="25">
        <v>1485</v>
      </c>
      <c r="L12" s="25">
        <v>17820</v>
      </c>
      <c r="M12" s="21">
        <v>2</v>
      </c>
      <c r="N12" s="21">
        <v>5</v>
      </c>
      <c r="O12" s="21">
        <v>0</v>
      </c>
      <c r="P12" s="21">
        <v>12</v>
      </c>
      <c r="Q12" s="21" t="str">
        <f t="shared" ca="1" si="0"/>
        <v>Not Eligible</v>
      </c>
    </row>
    <row r="13" spans="1:17" ht="15.5" x14ac:dyDescent="0.35">
      <c r="A13" s="20">
        <v>12</v>
      </c>
      <c r="B13" s="21" t="s">
        <v>57</v>
      </c>
      <c r="C13" s="21" t="s">
        <v>72</v>
      </c>
      <c r="D13" s="22" t="str">
        <f>_xlfn.TEXTJOIN(" ",TRUE,Employees_Data[[#This Row],[First Name]],Employees_Data[[#This Row],[Last Name]])</f>
        <v>Muhamad Iad</v>
      </c>
      <c r="E13" s="21" t="s">
        <v>25</v>
      </c>
      <c r="F13" s="23">
        <v>43300</v>
      </c>
      <c r="G13" s="24">
        <f ca="1">DATEDIF(Employees!$F13,TODAY(),"Y")</f>
        <v>8</v>
      </c>
      <c r="H13" s="21" t="s">
        <v>73</v>
      </c>
      <c r="I13" s="21" t="s">
        <v>27</v>
      </c>
      <c r="J13" s="21" t="s">
        <v>54</v>
      </c>
      <c r="K13" s="25">
        <v>2016</v>
      </c>
      <c r="L13" s="25">
        <v>24192</v>
      </c>
      <c r="M13" s="21">
        <v>1</v>
      </c>
      <c r="N13" s="21">
        <v>2</v>
      </c>
      <c r="O13" s="21">
        <v>0</v>
      </c>
      <c r="P13" s="21">
        <v>70</v>
      </c>
      <c r="Q13" s="21" t="str">
        <f t="shared" ca="1" si="0"/>
        <v>Not Eligible</v>
      </c>
    </row>
    <row r="14" spans="1:17" ht="15.5" x14ac:dyDescent="0.35">
      <c r="A14" s="20">
        <v>13</v>
      </c>
      <c r="B14" s="21" t="s">
        <v>74</v>
      </c>
      <c r="C14" s="21" t="s">
        <v>75</v>
      </c>
      <c r="D14" s="22" t="str">
        <f>_xlfn.TEXTJOIN(" ",TRUE,Employees_Data[[#This Row],[First Name]],Employees_Data[[#This Row],[Last Name]])</f>
        <v>Razaan Nasif</v>
      </c>
      <c r="E14" s="21" t="s">
        <v>44</v>
      </c>
      <c r="F14" s="23">
        <v>43415</v>
      </c>
      <c r="G14" s="24">
        <f ca="1">DATEDIF(Employees!$F14,TODAY(),"Y")</f>
        <v>7</v>
      </c>
      <c r="H14" s="21" t="s">
        <v>76</v>
      </c>
      <c r="I14" s="21" t="s">
        <v>27</v>
      </c>
      <c r="J14" s="21" t="s">
        <v>54</v>
      </c>
      <c r="K14" s="25">
        <v>1999</v>
      </c>
      <c r="L14" s="25">
        <v>23988</v>
      </c>
      <c r="M14" s="21">
        <v>5</v>
      </c>
      <c r="N14" s="21">
        <v>6</v>
      </c>
      <c r="O14" s="21">
        <v>0</v>
      </c>
      <c r="P14" s="21">
        <v>85</v>
      </c>
      <c r="Q14" s="21" t="str">
        <f t="shared" ca="1" si="0"/>
        <v>Eligible</v>
      </c>
    </row>
    <row r="15" spans="1:17" ht="15.5" x14ac:dyDescent="0.35">
      <c r="A15" s="20">
        <v>14</v>
      </c>
      <c r="B15" s="21" t="s">
        <v>77</v>
      </c>
      <c r="C15" s="21" t="s">
        <v>78</v>
      </c>
      <c r="D15" s="22" t="str">
        <f>_xlfn.TEXTJOIN(" ",TRUE,Employees_Data[[#This Row],[First Name]],Employees_Data[[#This Row],[Last Name]])</f>
        <v>Iilian Dbs</v>
      </c>
      <c r="E15" s="21" t="s">
        <v>44</v>
      </c>
      <c r="F15" s="23">
        <v>42430</v>
      </c>
      <c r="G15" s="24">
        <f ca="1">DATEDIF(Employees!$F15,TODAY(),"Y")</f>
        <v>10</v>
      </c>
      <c r="H15" s="21" t="s">
        <v>76</v>
      </c>
      <c r="I15" s="21" t="s">
        <v>53</v>
      </c>
      <c r="J15" s="21" t="s">
        <v>60</v>
      </c>
      <c r="K15" s="25">
        <v>3404</v>
      </c>
      <c r="L15" s="25">
        <v>40848</v>
      </c>
      <c r="M15" s="21">
        <v>5</v>
      </c>
      <c r="N15" s="21">
        <v>1</v>
      </c>
      <c r="O15" s="21">
        <v>0</v>
      </c>
      <c r="P15" s="21">
        <v>8</v>
      </c>
      <c r="Q15" s="21" t="str">
        <f t="shared" ca="1" si="0"/>
        <v>Not Eligible</v>
      </c>
    </row>
    <row r="16" spans="1:17" ht="15.5" x14ac:dyDescent="0.35">
      <c r="A16" s="20">
        <v>15</v>
      </c>
      <c r="B16" s="21" t="s">
        <v>79</v>
      </c>
      <c r="C16" s="21" t="s">
        <v>80</v>
      </c>
      <c r="D16" s="22" t="str">
        <f>_xlfn.TEXTJOIN(" ",TRUE,Employees_Data[[#This Row],[First Name]],Employees_Data[[#This Row],[Last Name]])</f>
        <v>Bayan Qdw</v>
      </c>
      <c r="E16" s="21" t="s">
        <v>44</v>
      </c>
      <c r="F16" s="23">
        <v>43438</v>
      </c>
      <c r="G16" s="24">
        <f ca="1">DATEDIF(Employees!$F16,TODAY(),"Y")</f>
        <v>7</v>
      </c>
      <c r="H16" s="21" t="s">
        <v>81</v>
      </c>
      <c r="I16" s="21" t="s">
        <v>27</v>
      </c>
      <c r="J16" s="21" t="s">
        <v>54</v>
      </c>
      <c r="K16" s="25">
        <v>889</v>
      </c>
      <c r="L16" s="25">
        <v>10668</v>
      </c>
      <c r="M16" s="21">
        <v>3</v>
      </c>
      <c r="N16" s="21">
        <v>1</v>
      </c>
      <c r="O16" s="21">
        <v>1</v>
      </c>
      <c r="P16" s="21">
        <v>8</v>
      </c>
      <c r="Q16" s="21" t="str">
        <f t="shared" ca="1" si="0"/>
        <v>Not Eligible</v>
      </c>
    </row>
    <row r="17" spans="1:17" ht="15.5" x14ac:dyDescent="0.35">
      <c r="A17" s="20">
        <v>16</v>
      </c>
      <c r="B17" s="21" t="s">
        <v>82</v>
      </c>
      <c r="C17" s="21" t="s">
        <v>57</v>
      </c>
      <c r="D17" s="22" t="str">
        <f>_xlfn.TEXTJOIN(" ",TRUE,Employees_Data[[#This Row],[First Name]],Employees_Data[[#This Row],[Last Name]])</f>
        <v>Alaa Muhamad</v>
      </c>
      <c r="E17" s="21" t="s">
        <v>25</v>
      </c>
      <c r="F17" s="23">
        <v>43745</v>
      </c>
      <c r="G17" s="24">
        <f ca="1">DATEDIF(Employees!$F17,TODAY(),"Y")</f>
        <v>7</v>
      </c>
      <c r="H17" s="21" t="s">
        <v>63</v>
      </c>
      <c r="I17" s="21" t="s">
        <v>27</v>
      </c>
      <c r="J17" s="21" t="s">
        <v>83</v>
      </c>
      <c r="K17" s="25">
        <v>930</v>
      </c>
      <c r="L17" s="25">
        <v>11160</v>
      </c>
      <c r="M17" s="21">
        <v>3</v>
      </c>
      <c r="N17" s="21">
        <v>0</v>
      </c>
      <c r="O17" s="21">
        <v>0</v>
      </c>
      <c r="P17" s="21">
        <v>77</v>
      </c>
      <c r="Q17" s="21" t="str">
        <f t="shared" ca="1" si="0"/>
        <v>Eligible</v>
      </c>
    </row>
    <row r="18" spans="1:17" ht="15.5" x14ac:dyDescent="0.35">
      <c r="A18" s="20">
        <v>17</v>
      </c>
      <c r="B18" s="21" t="s">
        <v>84</v>
      </c>
      <c r="C18" s="21" t="s">
        <v>85</v>
      </c>
      <c r="D18" s="22" t="str">
        <f>_xlfn.TEXTJOIN(" ",TRUE,Employees_Data[[#This Row],[First Name]],Employees_Data[[#This Row],[Last Name]])</f>
        <v>Sandra Aljurmqaniu</v>
      </c>
      <c r="E18" s="21" t="s">
        <v>44</v>
      </c>
      <c r="F18" s="23">
        <v>42517</v>
      </c>
      <c r="G18" s="24">
        <f ca="1">DATEDIF(Employees!$F18,TODAY(),"Y")</f>
        <v>10</v>
      </c>
      <c r="H18" s="21" t="s">
        <v>65</v>
      </c>
      <c r="I18" s="21" t="s">
        <v>40</v>
      </c>
      <c r="J18" s="21" t="s">
        <v>29</v>
      </c>
      <c r="K18" s="25">
        <v>3149</v>
      </c>
      <c r="L18" s="25">
        <v>37788</v>
      </c>
      <c r="M18" s="21">
        <v>4.5</v>
      </c>
      <c r="N18" s="21">
        <v>0</v>
      </c>
      <c r="O18" s="21">
        <v>0</v>
      </c>
      <c r="P18" s="21">
        <v>93</v>
      </c>
      <c r="Q18" s="21" t="str">
        <f t="shared" ca="1" si="0"/>
        <v>Eligible</v>
      </c>
    </row>
    <row r="19" spans="1:17" ht="15.5" x14ac:dyDescent="0.35">
      <c r="A19" s="20">
        <v>18</v>
      </c>
      <c r="B19" s="21" t="s">
        <v>31</v>
      </c>
      <c r="C19" s="21" t="s">
        <v>86</v>
      </c>
      <c r="D19" s="22" t="str">
        <f>_xlfn.TEXTJOIN(" ",TRUE,Employees_Data[[#This Row],[First Name]],Employees_Data[[#This Row],[Last Name]])</f>
        <v>Farahad Husayn</v>
      </c>
      <c r="E19" s="21" t="s">
        <v>25</v>
      </c>
      <c r="F19" s="23">
        <v>43232</v>
      </c>
      <c r="G19" s="24">
        <f ca="1">DATEDIF(Employees!$F19,TODAY(),"Y")</f>
        <v>8</v>
      </c>
      <c r="H19" s="21" t="s">
        <v>26</v>
      </c>
      <c r="I19" s="21" t="s">
        <v>53</v>
      </c>
      <c r="J19" s="21" t="s">
        <v>29</v>
      </c>
      <c r="K19" s="25">
        <v>1295</v>
      </c>
      <c r="L19" s="25">
        <v>15540</v>
      </c>
      <c r="M19" s="21">
        <v>3</v>
      </c>
      <c r="N19" s="21">
        <v>4</v>
      </c>
      <c r="O19" s="21">
        <v>0</v>
      </c>
      <c r="P19" s="21">
        <v>153</v>
      </c>
      <c r="Q19" s="21" t="str">
        <f t="shared" ca="1" si="0"/>
        <v>Eligible</v>
      </c>
    </row>
    <row r="20" spans="1:17" ht="15.5" x14ac:dyDescent="0.35">
      <c r="A20" s="20">
        <v>19</v>
      </c>
      <c r="B20" s="21" t="s">
        <v>87</v>
      </c>
      <c r="C20" s="21" t="s">
        <v>88</v>
      </c>
      <c r="D20" s="22" t="str">
        <f>_xlfn.TEXTJOIN(" ",TRUE,Employees_Data[[#This Row],[First Name]],Employees_Data[[#This Row],[Last Name]])</f>
        <v>Ahed Salim</v>
      </c>
      <c r="E20" s="21" t="s">
        <v>44</v>
      </c>
      <c r="F20" s="23">
        <v>43214</v>
      </c>
      <c r="G20" s="24">
        <f ca="1">DATEDIF(Employees!$F20,TODAY(),"Y")</f>
        <v>8</v>
      </c>
      <c r="H20" s="21" t="s">
        <v>26</v>
      </c>
      <c r="I20" s="21" t="s">
        <v>53</v>
      </c>
      <c r="J20" s="21" t="s">
        <v>83</v>
      </c>
      <c r="K20" s="25">
        <v>2162</v>
      </c>
      <c r="L20" s="25">
        <v>25944</v>
      </c>
      <c r="M20" s="21">
        <v>3</v>
      </c>
      <c r="N20" s="21">
        <v>0</v>
      </c>
      <c r="O20" s="21">
        <v>0</v>
      </c>
      <c r="P20" s="21">
        <v>8</v>
      </c>
      <c r="Q20" s="21" t="str">
        <f t="shared" ca="1" si="0"/>
        <v>Not Eligible</v>
      </c>
    </row>
    <row r="21" spans="1:17" ht="15.5" x14ac:dyDescent="0.35">
      <c r="A21" s="20">
        <v>20</v>
      </c>
      <c r="B21" s="21" t="s">
        <v>89</v>
      </c>
      <c r="C21" s="21" t="s">
        <v>90</v>
      </c>
      <c r="D21" s="22" t="str">
        <f>_xlfn.TEXTJOIN(" ",TRUE,Employees_Data[[#This Row],[First Name]],Employees_Data[[#This Row],[Last Name]])</f>
        <v>Ayham Tutwnji</v>
      </c>
      <c r="E21" s="21" t="s">
        <v>25</v>
      </c>
      <c r="F21" s="23">
        <v>43740</v>
      </c>
      <c r="G21" s="24">
        <f ca="1">DATEDIF(Employees!$F21,TODAY(),"Y")</f>
        <v>7</v>
      </c>
      <c r="H21" s="21" t="s">
        <v>59</v>
      </c>
      <c r="I21" s="21" t="s">
        <v>53</v>
      </c>
      <c r="J21" s="21" t="s">
        <v>29</v>
      </c>
      <c r="K21" s="25">
        <v>2180</v>
      </c>
      <c r="L21" s="25">
        <v>26160</v>
      </c>
      <c r="M21" s="21">
        <v>2</v>
      </c>
      <c r="N21" s="21">
        <v>6</v>
      </c>
      <c r="O21" s="21">
        <v>0</v>
      </c>
      <c r="P21" s="21">
        <v>10</v>
      </c>
      <c r="Q21" s="21" t="str">
        <f t="shared" ca="1" si="0"/>
        <v>Not Eligible</v>
      </c>
    </row>
    <row r="22" spans="1:17" ht="15.5" x14ac:dyDescent="0.35">
      <c r="A22" s="20">
        <v>21</v>
      </c>
      <c r="B22" s="21" t="s">
        <v>91</v>
      </c>
      <c r="C22" s="21" t="s">
        <v>92</v>
      </c>
      <c r="D22" s="22" t="str">
        <f>_xlfn.TEXTJOIN(" ",TRUE,Employees_Data[[#This Row],[First Name]],Employees_Data[[#This Row],[Last Name]])</f>
        <v>Samir Alsafdi</v>
      </c>
      <c r="E22" s="21" t="s">
        <v>25</v>
      </c>
      <c r="F22" s="23">
        <v>44168</v>
      </c>
      <c r="G22" s="24">
        <f ca="1">DATEDIF(Employees!$F22,TODAY(),"Y")</f>
        <v>5</v>
      </c>
      <c r="H22" s="21" t="s">
        <v>65</v>
      </c>
      <c r="I22" s="21" t="s">
        <v>27</v>
      </c>
      <c r="J22" s="21" t="s">
        <v>54</v>
      </c>
      <c r="K22" s="25">
        <v>1475</v>
      </c>
      <c r="L22" s="25">
        <v>17700</v>
      </c>
      <c r="M22" s="21">
        <v>5</v>
      </c>
      <c r="N22" s="21">
        <v>0</v>
      </c>
      <c r="O22" s="21">
        <v>0</v>
      </c>
      <c r="P22" s="21">
        <v>98</v>
      </c>
      <c r="Q22" s="21" t="str">
        <f t="shared" ca="1" si="0"/>
        <v>Eligible</v>
      </c>
    </row>
    <row r="23" spans="1:17" ht="15.5" x14ac:dyDescent="0.35">
      <c r="A23" s="20">
        <v>22</v>
      </c>
      <c r="B23" s="21" t="s">
        <v>93</v>
      </c>
      <c r="C23" s="21" t="s">
        <v>94</v>
      </c>
      <c r="D23" s="22" t="str">
        <f>_xlfn.TEXTJOIN(" ",TRUE,Employees_Data[[#This Row],[First Name]],Employees_Data[[#This Row],[Last Name]])</f>
        <v>Bilal Jalal</v>
      </c>
      <c r="E23" s="21" t="s">
        <v>25</v>
      </c>
      <c r="F23" s="23">
        <v>43473</v>
      </c>
      <c r="G23" s="24">
        <f ca="1">DATEDIF(Employees!$F23,TODAY(),"Y")</f>
        <v>7</v>
      </c>
      <c r="H23" s="21" t="s">
        <v>95</v>
      </c>
      <c r="I23" s="21" t="s">
        <v>27</v>
      </c>
      <c r="J23" s="21" t="s">
        <v>54</v>
      </c>
      <c r="K23" s="25">
        <v>1290</v>
      </c>
      <c r="L23" s="25">
        <v>15480</v>
      </c>
      <c r="M23" s="21">
        <v>3</v>
      </c>
      <c r="N23" s="21">
        <v>4</v>
      </c>
      <c r="O23" s="21">
        <v>0</v>
      </c>
      <c r="P23" s="21">
        <v>109</v>
      </c>
      <c r="Q23" s="21" t="str">
        <f t="shared" ca="1" si="0"/>
        <v>Eligible</v>
      </c>
    </row>
    <row r="24" spans="1:17" ht="15.5" x14ac:dyDescent="0.35">
      <c r="A24" s="20">
        <v>23</v>
      </c>
      <c r="B24" s="21" t="s">
        <v>96</v>
      </c>
      <c r="C24" s="21" t="s">
        <v>97</v>
      </c>
      <c r="D24" s="22" t="str">
        <f>_xlfn.TEXTJOIN(" ",TRUE,Employees_Data[[#This Row],[First Name]],Employees_Data[[#This Row],[Last Name]])</f>
        <v>Riad Sahalul</v>
      </c>
      <c r="E24" s="21" t="s">
        <v>25</v>
      </c>
      <c r="F24" s="23">
        <v>43783</v>
      </c>
      <c r="G24" s="24">
        <f ca="1">DATEDIF(Employees!$F24,TODAY(),"Y")</f>
        <v>6</v>
      </c>
      <c r="H24" s="21" t="s">
        <v>98</v>
      </c>
      <c r="I24" s="21" t="s">
        <v>40</v>
      </c>
      <c r="J24" s="21" t="s">
        <v>54</v>
      </c>
      <c r="K24" s="25">
        <v>1764</v>
      </c>
      <c r="L24" s="25">
        <v>21168</v>
      </c>
      <c r="M24" s="21">
        <v>3</v>
      </c>
      <c r="N24" s="21">
        <v>0</v>
      </c>
      <c r="O24" s="21">
        <v>0</v>
      </c>
      <c r="P24" s="21">
        <v>111</v>
      </c>
      <c r="Q24" s="21" t="str">
        <f t="shared" ca="1" si="0"/>
        <v>Eligible</v>
      </c>
    </row>
    <row r="25" spans="1:17" ht="15.5" x14ac:dyDescent="0.35">
      <c r="A25" s="20">
        <v>24</v>
      </c>
      <c r="B25" s="21" t="s">
        <v>55</v>
      </c>
      <c r="C25" s="21" t="s">
        <v>55</v>
      </c>
      <c r="D25" s="22" t="str">
        <f>_xlfn.TEXTJOIN(" ",TRUE,Employees_Data[[#This Row],[First Name]],Employees_Data[[#This Row],[Last Name]])</f>
        <v>Ahmad Ahmad</v>
      </c>
      <c r="E25" s="21" t="s">
        <v>25</v>
      </c>
      <c r="F25" s="23">
        <v>43755</v>
      </c>
      <c r="G25" s="24">
        <f ca="1">DATEDIF(Employees!$F25,TODAY(),"Y")</f>
        <v>7</v>
      </c>
      <c r="H25" s="21" t="s">
        <v>99</v>
      </c>
      <c r="I25" s="21" t="s">
        <v>40</v>
      </c>
      <c r="J25" s="21" t="s">
        <v>29</v>
      </c>
      <c r="K25" s="25">
        <v>2682</v>
      </c>
      <c r="L25" s="25">
        <v>32184</v>
      </c>
      <c r="M25" s="21">
        <v>4.5</v>
      </c>
      <c r="N25" s="21">
        <v>1</v>
      </c>
      <c r="O25" s="21">
        <v>0</v>
      </c>
      <c r="P25" s="21">
        <v>32</v>
      </c>
      <c r="Q25" s="21" t="str">
        <f t="shared" ca="1" si="0"/>
        <v>Not Eligible</v>
      </c>
    </row>
    <row r="26" spans="1:17" ht="15.5" x14ac:dyDescent="0.35">
      <c r="A26" s="20">
        <v>25</v>
      </c>
      <c r="B26" s="21" t="s">
        <v>57</v>
      </c>
      <c r="C26" s="21" t="s">
        <v>100</v>
      </c>
      <c r="D26" s="22" t="str">
        <f>_xlfn.TEXTJOIN(" ",TRUE,Employees_Data[[#This Row],[First Name]],Employees_Data[[#This Row],[Last Name]])</f>
        <v>Muhamad Altarah</v>
      </c>
      <c r="E26" s="21" t="s">
        <v>25</v>
      </c>
      <c r="F26" s="23">
        <v>44178</v>
      </c>
      <c r="G26" s="24">
        <f ca="1">DATEDIF(Employees!$F26,TODAY(),"Y")</f>
        <v>5</v>
      </c>
      <c r="H26" s="21" t="s">
        <v>73</v>
      </c>
      <c r="I26" s="21" t="s">
        <v>27</v>
      </c>
      <c r="J26" s="21" t="s">
        <v>60</v>
      </c>
      <c r="K26" s="25">
        <v>3044</v>
      </c>
      <c r="L26" s="25">
        <v>36528</v>
      </c>
      <c r="M26" s="21">
        <v>3</v>
      </c>
      <c r="N26" s="21">
        <v>6</v>
      </c>
      <c r="O26" s="21">
        <v>0</v>
      </c>
      <c r="P26" s="21">
        <v>94</v>
      </c>
      <c r="Q26" s="21" t="str">
        <f t="shared" ca="1" si="0"/>
        <v>Eligible</v>
      </c>
    </row>
    <row r="27" spans="1:17" ht="15.5" x14ac:dyDescent="0.35">
      <c r="A27" s="20">
        <v>26</v>
      </c>
      <c r="B27" s="21" t="s">
        <v>101</v>
      </c>
      <c r="C27" s="21" t="s">
        <v>102</v>
      </c>
      <c r="D27" s="22" t="str">
        <f>_xlfn.TEXTJOIN(" ",TRUE,Employees_Data[[#This Row],[First Name]],Employees_Data[[#This Row],[Last Name]])</f>
        <v>Lwna Abu</v>
      </c>
      <c r="E27" s="21" t="s">
        <v>44</v>
      </c>
      <c r="F27" s="23">
        <v>44045</v>
      </c>
      <c r="G27" s="24">
        <f ca="1">DATEDIF(Employees!$F27,TODAY(),"Y")</f>
        <v>6</v>
      </c>
      <c r="H27" s="21" t="s">
        <v>59</v>
      </c>
      <c r="I27" s="21" t="s">
        <v>27</v>
      </c>
      <c r="J27" s="21" t="s">
        <v>54</v>
      </c>
      <c r="K27" s="25">
        <v>890</v>
      </c>
      <c r="L27" s="25">
        <v>10680</v>
      </c>
      <c r="M27" s="21">
        <v>4.5</v>
      </c>
      <c r="N27" s="21">
        <v>0</v>
      </c>
      <c r="O27" s="21">
        <v>0</v>
      </c>
      <c r="P27" s="21">
        <v>13</v>
      </c>
      <c r="Q27" s="21" t="str">
        <f t="shared" ca="1" si="0"/>
        <v>Not Eligible</v>
      </c>
    </row>
    <row r="28" spans="1:17" ht="15.5" x14ac:dyDescent="0.35">
      <c r="A28" s="20">
        <v>27</v>
      </c>
      <c r="B28" s="21" t="s">
        <v>94</v>
      </c>
      <c r="C28" s="21" t="s">
        <v>103</v>
      </c>
      <c r="D28" s="22" t="str">
        <f>_xlfn.TEXTJOIN(" ",TRUE,Employees_Data[[#This Row],[First Name]],Employees_Data[[#This Row],[Last Name]])</f>
        <v>Jalal Almuluhi</v>
      </c>
      <c r="E28" s="21" t="s">
        <v>25</v>
      </c>
      <c r="F28" s="23">
        <v>43437</v>
      </c>
      <c r="G28" s="24">
        <f ca="1">DATEDIF(Employees!$F28,TODAY(),"Y")</f>
        <v>7</v>
      </c>
      <c r="H28" s="21" t="s">
        <v>26</v>
      </c>
      <c r="I28" s="21" t="s">
        <v>27</v>
      </c>
      <c r="J28" s="21" t="s">
        <v>29</v>
      </c>
      <c r="K28" s="25">
        <v>2207</v>
      </c>
      <c r="L28" s="25">
        <v>26484</v>
      </c>
      <c r="M28" s="21">
        <v>5</v>
      </c>
      <c r="N28" s="21">
        <v>0</v>
      </c>
      <c r="O28" s="21">
        <v>0</v>
      </c>
      <c r="P28" s="21">
        <v>70</v>
      </c>
      <c r="Q28" s="21" t="str">
        <f t="shared" ca="1" si="0"/>
        <v>Eligible</v>
      </c>
    </row>
    <row r="29" spans="1:17" ht="15.5" x14ac:dyDescent="0.35">
      <c r="A29" s="20">
        <v>28</v>
      </c>
      <c r="B29" s="21" t="s">
        <v>104</v>
      </c>
      <c r="C29" s="21" t="s">
        <v>105</v>
      </c>
      <c r="D29" s="22" t="str">
        <f>_xlfn.TEXTJOIN(" ",TRUE,Employees_Data[[#This Row],[First Name]],Employees_Data[[#This Row],[Last Name]])</f>
        <v>Rana Mius</v>
      </c>
      <c r="E29" s="21" t="s">
        <v>44</v>
      </c>
      <c r="F29" s="23">
        <v>43530</v>
      </c>
      <c r="G29" s="24">
        <f ca="1">DATEDIF(Employees!$F29,TODAY(),"Y")</f>
        <v>7</v>
      </c>
      <c r="H29" s="21" t="s">
        <v>52</v>
      </c>
      <c r="I29" s="21" t="s">
        <v>40</v>
      </c>
      <c r="J29" s="21" t="s">
        <v>29</v>
      </c>
      <c r="K29" s="25">
        <v>2136</v>
      </c>
      <c r="L29" s="25">
        <v>25632</v>
      </c>
      <c r="M29" s="21">
        <v>4.5</v>
      </c>
      <c r="N29" s="21">
        <v>1</v>
      </c>
      <c r="O29" s="21">
        <v>0</v>
      </c>
      <c r="P29" s="21">
        <v>9</v>
      </c>
      <c r="Q29" s="21" t="str">
        <f t="shared" ca="1" si="0"/>
        <v>Not Eligible</v>
      </c>
    </row>
    <row r="30" spans="1:17" ht="15.5" x14ac:dyDescent="0.35">
      <c r="A30" s="20">
        <v>29</v>
      </c>
      <c r="B30" s="21" t="s">
        <v>106</v>
      </c>
      <c r="C30" s="21" t="s">
        <v>107</v>
      </c>
      <c r="D30" s="22" t="str">
        <f>_xlfn.TEXTJOIN(" ",TRUE,Employees_Data[[#This Row],[First Name]],Employees_Data[[#This Row],[Last Name]])</f>
        <v>Lina Aljabaan</v>
      </c>
      <c r="E30" s="21" t="s">
        <v>44</v>
      </c>
      <c r="F30" s="23">
        <v>43815</v>
      </c>
      <c r="G30" s="24">
        <f ca="1">DATEDIF(Employees!$F30,TODAY(),"Y")</f>
        <v>6</v>
      </c>
      <c r="H30" s="21" t="s">
        <v>26</v>
      </c>
      <c r="I30" s="21" t="s">
        <v>27</v>
      </c>
      <c r="J30" s="21" t="s">
        <v>54</v>
      </c>
      <c r="K30" s="25">
        <v>1161</v>
      </c>
      <c r="L30" s="25">
        <v>13932</v>
      </c>
      <c r="M30" s="21">
        <v>5</v>
      </c>
      <c r="N30" s="21">
        <v>0</v>
      </c>
      <c r="O30" s="21">
        <v>1</v>
      </c>
      <c r="P30" s="21">
        <v>97</v>
      </c>
      <c r="Q30" s="21" t="str">
        <f t="shared" ca="1" si="0"/>
        <v>Eligible</v>
      </c>
    </row>
    <row r="31" spans="1:17" ht="15.5" x14ac:dyDescent="0.35">
      <c r="A31" s="20">
        <v>30</v>
      </c>
      <c r="B31" s="21" t="s">
        <v>108</v>
      </c>
      <c r="C31" s="21" t="s">
        <v>109</v>
      </c>
      <c r="D31" s="22" t="str">
        <f>_xlfn.TEXTJOIN(" ",TRUE,Employees_Data[[#This Row],[First Name]],Employees_Data[[#This Row],[Last Name]])</f>
        <v>Rami Shanan</v>
      </c>
      <c r="E31" s="21" t="s">
        <v>25</v>
      </c>
      <c r="F31" s="23">
        <v>43690</v>
      </c>
      <c r="G31" s="24">
        <f ca="1">DATEDIF(Employees!$F31,TODAY(),"Y")</f>
        <v>7</v>
      </c>
      <c r="H31" s="21" t="s">
        <v>110</v>
      </c>
      <c r="I31" s="21" t="s">
        <v>53</v>
      </c>
      <c r="J31" s="21" t="s">
        <v>29</v>
      </c>
      <c r="K31" s="25">
        <v>830</v>
      </c>
      <c r="L31" s="25">
        <v>9960</v>
      </c>
      <c r="M31" s="21">
        <v>5</v>
      </c>
      <c r="N31" s="21">
        <v>0</v>
      </c>
      <c r="O31" s="21">
        <v>0</v>
      </c>
      <c r="P31" s="21">
        <v>71</v>
      </c>
      <c r="Q31" s="21" t="str">
        <f t="shared" ca="1" si="0"/>
        <v>Eligible</v>
      </c>
    </row>
    <row r="32" spans="1:17" ht="15.5" x14ac:dyDescent="0.35">
      <c r="A32" s="20">
        <v>31</v>
      </c>
      <c r="B32" s="21" t="s">
        <v>111</v>
      </c>
      <c r="C32" s="21" t="s">
        <v>112</v>
      </c>
      <c r="D32" s="22" t="str">
        <f>_xlfn.TEXTJOIN(" ",TRUE,Employees_Data[[#This Row],[First Name]],Employees_Data[[#This Row],[Last Name]])</f>
        <v>Eala Alhaj</v>
      </c>
      <c r="E32" s="21" t="s">
        <v>44</v>
      </c>
      <c r="F32" s="23">
        <v>43991</v>
      </c>
      <c r="G32" s="24">
        <f ca="1">DATEDIF(Employees!$F32,TODAY(),"Y")</f>
        <v>6</v>
      </c>
      <c r="H32" s="21" t="s">
        <v>99</v>
      </c>
      <c r="I32" s="21" t="s">
        <v>40</v>
      </c>
      <c r="J32" s="21" t="s">
        <v>29</v>
      </c>
      <c r="K32" s="25">
        <v>2977</v>
      </c>
      <c r="L32" s="25">
        <v>35724</v>
      </c>
      <c r="M32" s="21">
        <v>5</v>
      </c>
      <c r="N32" s="21">
        <v>0</v>
      </c>
      <c r="O32" s="21">
        <v>0</v>
      </c>
      <c r="P32" s="21">
        <v>100</v>
      </c>
      <c r="Q32" s="21" t="str">
        <f t="shared" ca="1" si="0"/>
        <v>Eligible</v>
      </c>
    </row>
    <row r="33" spans="1:17" ht="15.5" x14ac:dyDescent="0.35">
      <c r="A33" s="20">
        <v>32</v>
      </c>
      <c r="B33" s="21" t="s">
        <v>113</v>
      </c>
      <c r="C33" s="21" t="s">
        <v>114</v>
      </c>
      <c r="D33" s="22" t="str">
        <f>_xlfn.TEXTJOIN(" ",TRUE,Employees_Data[[#This Row],[First Name]],Employees_Data[[#This Row],[Last Name]])</f>
        <v>Ghalib Zakianiin</v>
      </c>
      <c r="E33" s="21" t="s">
        <v>25</v>
      </c>
      <c r="F33" s="23">
        <v>43604</v>
      </c>
      <c r="G33" s="24">
        <f ca="1">DATEDIF(Employees!$F33,TODAY(),"Y")</f>
        <v>7</v>
      </c>
      <c r="H33" s="21" t="s">
        <v>115</v>
      </c>
      <c r="I33" s="21" t="s">
        <v>71</v>
      </c>
      <c r="J33" s="21" t="s">
        <v>60</v>
      </c>
      <c r="K33" s="25">
        <v>3151</v>
      </c>
      <c r="L33" s="25">
        <v>37812</v>
      </c>
      <c r="M33" s="21">
        <v>3</v>
      </c>
      <c r="N33" s="21">
        <v>0</v>
      </c>
      <c r="O33" s="21">
        <v>5</v>
      </c>
      <c r="P33" s="21">
        <v>48</v>
      </c>
      <c r="Q33" s="21" t="str">
        <f t="shared" ca="1" si="0"/>
        <v>Not Eligible</v>
      </c>
    </row>
    <row r="34" spans="1:17" ht="15.5" x14ac:dyDescent="0.35">
      <c r="A34" s="20">
        <v>33</v>
      </c>
      <c r="B34" s="21" t="s">
        <v>57</v>
      </c>
      <c r="C34" s="21" t="s">
        <v>116</v>
      </c>
      <c r="D34" s="22" t="str">
        <f>_xlfn.TEXTJOIN(" ",TRUE,Employees_Data[[#This Row],[First Name]],Employees_Data[[#This Row],[Last Name]])</f>
        <v>Muhamad Eurul</v>
      </c>
      <c r="E34" s="21" t="s">
        <v>25</v>
      </c>
      <c r="F34" s="23">
        <v>42858</v>
      </c>
      <c r="G34" s="24">
        <f ca="1">DATEDIF(Employees!$F34,TODAY(),"Y")</f>
        <v>9</v>
      </c>
      <c r="H34" s="21" t="s">
        <v>99</v>
      </c>
      <c r="I34" s="21" t="s">
        <v>27</v>
      </c>
      <c r="J34" s="21" t="s">
        <v>60</v>
      </c>
      <c r="K34" s="25">
        <v>1551</v>
      </c>
      <c r="L34" s="25">
        <v>18612</v>
      </c>
      <c r="M34" s="21">
        <v>1</v>
      </c>
      <c r="N34" s="21">
        <v>0</v>
      </c>
      <c r="O34" s="21">
        <v>0</v>
      </c>
      <c r="P34" s="21">
        <v>148</v>
      </c>
      <c r="Q34" s="21" t="str">
        <f t="shared" ca="1" si="0"/>
        <v>Not Eligible</v>
      </c>
    </row>
    <row r="35" spans="1:17" ht="15.5" x14ac:dyDescent="0.35">
      <c r="A35" s="20">
        <v>34</v>
      </c>
      <c r="B35" s="21" t="s">
        <v>117</v>
      </c>
      <c r="C35" s="21" t="s">
        <v>118</v>
      </c>
      <c r="D35" s="22" t="str">
        <f>_xlfn.TEXTJOIN(" ",TRUE,Employees_Data[[#This Row],[First Name]],Employees_Data[[#This Row],[Last Name]])</f>
        <v>Eizat Ghanim</v>
      </c>
      <c r="E35" s="21" t="s">
        <v>25</v>
      </c>
      <c r="F35" s="23">
        <v>42907</v>
      </c>
      <c r="G35" s="24">
        <f ca="1">DATEDIF(Employees!$F35,TODAY(),"Y")</f>
        <v>9</v>
      </c>
      <c r="H35" s="21" t="s">
        <v>59</v>
      </c>
      <c r="I35" s="21" t="s">
        <v>53</v>
      </c>
      <c r="J35" s="21" t="s">
        <v>83</v>
      </c>
      <c r="K35" s="25">
        <v>2099</v>
      </c>
      <c r="L35" s="25">
        <v>25188</v>
      </c>
      <c r="M35" s="21">
        <v>1</v>
      </c>
      <c r="N35" s="21">
        <v>0</v>
      </c>
      <c r="O35" s="21">
        <v>0</v>
      </c>
      <c r="P35" s="21">
        <v>5</v>
      </c>
      <c r="Q35" s="21" t="str">
        <f t="shared" ca="1" si="0"/>
        <v>Not Eligible</v>
      </c>
    </row>
    <row r="36" spans="1:17" ht="15.5" x14ac:dyDescent="0.35">
      <c r="A36" s="20">
        <v>35</v>
      </c>
      <c r="B36" s="21" t="s">
        <v>55</v>
      </c>
      <c r="C36" s="21" t="s">
        <v>119</v>
      </c>
      <c r="D36" s="22" t="str">
        <f>_xlfn.TEXTJOIN(" ",TRUE,Employees_Data[[#This Row],[First Name]],Employees_Data[[#This Row],[Last Name]])</f>
        <v>Ahmad Swyd</v>
      </c>
      <c r="E36" s="21" t="s">
        <v>25</v>
      </c>
      <c r="F36" s="23">
        <v>42767</v>
      </c>
      <c r="G36" s="24">
        <f ca="1">DATEDIF(Employees!$F36,TODAY(),"Y")</f>
        <v>9</v>
      </c>
      <c r="H36" s="21" t="s">
        <v>63</v>
      </c>
      <c r="I36" s="21" t="s">
        <v>27</v>
      </c>
      <c r="J36" s="21" t="s">
        <v>60</v>
      </c>
      <c r="K36" s="25">
        <v>808</v>
      </c>
      <c r="L36" s="25">
        <v>9696</v>
      </c>
      <c r="M36" s="21">
        <v>4.5</v>
      </c>
      <c r="N36" s="21">
        <v>1</v>
      </c>
      <c r="O36" s="21">
        <v>0</v>
      </c>
      <c r="P36" s="21">
        <v>7</v>
      </c>
      <c r="Q36" s="21" t="str">
        <f t="shared" ca="1" si="0"/>
        <v>Not Eligible</v>
      </c>
    </row>
    <row r="37" spans="1:17" ht="15.5" x14ac:dyDescent="0.35">
      <c r="A37" s="20">
        <v>36</v>
      </c>
      <c r="B37" s="21" t="s">
        <v>57</v>
      </c>
      <c r="C37" s="21" t="s">
        <v>120</v>
      </c>
      <c r="D37" s="22" t="str">
        <f>_xlfn.TEXTJOIN(" ",TRUE,Employees_Data[[#This Row],[First Name]],Employees_Data[[#This Row],[Last Name]])</f>
        <v>Muhamad Aleass</v>
      </c>
      <c r="E37" s="21" t="s">
        <v>25</v>
      </c>
      <c r="F37" s="23">
        <v>43731</v>
      </c>
      <c r="G37" s="24">
        <f ca="1">DATEDIF(Employees!$F37,TODAY(),"Y")</f>
        <v>7</v>
      </c>
      <c r="H37" s="21" t="s">
        <v>52</v>
      </c>
      <c r="I37" s="21" t="s">
        <v>40</v>
      </c>
      <c r="J37" s="21" t="s">
        <v>54</v>
      </c>
      <c r="K37" s="25">
        <v>984</v>
      </c>
      <c r="L37" s="25">
        <v>11808</v>
      </c>
      <c r="M37" s="21">
        <v>4.5</v>
      </c>
      <c r="N37" s="21">
        <v>6</v>
      </c>
      <c r="O37" s="21">
        <v>0</v>
      </c>
      <c r="P37" s="21">
        <v>37</v>
      </c>
      <c r="Q37" s="21" t="str">
        <f t="shared" ca="1" si="0"/>
        <v>Not Eligible</v>
      </c>
    </row>
    <row r="38" spans="1:17" ht="15.5" x14ac:dyDescent="0.35">
      <c r="A38" s="20">
        <v>37</v>
      </c>
      <c r="B38" s="21" t="s">
        <v>121</v>
      </c>
      <c r="C38" s="21" t="s">
        <v>122</v>
      </c>
      <c r="D38" s="22" t="str">
        <f>_xlfn.TEXTJOIN(" ",TRUE,Employees_Data[[#This Row],[First Name]],Employees_Data[[#This Row],[Last Name]])</f>
        <v>Rima AlAsfar</v>
      </c>
      <c r="E38" s="21" t="s">
        <v>44</v>
      </c>
      <c r="F38" s="23">
        <v>42396</v>
      </c>
      <c r="G38" s="24">
        <f ca="1">DATEDIF(Employees!$F38,TODAY(),"Y")</f>
        <v>10</v>
      </c>
      <c r="H38" s="21" t="s">
        <v>99</v>
      </c>
      <c r="I38" s="21" t="s">
        <v>27</v>
      </c>
      <c r="J38" s="21" t="s">
        <v>60</v>
      </c>
      <c r="K38" s="25">
        <v>1011</v>
      </c>
      <c r="L38" s="25">
        <v>12132</v>
      </c>
      <c r="M38" s="21">
        <v>5</v>
      </c>
      <c r="N38" s="21">
        <v>0</v>
      </c>
      <c r="O38" s="21">
        <v>3</v>
      </c>
      <c r="P38" s="21">
        <v>5</v>
      </c>
      <c r="Q38" s="21" t="str">
        <f t="shared" ca="1" si="0"/>
        <v>Not Eligible</v>
      </c>
    </row>
    <row r="39" spans="1:17" ht="15.5" x14ac:dyDescent="0.35">
      <c r="A39" s="20">
        <v>38</v>
      </c>
      <c r="B39" s="21" t="s">
        <v>123</v>
      </c>
      <c r="C39" s="21" t="s">
        <v>124</v>
      </c>
      <c r="D39" s="22" t="str">
        <f>_xlfn.TEXTJOIN(" ",TRUE,Employees_Data[[#This Row],[First Name]],Employees_Data[[#This Row],[Last Name]])</f>
        <v>Zayn Aleabdyn Zaetar</v>
      </c>
      <c r="E39" s="21" t="s">
        <v>44</v>
      </c>
      <c r="F39" s="23">
        <v>44164</v>
      </c>
      <c r="G39" s="24">
        <f ca="1">DATEDIF(Employees!$F39,TODAY(),"Y")</f>
        <v>5</v>
      </c>
      <c r="H39" s="21" t="s">
        <v>26</v>
      </c>
      <c r="I39" s="21" t="s">
        <v>53</v>
      </c>
      <c r="J39" s="21" t="s">
        <v>29</v>
      </c>
      <c r="K39" s="25">
        <v>2026</v>
      </c>
      <c r="L39" s="25">
        <v>24312</v>
      </c>
      <c r="M39" s="21">
        <v>5</v>
      </c>
      <c r="N39" s="21">
        <v>1</v>
      </c>
      <c r="O39" s="21">
        <v>0</v>
      </c>
      <c r="P39" s="21">
        <v>3</v>
      </c>
      <c r="Q39" s="21" t="str">
        <f t="shared" ca="1" si="0"/>
        <v>Not Eligible</v>
      </c>
    </row>
    <row r="40" spans="1:17" ht="15.5" x14ac:dyDescent="0.35">
      <c r="A40" s="20">
        <v>39</v>
      </c>
      <c r="B40" s="21" t="s">
        <v>125</v>
      </c>
      <c r="C40" s="21" t="s">
        <v>126</v>
      </c>
      <c r="D40" s="22" t="str">
        <f>_xlfn.TEXTJOIN(" ",TRUE,Employees_Data[[#This Row],[First Name]],Employees_Data[[#This Row],[Last Name]])</f>
        <v>Hazim Alshshatim</v>
      </c>
      <c r="E40" s="21" t="s">
        <v>25</v>
      </c>
      <c r="F40" s="23">
        <v>43268</v>
      </c>
      <c r="G40" s="24">
        <f ca="1">DATEDIF(Employees!$F40,TODAY(),"Y")</f>
        <v>8</v>
      </c>
      <c r="H40" s="21" t="s">
        <v>26</v>
      </c>
      <c r="I40" s="21" t="s">
        <v>27</v>
      </c>
      <c r="J40" s="21" t="s">
        <v>54</v>
      </c>
      <c r="K40" s="25">
        <v>2801</v>
      </c>
      <c r="L40" s="25">
        <v>33612</v>
      </c>
      <c r="M40" s="21">
        <v>3</v>
      </c>
      <c r="N40" s="21">
        <v>0</v>
      </c>
      <c r="O40" s="21">
        <v>0</v>
      </c>
      <c r="P40" s="21">
        <v>9</v>
      </c>
      <c r="Q40" s="21" t="str">
        <f t="shared" ca="1" si="0"/>
        <v>Not Eligible</v>
      </c>
    </row>
    <row r="41" spans="1:17" ht="15.5" x14ac:dyDescent="0.35">
      <c r="A41" s="20">
        <v>40</v>
      </c>
      <c r="B41" s="21" t="s">
        <v>127</v>
      </c>
      <c r="C41" s="21" t="s">
        <v>128</v>
      </c>
      <c r="D41" s="22" t="str">
        <f>_xlfn.TEXTJOIN(" ",TRUE,Employees_Data[[#This Row],[First Name]],Employees_Data[[#This Row],[Last Name]])</f>
        <v>Dia Alshahf</v>
      </c>
      <c r="E41" s="21" t="s">
        <v>25</v>
      </c>
      <c r="F41" s="23">
        <v>43722</v>
      </c>
      <c r="G41" s="24">
        <f ca="1">DATEDIF(Employees!$F41,TODAY(),"Y")</f>
        <v>7</v>
      </c>
      <c r="H41" s="21" t="s">
        <v>81</v>
      </c>
      <c r="I41" s="21" t="s">
        <v>53</v>
      </c>
      <c r="J41" s="21" t="s">
        <v>54</v>
      </c>
      <c r="K41" s="25">
        <v>3208</v>
      </c>
      <c r="L41" s="25">
        <v>38496</v>
      </c>
      <c r="M41" s="21">
        <v>3</v>
      </c>
      <c r="N41" s="21">
        <v>0</v>
      </c>
      <c r="O41" s="21">
        <v>0</v>
      </c>
      <c r="P41" s="21">
        <v>0</v>
      </c>
      <c r="Q41" s="21" t="str">
        <f t="shared" ca="1" si="0"/>
        <v>Not Eligible</v>
      </c>
    </row>
    <row r="42" spans="1:17" ht="15.5" x14ac:dyDescent="0.35">
      <c r="A42" s="20">
        <v>41</v>
      </c>
      <c r="B42" s="21" t="s">
        <v>89</v>
      </c>
      <c r="C42" s="21" t="s">
        <v>129</v>
      </c>
      <c r="D42" s="22" t="str">
        <f>_xlfn.TEXTJOIN(" ",TRUE,Employees_Data[[#This Row],[First Name]],Employees_Data[[#This Row],[Last Name]])</f>
        <v>Ayham Almusaa</v>
      </c>
      <c r="E42" s="21" t="s">
        <v>25</v>
      </c>
      <c r="F42" s="23">
        <v>43581</v>
      </c>
      <c r="G42" s="24">
        <f ca="1">DATEDIF(Employees!$F42,TODAY(),"Y")</f>
        <v>7</v>
      </c>
      <c r="H42" s="21" t="s">
        <v>52</v>
      </c>
      <c r="I42" s="21" t="s">
        <v>40</v>
      </c>
      <c r="J42" s="21" t="s">
        <v>83</v>
      </c>
      <c r="K42" s="25">
        <v>2129</v>
      </c>
      <c r="L42" s="25">
        <v>25548</v>
      </c>
      <c r="M42" s="21">
        <v>4.5</v>
      </c>
      <c r="N42" s="21">
        <v>0</v>
      </c>
      <c r="O42" s="21">
        <v>0</v>
      </c>
      <c r="P42" s="21">
        <v>26</v>
      </c>
      <c r="Q42" s="21" t="str">
        <f t="shared" ca="1" si="0"/>
        <v>Not Eligible</v>
      </c>
    </row>
    <row r="43" spans="1:17" ht="15.5" x14ac:dyDescent="0.35">
      <c r="A43" s="20">
        <v>42</v>
      </c>
      <c r="B43" s="21" t="s">
        <v>130</v>
      </c>
      <c r="C43" s="21" t="s">
        <v>131</v>
      </c>
      <c r="D43" s="22" t="str">
        <f>_xlfn.TEXTJOIN(" ",TRUE,Employees_Data[[#This Row],[First Name]],Employees_Data[[#This Row],[Last Name]])</f>
        <v>Abd Allatif Mabrukh</v>
      </c>
      <c r="E43" s="21" t="s">
        <v>25</v>
      </c>
      <c r="F43" s="23">
        <v>44175</v>
      </c>
      <c r="G43" s="24">
        <f ca="1">DATEDIF(Employees!$F43,TODAY(),"Y")</f>
        <v>5</v>
      </c>
      <c r="H43" s="21" t="s">
        <v>76</v>
      </c>
      <c r="I43" s="21" t="s">
        <v>27</v>
      </c>
      <c r="J43" s="21" t="s">
        <v>60</v>
      </c>
      <c r="K43" s="25">
        <v>3344</v>
      </c>
      <c r="L43" s="25">
        <v>40128</v>
      </c>
      <c r="M43" s="21">
        <v>5</v>
      </c>
      <c r="N43" s="21">
        <v>0</v>
      </c>
      <c r="O43" s="21">
        <v>0</v>
      </c>
      <c r="P43" s="21">
        <v>7</v>
      </c>
      <c r="Q43" s="21" t="str">
        <f t="shared" ca="1" si="0"/>
        <v>Not Eligible</v>
      </c>
    </row>
    <row r="44" spans="1:17" ht="15.5" x14ac:dyDescent="0.35">
      <c r="A44" s="20">
        <v>43</v>
      </c>
      <c r="B44" s="21" t="s">
        <v>88</v>
      </c>
      <c r="C44" s="21" t="s">
        <v>132</v>
      </c>
      <c r="D44" s="22" t="str">
        <f>_xlfn.TEXTJOIN(" ",TRUE,Employees_Data[[#This Row],[First Name]],Employees_Data[[#This Row],[Last Name]])</f>
        <v>Salim Abumaeun</v>
      </c>
      <c r="E44" s="21" t="s">
        <v>25</v>
      </c>
      <c r="F44" s="23">
        <v>42916</v>
      </c>
      <c r="G44" s="24">
        <f ca="1">DATEDIF(Employees!$F44,TODAY(),"Y")</f>
        <v>9</v>
      </c>
      <c r="H44" s="21" t="s">
        <v>65</v>
      </c>
      <c r="I44" s="21" t="s">
        <v>53</v>
      </c>
      <c r="J44" s="21" t="s">
        <v>54</v>
      </c>
      <c r="K44" s="25">
        <v>2836</v>
      </c>
      <c r="L44" s="25">
        <v>34032</v>
      </c>
      <c r="M44" s="21">
        <v>5</v>
      </c>
      <c r="N44" s="21">
        <v>0</v>
      </c>
      <c r="O44" s="21">
        <v>0</v>
      </c>
      <c r="P44" s="21">
        <v>14</v>
      </c>
      <c r="Q44" s="21" t="str">
        <f t="shared" ca="1" si="0"/>
        <v>Not Eligible</v>
      </c>
    </row>
    <row r="45" spans="1:17" ht="15.5" x14ac:dyDescent="0.35">
      <c r="A45" s="20">
        <v>44</v>
      </c>
      <c r="B45" s="21" t="s">
        <v>133</v>
      </c>
      <c r="C45" s="21" t="s">
        <v>134</v>
      </c>
      <c r="D45" s="22" t="str">
        <f>_xlfn.TEXTJOIN(" ",TRUE,Employees_Data[[#This Row],[First Name]],Employees_Data[[#This Row],[Last Name]])</f>
        <v>Rafat Hamza</v>
      </c>
      <c r="E45" s="21" t="s">
        <v>25</v>
      </c>
      <c r="F45" s="23">
        <v>43954</v>
      </c>
      <c r="G45" s="24">
        <f ca="1">DATEDIF(Employees!$F45,TODAY(),"Y")</f>
        <v>6</v>
      </c>
      <c r="H45" s="21" t="s">
        <v>26</v>
      </c>
      <c r="I45" s="21" t="s">
        <v>40</v>
      </c>
      <c r="J45" s="21" t="s">
        <v>54</v>
      </c>
      <c r="K45" s="25">
        <v>1960</v>
      </c>
      <c r="L45" s="25">
        <v>23520</v>
      </c>
      <c r="M45" s="21">
        <v>3</v>
      </c>
      <c r="N45" s="21">
        <v>0</v>
      </c>
      <c r="O45" s="21">
        <v>0</v>
      </c>
      <c r="P45" s="21">
        <v>9</v>
      </c>
      <c r="Q45" s="21" t="str">
        <f t="shared" ca="1" si="0"/>
        <v>Not Eligible</v>
      </c>
    </row>
    <row r="46" spans="1:17" ht="15.5" x14ac:dyDescent="0.35">
      <c r="A46" s="20">
        <v>45</v>
      </c>
      <c r="B46" s="21" t="s">
        <v>55</v>
      </c>
      <c r="C46" s="21" t="s">
        <v>135</v>
      </c>
      <c r="D46" s="22" t="str">
        <f>_xlfn.TEXTJOIN(" ",TRUE,Employees_Data[[#This Row],[First Name]],Employees_Data[[#This Row],[Last Name]])</f>
        <v>Ahmad Laylana</v>
      </c>
      <c r="E46" s="21" t="s">
        <v>25</v>
      </c>
      <c r="F46" s="23">
        <v>42701</v>
      </c>
      <c r="G46" s="24">
        <f ca="1">DATEDIF(Employees!$F46,TODAY(),"Y")</f>
        <v>9</v>
      </c>
      <c r="H46" s="21" t="s">
        <v>76</v>
      </c>
      <c r="I46" s="21" t="s">
        <v>27</v>
      </c>
      <c r="J46" s="21" t="s">
        <v>54</v>
      </c>
      <c r="K46" s="25">
        <v>1478</v>
      </c>
      <c r="L46" s="25">
        <v>17736</v>
      </c>
      <c r="M46" s="21">
        <v>4.5</v>
      </c>
      <c r="N46" s="21">
        <v>5</v>
      </c>
      <c r="O46" s="21">
        <v>6</v>
      </c>
      <c r="P46" s="21">
        <v>7</v>
      </c>
      <c r="Q46" s="21" t="str">
        <f t="shared" ca="1" si="0"/>
        <v>Not Eligible</v>
      </c>
    </row>
    <row r="47" spans="1:17" ht="15.5" x14ac:dyDescent="0.35">
      <c r="A47" s="20">
        <v>46</v>
      </c>
      <c r="B47" s="21" t="s">
        <v>136</v>
      </c>
      <c r="C47" s="21" t="s">
        <v>137</v>
      </c>
      <c r="D47" s="22" t="str">
        <f>_xlfn.TEXTJOIN(" ",TRUE,Employees_Data[[#This Row],[First Name]],Employees_Data[[#This Row],[Last Name]])</f>
        <v>Lobnaa Khalifih</v>
      </c>
      <c r="E47" s="21" t="s">
        <v>44</v>
      </c>
      <c r="F47" s="23">
        <v>43817</v>
      </c>
      <c r="G47" s="24">
        <f ca="1">DATEDIF(Employees!$F47,TODAY(),"Y")</f>
        <v>6</v>
      </c>
      <c r="H47" s="21" t="s">
        <v>81</v>
      </c>
      <c r="I47" s="21" t="s">
        <v>53</v>
      </c>
      <c r="J47" s="21" t="s">
        <v>60</v>
      </c>
      <c r="K47" s="25">
        <v>1981</v>
      </c>
      <c r="L47" s="25">
        <v>23772</v>
      </c>
      <c r="M47" s="21">
        <v>2</v>
      </c>
      <c r="N47" s="21">
        <v>0</v>
      </c>
      <c r="O47" s="21">
        <v>0</v>
      </c>
      <c r="P47" s="21">
        <v>3</v>
      </c>
      <c r="Q47" s="21" t="str">
        <f t="shared" ca="1" si="0"/>
        <v>Not Eligible</v>
      </c>
    </row>
    <row r="48" spans="1:17" ht="15.5" x14ac:dyDescent="0.35">
      <c r="A48" s="20">
        <v>47</v>
      </c>
      <c r="B48" s="21" t="s">
        <v>138</v>
      </c>
      <c r="C48" s="21" t="s">
        <v>139</v>
      </c>
      <c r="D48" s="22" t="str">
        <f>_xlfn.TEXTJOIN(" ",TRUE,Employees_Data[[#This Row],[First Name]],Employees_Data[[#This Row],[Last Name]])</f>
        <v>Sami Alkhujih</v>
      </c>
      <c r="E48" s="21" t="s">
        <v>25</v>
      </c>
      <c r="F48" s="23">
        <v>43572</v>
      </c>
      <c r="G48" s="24">
        <f ca="1">DATEDIF(Employees!$F48,TODAY(),"Y")</f>
        <v>7</v>
      </c>
      <c r="H48" s="21" t="s">
        <v>140</v>
      </c>
      <c r="I48" s="21" t="s">
        <v>53</v>
      </c>
      <c r="J48" s="21" t="s">
        <v>54</v>
      </c>
      <c r="K48" s="25">
        <v>2064</v>
      </c>
      <c r="L48" s="25">
        <v>24768</v>
      </c>
      <c r="M48" s="21">
        <v>2</v>
      </c>
      <c r="N48" s="21">
        <v>0</v>
      </c>
      <c r="O48" s="21">
        <v>0</v>
      </c>
      <c r="P48" s="21">
        <v>0</v>
      </c>
      <c r="Q48" s="21" t="str">
        <f t="shared" ca="1" si="0"/>
        <v>Not Eligible</v>
      </c>
    </row>
    <row r="49" spans="1:17" ht="15.5" x14ac:dyDescent="0.35">
      <c r="A49" s="20">
        <v>48</v>
      </c>
      <c r="B49" s="21" t="s">
        <v>141</v>
      </c>
      <c r="C49" s="21" t="s">
        <v>142</v>
      </c>
      <c r="D49" s="22" t="str">
        <f>_xlfn.TEXTJOIN(" ",TRUE,Employees_Data[[#This Row],[First Name]],Employees_Data[[#This Row],[Last Name]])</f>
        <v>Salam Alealbi</v>
      </c>
      <c r="E49" s="21" t="s">
        <v>44</v>
      </c>
      <c r="F49" s="23">
        <v>42438</v>
      </c>
      <c r="G49" s="24">
        <f ca="1">DATEDIF(Employees!$F49,TODAY(),"Y")</f>
        <v>10</v>
      </c>
      <c r="H49" s="21" t="s">
        <v>52</v>
      </c>
      <c r="I49" s="21" t="s">
        <v>27</v>
      </c>
      <c r="J49" s="21" t="s">
        <v>54</v>
      </c>
      <c r="K49" s="25">
        <v>1045</v>
      </c>
      <c r="L49" s="25">
        <v>12540</v>
      </c>
      <c r="M49" s="21">
        <v>5</v>
      </c>
      <c r="N49" s="21">
        <v>1</v>
      </c>
      <c r="O49" s="21">
        <v>0</v>
      </c>
      <c r="P49" s="21">
        <v>3</v>
      </c>
      <c r="Q49" s="21" t="str">
        <f t="shared" ca="1" si="0"/>
        <v>Not Eligible</v>
      </c>
    </row>
    <row r="50" spans="1:17" ht="15.5" x14ac:dyDescent="0.35">
      <c r="A50" s="20">
        <v>49</v>
      </c>
      <c r="B50" s="21" t="s">
        <v>143</v>
      </c>
      <c r="C50" s="21" t="s">
        <v>129</v>
      </c>
      <c r="D50" s="22" t="str">
        <f>_xlfn.TEXTJOIN(" ",TRUE,Employees_Data[[#This Row],[First Name]],Employees_Data[[#This Row],[Last Name]])</f>
        <v>Rim Almusaa</v>
      </c>
      <c r="E50" s="21" t="s">
        <v>44</v>
      </c>
      <c r="F50" s="23">
        <v>43957</v>
      </c>
      <c r="G50" s="24">
        <f ca="1">DATEDIF(Employees!$F50,TODAY(),"Y")</f>
        <v>6</v>
      </c>
      <c r="H50" s="21" t="s">
        <v>52</v>
      </c>
      <c r="I50" s="21" t="s">
        <v>27</v>
      </c>
      <c r="J50" s="21" t="s">
        <v>29</v>
      </c>
      <c r="K50" s="25">
        <v>2022</v>
      </c>
      <c r="L50" s="25">
        <v>24264</v>
      </c>
      <c r="M50" s="21">
        <v>3</v>
      </c>
      <c r="N50" s="21">
        <v>0</v>
      </c>
      <c r="O50" s="21">
        <v>0</v>
      </c>
      <c r="P50" s="21">
        <v>1</v>
      </c>
      <c r="Q50" s="21" t="str">
        <f t="shared" ca="1" si="0"/>
        <v>Not Eligible</v>
      </c>
    </row>
    <row r="51" spans="1:17" ht="15.5" x14ac:dyDescent="0.35">
      <c r="A51" s="20">
        <v>50</v>
      </c>
      <c r="B51" s="21" t="s">
        <v>144</v>
      </c>
      <c r="C51" s="21" t="s">
        <v>145</v>
      </c>
      <c r="D51" s="22" t="str">
        <f>_xlfn.TEXTJOIN(" ",TRUE,Employees_Data[[#This Row],[First Name]],Employees_Data[[#This Row],[Last Name]])</f>
        <v>Ghada Aleasimii</v>
      </c>
      <c r="E51" s="21" t="s">
        <v>44</v>
      </c>
      <c r="F51" s="23">
        <v>43759</v>
      </c>
      <c r="G51" s="24">
        <f ca="1">DATEDIF(Employees!$F51,TODAY(),"Y")</f>
        <v>7</v>
      </c>
      <c r="H51" s="21" t="s">
        <v>99</v>
      </c>
      <c r="I51" s="21" t="s">
        <v>27</v>
      </c>
      <c r="J51" s="21" t="s">
        <v>60</v>
      </c>
      <c r="K51" s="25">
        <v>2383</v>
      </c>
      <c r="L51" s="25">
        <v>28596</v>
      </c>
      <c r="M51" s="21">
        <v>5</v>
      </c>
      <c r="N51" s="21">
        <v>0</v>
      </c>
      <c r="O51" s="21">
        <v>4</v>
      </c>
      <c r="P51" s="21">
        <v>1</v>
      </c>
      <c r="Q51" s="21" t="str">
        <f t="shared" ca="1" si="0"/>
        <v>Not Eligible</v>
      </c>
    </row>
    <row r="52" spans="1:17" ht="15.5" x14ac:dyDescent="0.35">
      <c r="A52" s="20">
        <v>51</v>
      </c>
      <c r="B52" s="21" t="s">
        <v>146</v>
      </c>
      <c r="C52" s="21" t="s">
        <v>57</v>
      </c>
      <c r="D52" s="22" t="str">
        <f>_xlfn.TEXTJOIN(" ",TRUE,Employees_Data[[#This Row],[First Name]],Employees_Data[[#This Row],[Last Name]])</f>
        <v>Abd Alwahhab Muhamad</v>
      </c>
      <c r="E52" s="21" t="s">
        <v>25</v>
      </c>
      <c r="F52" s="23">
        <v>43403</v>
      </c>
      <c r="G52" s="24">
        <f ca="1">DATEDIF(Employees!$F52,TODAY(),"Y")</f>
        <v>7</v>
      </c>
      <c r="H52" s="21" t="s">
        <v>52</v>
      </c>
      <c r="I52" s="21" t="s">
        <v>27</v>
      </c>
      <c r="J52" s="21" t="s">
        <v>29</v>
      </c>
      <c r="K52" s="25">
        <v>1563</v>
      </c>
      <c r="L52" s="25">
        <v>18756</v>
      </c>
      <c r="M52" s="21">
        <v>3</v>
      </c>
      <c r="N52" s="21">
        <v>3</v>
      </c>
      <c r="O52" s="21">
        <v>0</v>
      </c>
      <c r="P52" s="21">
        <v>1</v>
      </c>
      <c r="Q52" s="21" t="str">
        <f t="shared" ca="1" si="0"/>
        <v>Not Eligible</v>
      </c>
    </row>
    <row r="53" spans="1:17" ht="15.5" x14ac:dyDescent="0.35">
      <c r="A53" s="20">
        <v>52</v>
      </c>
      <c r="B53" s="21" t="s">
        <v>147</v>
      </c>
      <c r="C53" s="21" t="s">
        <v>148</v>
      </c>
      <c r="D53" s="22" t="str">
        <f>_xlfn.TEXTJOIN(" ",TRUE,Employees_Data[[#This Row],[First Name]],Employees_Data[[#This Row],[Last Name]])</f>
        <v>Ayman Eubayd</v>
      </c>
      <c r="E53" s="21" t="s">
        <v>25</v>
      </c>
      <c r="F53" s="23">
        <v>43699</v>
      </c>
      <c r="G53" s="24">
        <f ca="1">DATEDIF(Employees!$F53,TODAY(),"Y")</f>
        <v>7</v>
      </c>
      <c r="H53" s="21" t="s">
        <v>63</v>
      </c>
      <c r="I53" s="21" t="s">
        <v>40</v>
      </c>
      <c r="J53" s="21" t="s">
        <v>29</v>
      </c>
      <c r="K53" s="25">
        <v>919</v>
      </c>
      <c r="L53" s="25">
        <v>11028</v>
      </c>
      <c r="M53" s="21">
        <v>2</v>
      </c>
      <c r="N53" s="21">
        <v>0</v>
      </c>
      <c r="O53" s="21">
        <v>0</v>
      </c>
      <c r="P53" s="21">
        <v>10</v>
      </c>
      <c r="Q53" s="21" t="str">
        <f t="shared" ca="1" si="0"/>
        <v>Not Eligible</v>
      </c>
    </row>
    <row r="54" spans="1:17" ht="15.5" x14ac:dyDescent="0.35">
      <c r="A54" s="20">
        <v>53</v>
      </c>
      <c r="B54" s="21" t="s">
        <v>149</v>
      </c>
      <c r="C54" s="21" t="s">
        <v>150</v>
      </c>
      <c r="D54" s="22" t="str">
        <f>_xlfn.TEXTJOIN(" ",TRUE,Employees_Data[[#This Row],[First Name]],Employees_Data[[#This Row],[Last Name]])</f>
        <v>Faras Karim</v>
      </c>
      <c r="E54" s="21" t="s">
        <v>25</v>
      </c>
      <c r="F54" s="23">
        <v>44127</v>
      </c>
      <c r="G54" s="24">
        <f ca="1">DATEDIF(Employees!$F54,TODAY(),"Y")</f>
        <v>6</v>
      </c>
      <c r="H54" s="21" t="s">
        <v>99</v>
      </c>
      <c r="I54" s="21" t="s">
        <v>27</v>
      </c>
      <c r="J54" s="21" t="s">
        <v>54</v>
      </c>
      <c r="K54" s="25">
        <v>988</v>
      </c>
      <c r="L54" s="25">
        <v>11856</v>
      </c>
      <c r="M54" s="21">
        <v>5</v>
      </c>
      <c r="N54" s="21">
        <v>0</v>
      </c>
      <c r="O54" s="21">
        <v>0</v>
      </c>
      <c r="P54" s="21">
        <v>5</v>
      </c>
      <c r="Q54" s="21" t="str">
        <f t="shared" ca="1" si="0"/>
        <v>Not Eligible</v>
      </c>
    </row>
    <row r="55" spans="1:17" ht="15.5" x14ac:dyDescent="0.35">
      <c r="A55" s="20">
        <v>54</v>
      </c>
      <c r="B55" s="21" t="s">
        <v>151</v>
      </c>
      <c r="C55" s="21" t="s">
        <v>152</v>
      </c>
      <c r="D55" s="22" t="str">
        <f>_xlfn.TEXTJOIN(" ",TRUE,Employees_Data[[#This Row],[First Name]],Employees_Data[[#This Row],[Last Name]])</f>
        <v>Shadi Salayk</v>
      </c>
      <c r="E55" s="21" t="s">
        <v>25</v>
      </c>
      <c r="F55" s="23">
        <v>43498</v>
      </c>
      <c r="G55" s="24">
        <f ca="1">DATEDIF(Employees!$F55,TODAY(),"Y")</f>
        <v>7</v>
      </c>
      <c r="H55" s="21" t="s">
        <v>99</v>
      </c>
      <c r="I55" s="21" t="s">
        <v>53</v>
      </c>
      <c r="J55" s="21" t="s">
        <v>60</v>
      </c>
      <c r="K55" s="25">
        <v>2631</v>
      </c>
      <c r="L55" s="25">
        <v>31572</v>
      </c>
      <c r="M55" s="21">
        <v>3</v>
      </c>
      <c r="N55" s="21">
        <v>3</v>
      </c>
      <c r="O55" s="21">
        <v>6</v>
      </c>
      <c r="P55" s="21">
        <v>10</v>
      </c>
      <c r="Q55" s="21" t="str">
        <f t="shared" ca="1" si="0"/>
        <v>Not Eligible</v>
      </c>
    </row>
    <row r="56" spans="1:17" ht="15.5" x14ac:dyDescent="0.35">
      <c r="A56" s="20">
        <v>55</v>
      </c>
      <c r="B56" s="21" t="s">
        <v>153</v>
      </c>
      <c r="C56" s="21" t="s">
        <v>154</v>
      </c>
      <c r="D56" s="22" t="str">
        <f>_xlfn.TEXTJOIN(" ",TRUE,Employees_Data[[#This Row],[First Name]],Employees_Data[[#This Row],[Last Name]])</f>
        <v>Eubay Alttahir</v>
      </c>
      <c r="E56" s="21" t="s">
        <v>25</v>
      </c>
      <c r="F56" s="23">
        <v>42629</v>
      </c>
      <c r="G56" s="24">
        <f ca="1">DATEDIF(Employees!$F56,TODAY(),"Y")</f>
        <v>10</v>
      </c>
      <c r="H56" s="21" t="s">
        <v>26</v>
      </c>
      <c r="I56" s="21" t="s">
        <v>27</v>
      </c>
      <c r="J56" s="21" t="s">
        <v>60</v>
      </c>
      <c r="K56" s="25">
        <v>2368</v>
      </c>
      <c r="L56" s="25">
        <v>28416</v>
      </c>
      <c r="M56" s="21">
        <v>3</v>
      </c>
      <c r="N56" s="21">
        <v>6</v>
      </c>
      <c r="O56" s="21">
        <v>0</v>
      </c>
      <c r="P56" s="21">
        <v>5</v>
      </c>
      <c r="Q56" s="21" t="str">
        <f t="shared" ca="1" si="0"/>
        <v>Not Eligible</v>
      </c>
    </row>
    <row r="57" spans="1:17" ht="15.5" x14ac:dyDescent="0.35">
      <c r="A57" s="20">
        <v>56</v>
      </c>
      <c r="B57" s="21" t="s">
        <v>155</v>
      </c>
      <c r="C57" s="21" t="s">
        <v>156</v>
      </c>
      <c r="D57" s="22" t="str">
        <f>_xlfn.TEXTJOIN(" ",TRUE,Employees_Data[[#This Row],[First Name]],Employees_Data[[#This Row],[Last Name]])</f>
        <v>Abd Alhadi Alzzahir</v>
      </c>
      <c r="E57" s="21" t="s">
        <v>25</v>
      </c>
      <c r="F57" s="23">
        <v>43173</v>
      </c>
      <c r="G57" s="24">
        <f ca="1">DATEDIF(Employees!$F57,TODAY(),"Y")</f>
        <v>8</v>
      </c>
      <c r="H57" s="21" t="s">
        <v>63</v>
      </c>
      <c r="I57" s="21" t="s">
        <v>27</v>
      </c>
      <c r="J57" s="21" t="s">
        <v>83</v>
      </c>
      <c r="K57" s="25">
        <v>2679</v>
      </c>
      <c r="L57" s="25">
        <v>32148</v>
      </c>
      <c r="M57" s="21">
        <v>3</v>
      </c>
      <c r="N57" s="21">
        <v>3</v>
      </c>
      <c r="O57" s="21">
        <v>0</v>
      </c>
      <c r="P57" s="21">
        <v>85</v>
      </c>
      <c r="Q57" s="21" t="str">
        <f t="shared" ca="1" si="0"/>
        <v>Eligible</v>
      </c>
    </row>
    <row r="58" spans="1:17" ht="15.5" x14ac:dyDescent="0.35">
      <c r="A58" s="20">
        <v>57</v>
      </c>
      <c r="B58" s="21" t="s">
        <v>157</v>
      </c>
      <c r="C58" s="21" t="s">
        <v>158</v>
      </c>
      <c r="D58" s="22" t="str">
        <f>_xlfn.TEXTJOIN(" ",TRUE,Employees_Data[[#This Row],[First Name]],Employees_Data[[#This Row],[Last Name]])</f>
        <v>Majdulin Ashbrh</v>
      </c>
      <c r="E58" s="21" t="s">
        <v>44</v>
      </c>
      <c r="F58" s="23">
        <v>43540</v>
      </c>
      <c r="G58" s="24">
        <f ca="1">DATEDIF(Employees!$F58,TODAY(),"Y")</f>
        <v>7</v>
      </c>
      <c r="H58" s="21" t="s">
        <v>65</v>
      </c>
      <c r="I58" s="21" t="s">
        <v>27</v>
      </c>
      <c r="J58" s="21" t="s">
        <v>54</v>
      </c>
      <c r="K58" s="25">
        <v>2423</v>
      </c>
      <c r="L58" s="25">
        <v>29076</v>
      </c>
      <c r="M58" s="21">
        <v>3</v>
      </c>
      <c r="N58" s="21">
        <v>5</v>
      </c>
      <c r="O58" s="21">
        <v>0</v>
      </c>
      <c r="P58" s="21">
        <v>10</v>
      </c>
      <c r="Q58" s="21" t="str">
        <f t="shared" ca="1" si="0"/>
        <v>Not Eligible</v>
      </c>
    </row>
    <row r="59" spans="1:17" ht="15.5" x14ac:dyDescent="0.35">
      <c r="A59" s="20">
        <v>58</v>
      </c>
      <c r="B59" s="21" t="s">
        <v>159</v>
      </c>
      <c r="C59" s="21" t="s">
        <v>160</v>
      </c>
      <c r="D59" s="22" t="str">
        <f>_xlfn.TEXTJOIN(" ",TRUE,Employees_Data[[#This Row],[First Name]],Employees_Data[[#This Row],[Last Name]])</f>
        <v>Aylyn Dahadal</v>
      </c>
      <c r="E59" s="21" t="s">
        <v>44</v>
      </c>
      <c r="F59" s="23">
        <v>43849</v>
      </c>
      <c r="G59" s="24">
        <f ca="1">DATEDIF(Employees!$F59,TODAY(),"Y")</f>
        <v>6</v>
      </c>
      <c r="H59" s="21" t="s">
        <v>99</v>
      </c>
      <c r="I59" s="21" t="s">
        <v>27</v>
      </c>
      <c r="J59" s="21" t="s">
        <v>29</v>
      </c>
      <c r="K59" s="25">
        <v>2115</v>
      </c>
      <c r="L59" s="25">
        <v>25380</v>
      </c>
      <c r="M59" s="21">
        <v>5</v>
      </c>
      <c r="N59" s="21">
        <v>0</v>
      </c>
      <c r="O59" s="21">
        <v>0</v>
      </c>
      <c r="P59" s="21">
        <v>0</v>
      </c>
      <c r="Q59" s="21" t="str">
        <f t="shared" ca="1" si="0"/>
        <v>Not Eligible</v>
      </c>
    </row>
    <row r="60" spans="1:17" ht="15.5" x14ac:dyDescent="0.35">
      <c r="A60" s="20">
        <v>59</v>
      </c>
      <c r="B60" s="21" t="s">
        <v>161</v>
      </c>
      <c r="C60" s="21" t="s">
        <v>162</v>
      </c>
      <c r="D60" s="22" t="str">
        <f>_xlfn.TEXTJOIN(" ",TRUE,Employees_Data[[#This Row],[First Name]],Employees_Data[[#This Row],[Last Name]])</f>
        <v>Tala Tuish</v>
      </c>
      <c r="E60" s="21" t="s">
        <v>44</v>
      </c>
      <c r="F60" s="23">
        <v>43576</v>
      </c>
      <c r="G60" s="24">
        <f ca="1">DATEDIF(Employees!$F60,TODAY(),"Y")</f>
        <v>7</v>
      </c>
      <c r="H60" s="21" t="s">
        <v>59</v>
      </c>
      <c r="I60" s="21" t="s">
        <v>53</v>
      </c>
      <c r="J60" s="21" t="s">
        <v>60</v>
      </c>
      <c r="K60" s="25">
        <v>2969</v>
      </c>
      <c r="L60" s="25">
        <v>35628</v>
      </c>
      <c r="M60" s="21">
        <v>1</v>
      </c>
      <c r="N60" s="21">
        <v>0</v>
      </c>
      <c r="O60" s="21">
        <v>0</v>
      </c>
      <c r="P60" s="21">
        <v>11</v>
      </c>
      <c r="Q60" s="21" t="str">
        <f t="shared" ca="1" si="0"/>
        <v>Not Eligible</v>
      </c>
    </row>
    <row r="61" spans="1:17" ht="15.5" x14ac:dyDescent="0.35">
      <c r="A61" s="20">
        <v>60</v>
      </c>
      <c r="B61" s="21" t="s">
        <v>57</v>
      </c>
      <c r="C61" s="21" t="s">
        <v>163</v>
      </c>
      <c r="D61" s="22" t="str">
        <f>_xlfn.TEXTJOIN(" ",TRUE,Employees_Data[[#This Row],[First Name]],Employees_Data[[#This Row],[Last Name]])</f>
        <v>Muhamad Qarh</v>
      </c>
      <c r="E61" s="21" t="s">
        <v>25</v>
      </c>
      <c r="F61" s="23">
        <v>43665</v>
      </c>
      <c r="G61" s="24">
        <f ca="1">DATEDIF(Employees!$F61,TODAY(),"Y")</f>
        <v>7</v>
      </c>
      <c r="H61" s="21" t="s">
        <v>98</v>
      </c>
      <c r="I61" s="21" t="s">
        <v>27</v>
      </c>
      <c r="J61" s="21" t="s">
        <v>60</v>
      </c>
      <c r="K61" s="25">
        <v>2467</v>
      </c>
      <c r="L61" s="25">
        <v>29604</v>
      </c>
      <c r="M61" s="21">
        <v>3</v>
      </c>
      <c r="N61" s="21">
        <v>0</v>
      </c>
      <c r="O61" s="21">
        <v>0</v>
      </c>
      <c r="P61" s="21">
        <v>7</v>
      </c>
      <c r="Q61" s="21" t="str">
        <f t="shared" ca="1" si="0"/>
        <v>Not Eligible</v>
      </c>
    </row>
    <row r="62" spans="1:17" ht="15.5" x14ac:dyDescent="0.35">
      <c r="A62" s="20">
        <v>61</v>
      </c>
      <c r="B62" s="21" t="s">
        <v>111</v>
      </c>
      <c r="C62" s="21" t="s">
        <v>164</v>
      </c>
      <c r="D62" s="22" t="str">
        <f>_xlfn.TEXTJOIN(" ",TRUE,Employees_Data[[#This Row],[First Name]],Employees_Data[[#This Row],[Last Name]])</f>
        <v>Eala Almisri</v>
      </c>
      <c r="E62" s="21" t="s">
        <v>44</v>
      </c>
      <c r="F62" s="23">
        <v>43582</v>
      </c>
      <c r="G62" s="24">
        <f ca="1">DATEDIF(Employees!$F62,TODAY(),"Y")</f>
        <v>7</v>
      </c>
      <c r="H62" s="21" t="s">
        <v>76</v>
      </c>
      <c r="I62" s="21" t="s">
        <v>27</v>
      </c>
      <c r="J62" s="21" t="s">
        <v>54</v>
      </c>
      <c r="K62" s="25">
        <v>3244</v>
      </c>
      <c r="L62" s="25">
        <v>38928</v>
      </c>
      <c r="M62" s="21">
        <v>3</v>
      </c>
      <c r="N62" s="21">
        <v>0</v>
      </c>
      <c r="O62" s="21">
        <v>0</v>
      </c>
      <c r="P62" s="21">
        <v>10</v>
      </c>
      <c r="Q62" s="21" t="str">
        <f t="shared" ca="1" si="0"/>
        <v>Not Eligible</v>
      </c>
    </row>
    <row r="63" spans="1:17" ht="15.5" x14ac:dyDescent="0.35">
      <c r="A63" s="20">
        <v>62</v>
      </c>
      <c r="B63" s="21" t="s">
        <v>57</v>
      </c>
      <c r="C63" s="21" t="s">
        <v>165</v>
      </c>
      <c r="D63" s="22" t="str">
        <f>_xlfn.TEXTJOIN(" ",TRUE,Employees_Data[[#This Row],[First Name]],Employees_Data[[#This Row],[Last Name]])</f>
        <v>Muhamad Alzaybq</v>
      </c>
      <c r="E63" s="21" t="s">
        <v>25</v>
      </c>
      <c r="F63" s="23">
        <v>43439</v>
      </c>
      <c r="G63" s="24">
        <f ca="1">DATEDIF(Employees!$F63,TODAY(),"Y")</f>
        <v>7</v>
      </c>
      <c r="H63" s="21" t="s">
        <v>166</v>
      </c>
      <c r="I63" s="21" t="s">
        <v>27</v>
      </c>
      <c r="J63" s="21" t="s">
        <v>54</v>
      </c>
      <c r="K63" s="25">
        <v>2132</v>
      </c>
      <c r="L63" s="25">
        <v>25584</v>
      </c>
      <c r="M63" s="21">
        <v>3</v>
      </c>
      <c r="N63" s="21">
        <v>5</v>
      </c>
      <c r="O63" s="21">
        <v>0</v>
      </c>
      <c r="P63" s="21">
        <v>2</v>
      </c>
      <c r="Q63" s="21" t="str">
        <f t="shared" ca="1" si="0"/>
        <v>Not Eligible</v>
      </c>
    </row>
    <row r="64" spans="1:17" ht="15.5" x14ac:dyDescent="0.35">
      <c r="A64" s="20">
        <v>63</v>
      </c>
      <c r="B64" s="21" t="s">
        <v>57</v>
      </c>
      <c r="C64" s="21" t="s">
        <v>167</v>
      </c>
      <c r="D64" s="22" t="str">
        <f>_xlfn.TEXTJOIN(" ",TRUE,Employees_Data[[#This Row],[First Name]],Employees_Data[[#This Row],[Last Name]])</f>
        <v>Muhamad Asamy</v>
      </c>
      <c r="E64" s="21" t="s">
        <v>25</v>
      </c>
      <c r="F64" s="23">
        <v>42819</v>
      </c>
      <c r="G64" s="24">
        <f ca="1">DATEDIF(Employees!$F64,TODAY(),"Y")</f>
        <v>9</v>
      </c>
      <c r="H64" s="21" t="s">
        <v>52</v>
      </c>
      <c r="I64" s="21" t="s">
        <v>53</v>
      </c>
      <c r="J64" s="21" t="s">
        <v>60</v>
      </c>
      <c r="K64" s="25">
        <v>994</v>
      </c>
      <c r="L64" s="25">
        <v>11928</v>
      </c>
      <c r="M64" s="21">
        <v>3</v>
      </c>
      <c r="N64" s="21">
        <v>6</v>
      </c>
      <c r="O64" s="21">
        <v>4</v>
      </c>
      <c r="P64" s="21">
        <v>0</v>
      </c>
      <c r="Q64" s="21" t="str">
        <f t="shared" ca="1" si="0"/>
        <v>Not Eligible</v>
      </c>
    </row>
    <row r="65" spans="1:17" ht="15.5" x14ac:dyDescent="0.35">
      <c r="A65" s="20">
        <v>64</v>
      </c>
      <c r="B65" s="21" t="s">
        <v>55</v>
      </c>
      <c r="C65" s="21" t="s">
        <v>142</v>
      </c>
      <c r="D65" s="22" t="str">
        <f>_xlfn.TEXTJOIN(" ",TRUE,Employees_Data[[#This Row],[First Name]],Employees_Data[[#This Row],[Last Name]])</f>
        <v>Ahmad Alealbi</v>
      </c>
      <c r="E65" s="21" t="s">
        <v>25</v>
      </c>
      <c r="F65" s="23">
        <v>42389</v>
      </c>
      <c r="G65" s="24">
        <f ca="1">DATEDIF(Employees!$F65,TODAY(),"Y")</f>
        <v>10</v>
      </c>
      <c r="H65" s="21" t="s">
        <v>73</v>
      </c>
      <c r="I65" s="21" t="s">
        <v>27</v>
      </c>
      <c r="J65" s="21" t="s">
        <v>60</v>
      </c>
      <c r="K65" s="25">
        <v>2304</v>
      </c>
      <c r="L65" s="25">
        <v>27648</v>
      </c>
      <c r="M65" s="21">
        <v>5</v>
      </c>
      <c r="N65" s="21">
        <v>5</v>
      </c>
      <c r="O65" s="21">
        <v>0</v>
      </c>
      <c r="P65" s="21">
        <v>2</v>
      </c>
      <c r="Q65" s="21" t="str">
        <f t="shared" ca="1" si="0"/>
        <v>Not Eligible</v>
      </c>
    </row>
    <row r="66" spans="1:17" ht="15.5" x14ac:dyDescent="0.35">
      <c r="A66" s="20">
        <v>65</v>
      </c>
      <c r="B66" s="21" t="s">
        <v>168</v>
      </c>
      <c r="C66" s="21" t="s">
        <v>169</v>
      </c>
      <c r="D66" s="22" t="str">
        <f>_xlfn.TEXTJOIN(" ",TRUE,Employees_Data[[#This Row],[First Name]],Employees_Data[[#This Row],[Last Name]])</f>
        <v>Ibrahim Almasri</v>
      </c>
      <c r="E66" s="21" t="s">
        <v>25</v>
      </c>
      <c r="F66" s="23">
        <v>43280</v>
      </c>
      <c r="G66" s="24">
        <f ca="1">DATEDIF(Employees!$F66,TODAY(),"Y")</f>
        <v>8</v>
      </c>
      <c r="H66" s="21" t="s">
        <v>99</v>
      </c>
      <c r="I66" s="21" t="s">
        <v>27</v>
      </c>
      <c r="J66" s="21" t="s">
        <v>54</v>
      </c>
      <c r="K66" s="25">
        <v>1207</v>
      </c>
      <c r="L66" s="25">
        <v>14484</v>
      </c>
      <c r="M66" s="21">
        <v>2</v>
      </c>
      <c r="N66" s="21">
        <v>0</v>
      </c>
      <c r="O66" s="21">
        <v>0</v>
      </c>
      <c r="P66" s="21">
        <v>50</v>
      </c>
      <c r="Q66" s="21" t="str">
        <f t="shared" ca="1" si="0"/>
        <v>Not Eligible</v>
      </c>
    </row>
    <row r="67" spans="1:17" ht="15.5" x14ac:dyDescent="0.35">
      <c r="A67" s="20">
        <v>66</v>
      </c>
      <c r="B67" s="21" t="s">
        <v>170</v>
      </c>
      <c r="C67" s="21" t="s">
        <v>171</v>
      </c>
      <c r="D67" s="22" t="str">
        <f>_xlfn.TEXTJOIN(" ",TRUE,Employees_Data[[#This Row],[First Name]],Employees_Data[[#This Row],[Last Name]])</f>
        <v>Hamdah Alkhalifa</v>
      </c>
      <c r="E67" s="21" t="s">
        <v>25</v>
      </c>
      <c r="F67" s="23">
        <v>43715</v>
      </c>
      <c r="G67" s="24">
        <f ca="1">DATEDIF(Employees!$F67,TODAY(),"Y")</f>
        <v>7</v>
      </c>
      <c r="H67" s="21" t="s">
        <v>52</v>
      </c>
      <c r="I67" s="21" t="s">
        <v>71</v>
      </c>
      <c r="J67" s="21" t="s">
        <v>60</v>
      </c>
      <c r="K67" s="25">
        <v>802</v>
      </c>
      <c r="L67" s="25">
        <v>9624</v>
      </c>
      <c r="M67" s="21">
        <v>4.5</v>
      </c>
      <c r="N67" s="21">
        <v>2</v>
      </c>
      <c r="O67" s="21">
        <v>0</v>
      </c>
      <c r="P67" s="21">
        <v>3</v>
      </c>
      <c r="Q67" s="21" t="str">
        <f t="shared" ca="1" si="0"/>
        <v>Not Eligible</v>
      </c>
    </row>
    <row r="68" spans="1:17" ht="15.5" x14ac:dyDescent="0.35">
      <c r="A68" s="20">
        <v>67</v>
      </c>
      <c r="B68" s="21" t="s">
        <v>57</v>
      </c>
      <c r="C68" s="21" t="s">
        <v>172</v>
      </c>
      <c r="D68" s="22" t="str">
        <f>_xlfn.TEXTJOIN(" ",TRUE,Employees_Data[[#This Row],[First Name]],Employees_Data[[#This Row],[Last Name]])</f>
        <v>Muhamad Jawish</v>
      </c>
      <c r="E68" s="21" t="s">
        <v>25</v>
      </c>
      <c r="F68" s="23">
        <v>43794</v>
      </c>
      <c r="G68" s="24">
        <f ca="1">DATEDIF(Employees!$F68,TODAY(),"Y")</f>
        <v>6</v>
      </c>
      <c r="H68" s="21" t="s">
        <v>81</v>
      </c>
      <c r="I68" s="21" t="s">
        <v>53</v>
      </c>
      <c r="J68" s="21" t="s">
        <v>60</v>
      </c>
      <c r="K68" s="25">
        <v>2065</v>
      </c>
      <c r="L68" s="25">
        <v>24780</v>
      </c>
      <c r="M68" s="21">
        <v>3</v>
      </c>
      <c r="N68" s="21">
        <v>4</v>
      </c>
      <c r="O68" s="21">
        <v>3</v>
      </c>
      <c r="P68" s="21">
        <v>4</v>
      </c>
      <c r="Q68" s="21" t="str">
        <f t="shared" ca="1" si="0"/>
        <v>Not Eligible</v>
      </c>
    </row>
    <row r="69" spans="1:17" ht="15.5" x14ac:dyDescent="0.35">
      <c r="A69" s="20">
        <v>68</v>
      </c>
      <c r="B69" s="21" t="s">
        <v>173</v>
      </c>
      <c r="C69" s="21" t="s">
        <v>174</v>
      </c>
      <c r="D69" s="22" t="str">
        <f>_xlfn.TEXTJOIN(" ",TRUE,Employees_Data[[#This Row],[First Name]],Employees_Data[[#This Row],[Last Name]])</f>
        <v>Muwmin Almudhin</v>
      </c>
      <c r="E69" s="21" t="s">
        <v>25</v>
      </c>
      <c r="F69" s="23">
        <v>44010</v>
      </c>
      <c r="G69" s="24">
        <f ca="1">DATEDIF(Employees!$F69,TODAY(),"Y")</f>
        <v>6</v>
      </c>
      <c r="H69" s="21" t="s">
        <v>73</v>
      </c>
      <c r="I69" s="21" t="s">
        <v>27</v>
      </c>
      <c r="J69" s="21" t="s">
        <v>29</v>
      </c>
      <c r="K69" s="25">
        <v>2882</v>
      </c>
      <c r="L69" s="25">
        <v>34584</v>
      </c>
      <c r="M69" s="21">
        <v>5</v>
      </c>
      <c r="N69" s="21">
        <v>0</v>
      </c>
      <c r="O69" s="21">
        <v>4</v>
      </c>
      <c r="P69" s="21">
        <v>0</v>
      </c>
      <c r="Q69" s="21" t="str">
        <f t="shared" ca="1" si="0"/>
        <v>Not Eligible</v>
      </c>
    </row>
    <row r="70" spans="1:17" ht="15.5" x14ac:dyDescent="0.35">
      <c r="A70" s="20">
        <v>69</v>
      </c>
      <c r="B70" s="21" t="s">
        <v>55</v>
      </c>
      <c r="C70" s="21" t="s">
        <v>175</v>
      </c>
      <c r="D70" s="22" t="str">
        <f>_xlfn.TEXTJOIN(" ",TRUE,Employees_Data[[#This Row],[First Name]],Employees_Data[[#This Row],[Last Name]])</f>
        <v>Ahmad Zayd</v>
      </c>
      <c r="E70" s="21" t="s">
        <v>25</v>
      </c>
      <c r="F70" s="23">
        <v>43268</v>
      </c>
      <c r="G70" s="24">
        <f ca="1">DATEDIF(Employees!$F70,TODAY(),"Y")</f>
        <v>8</v>
      </c>
      <c r="H70" s="21" t="s">
        <v>65</v>
      </c>
      <c r="I70" s="21" t="s">
        <v>27</v>
      </c>
      <c r="J70" s="21" t="s">
        <v>60</v>
      </c>
      <c r="K70" s="25">
        <v>2042</v>
      </c>
      <c r="L70" s="25">
        <v>24504</v>
      </c>
      <c r="M70" s="21">
        <v>5</v>
      </c>
      <c r="N70" s="21">
        <v>0</v>
      </c>
      <c r="O70" s="21">
        <v>3</v>
      </c>
      <c r="P70" s="21">
        <v>64</v>
      </c>
      <c r="Q70" s="21" t="str">
        <f t="shared" ca="1" si="0"/>
        <v>Eligible</v>
      </c>
    </row>
    <row r="71" spans="1:17" ht="15.5" x14ac:dyDescent="0.35">
      <c r="A71" s="20">
        <v>70</v>
      </c>
      <c r="B71" s="21" t="s">
        <v>32</v>
      </c>
      <c r="C71" s="21" t="s">
        <v>176</v>
      </c>
      <c r="D71" s="22" t="str">
        <f>_xlfn.TEXTJOIN(" ",TRUE,Employees_Data[[#This Row],[First Name]],Employees_Data[[#This Row],[Last Name]])</f>
        <v>Layzaan Nabulsi</v>
      </c>
      <c r="E71" s="21" t="s">
        <v>25</v>
      </c>
      <c r="F71" s="23">
        <v>43802</v>
      </c>
      <c r="G71" s="24">
        <f ca="1">DATEDIF(Employees!$F71,TODAY(),"Y")</f>
        <v>6</v>
      </c>
      <c r="H71" s="21" t="s">
        <v>76</v>
      </c>
      <c r="I71" s="21" t="s">
        <v>40</v>
      </c>
      <c r="J71" s="21" t="s">
        <v>29</v>
      </c>
      <c r="K71" s="25">
        <v>2017</v>
      </c>
      <c r="L71" s="25">
        <v>24204</v>
      </c>
      <c r="M71" s="21">
        <v>3</v>
      </c>
      <c r="N71" s="21">
        <v>6</v>
      </c>
      <c r="O71" s="21">
        <v>0</v>
      </c>
      <c r="P71" s="21">
        <v>8</v>
      </c>
      <c r="Q71" s="21" t="str">
        <f t="shared" ca="1" si="0"/>
        <v>Not Eligible</v>
      </c>
    </row>
    <row r="72" spans="1:17" ht="15.5" x14ac:dyDescent="0.35">
      <c r="A72" s="20">
        <v>71</v>
      </c>
      <c r="B72" s="21" t="s">
        <v>177</v>
      </c>
      <c r="C72" s="21" t="s">
        <v>178</v>
      </c>
      <c r="D72" s="22" t="str">
        <f>_xlfn.TEXTJOIN(" ",TRUE,Employees_Data[[#This Row],[First Name]],Employees_Data[[#This Row],[Last Name]])</f>
        <v>Sarih Eammar</v>
      </c>
      <c r="E72" s="21" t="s">
        <v>25</v>
      </c>
      <c r="F72" s="23">
        <v>43284</v>
      </c>
      <c r="G72" s="24">
        <f ca="1">DATEDIF(Employees!$F72,TODAY(),"Y")</f>
        <v>8</v>
      </c>
      <c r="H72" s="21" t="s">
        <v>99</v>
      </c>
      <c r="I72" s="21" t="s">
        <v>71</v>
      </c>
      <c r="J72" s="21" t="s">
        <v>54</v>
      </c>
      <c r="K72" s="25">
        <v>3215</v>
      </c>
      <c r="L72" s="25">
        <v>38580</v>
      </c>
      <c r="M72" s="21">
        <v>2</v>
      </c>
      <c r="N72" s="21">
        <v>5</v>
      </c>
      <c r="O72" s="21">
        <v>0</v>
      </c>
      <c r="P72" s="21">
        <v>2</v>
      </c>
      <c r="Q72" s="21" t="str">
        <f t="shared" ca="1" si="0"/>
        <v>Not Eligible</v>
      </c>
    </row>
    <row r="73" spans="1:17" ht="15.5" x14ac:dyDescent="0.35">
      <c r="A73" s="20">
        <v>72</v>
      </c>
      <c r="B73" s="21" t="s">
        <v>179</v>
      </c>
      <c r="C73" s="21" t="s">
        <v>180</v>
      </c>
      <c r="D73" s="22" t="str">
        <f>_xlfn.TEXTJOIN(" ",TRUE,Employees_Data[[#This Row],[First Name]],Employees_Data[[#This Row],[Last Name]])</f>
        <v>Karam Hutayniun</v>
      </c>
      <c r="E73" s="21" t="s">
        <v>25</v>
      </c>
      <c r="F73" s="23">
        <v>42691</v>
      </c>
      <c r="G73" s="24">
        <f ca="1">DATEDIF(Employees!$F73,TODAY(),"Y")</f>
        <v>9</v>
      </c>
      <c r="H73" s="21" t="s">
        <v>52</v>
      </c>
      <c r="I73" s="21" t="s">
        <v>53</v>
      </c>
      <c r="J73" s="21" t="s">
        <v>60</v>
      </c>
      <c r="K73" s="25">
        <v>2957</v>
      </c>
      <c r="L73" s="25">
        <v>35484</v>
      </c>
      <c r="M73" s="21">
        <v>5</v>
      </c>
      <c r="N73" s="21">
        <v>1</v>
      </c>
      <c r="O73" s="21">
        <v>0</v>
      </c>
      <c r="P73" s="21">
        <v>10</v>
      </c>
      <c r="Q73" s="21" t="str">
        <f t="shared" ca="1" si="0"/>
        <v>Not Eligible</v>
      </c>
    </row>
    <row r="74" spans="1:17" ht="15.5" x14ac:dyDescent="0.35">
      <c r="A74" s="20">
        <v>73</v>
      </c>
      <c r="B74" s="21" t="s">
        <v>181</v>
      </c>
      <c r="C74" s="21" t="s">
        <v>109</v>
      </c>
      <c r="D74" s="22" t="str">
        <f>_xlfn.TEXTJOIN(" ",TRUE,Employees_Data[[#This Row],[First Name]],Employees_Data[[#This Row],[Last Name]])</f>
        <v>Shahad Shanan</v>
      </c>
      <c r="E74" s="21" t="s">
        <v>44</v>
      </c>
      <c r="F74" s="23">
        <v>43740</v>
      </c>
      <c r="G74" s="24">
        <f ca="1">DATEDIF(Employees!$F74,TODAY(),"Y")</f>
        <v>7</v>
      </c>
      <c r="H74" s="21" t="s">
        <v>59</v>
      </c>
      <c r="I74" s="21" t="s">
        <v>71</v>
      </c>
      <c r="J74" s="21" t="s">
        <v>60</v>
      </c>
      <c r="K74" s="25">
        <v>891</v>
      </c>
      <c r="L74" s="25">
        <v>10692</v>
      </c>
      <c r="M74" s="21">
        <v>3</v>
      </c>
      <c r="N74" s="21">
        <v>0</v>
      </c>
      <c r="O74" s="21">
        <v>2</v>
      </c>
      <c r="P74" s="21">
        <v>6</v>
      </c>
      <c r="Q74" s="21" t="str">
        <f t="shared" ca="1" si="0"/>
        <v>Not Eligible</v>
      </c>
    </row>
    <row r="75" spans="1:17" ht="15.5" x14ac:dyDescent="0.35">
      <c r="A75" s="20">
        <v>74</v>
      </c>
      <c r="B75" s="21" t="s">
        <v>182</v>
      </c>
      <c r="C75" s="21" t="s">
        <v>183</v>
      </c>
      <c r="D75" s="22" t="str">
        <f>_xlfn.TEXTJOIN(" ",TRUE,Employees_Data[[#This Row],[First Name]],Employees_Data[[#This Row],[Last Name]])</f>
        <v>Salah Ramadan</v>
      </c>
      <c r="E75" s="21" t="s">
        <v>25</v>
      </c>
      <c r="F75" s="23">
        <v>43339</v>
      </c>
      <c r="G75" s="24">
        <f ca="1">DATEDIF(Employees!$F75,TODAY(),"Y")</f>
        <v>8</v>
      </c>
      <c r="H75" s="21" t="s">
        <v>184</v>
      </c>
      <c r="I75" s="21" t="s">
        <v>53</v>
      </c>
      <c r="J75" s="21" t="s">
        <v>60</v>
      </c>
      <c r="K75" s="25">
        <v>1971</v>
      </c>
      <c r="L75" s="25">
        <v>23652</v>
      </c>
      <c r="M75" s="21">
        <v>4.5</v>
      </c>
      <c r="N75" s="21">
        <v>5</v>
      </c>
      <c r="O75" s="21">
        <v>1</v>
      </c>
      <c r="P75" s="21">
        <v>0</v>
      </c>
      <c r="Q75" s="21" t="str">
        <f t="shared" ca="1" si="0"/>
        <v>Not Eligible</v>
      </c>
    </row>
    <row r="76" spans="1:17" ht="15.5" x14ac:dyDescent="0.35">
      <c r="A76" s="20">
        <v>75</v>
      </c>
      <c r="B76" s="21" t="s">
        <v>138</v>
      </c>
      <c r="C76" s="21" t="s">
        <v>185</v>
      </c>
      <c r="D76" s="22" t="str">
        <f>_xlfn.TEXTJOIN(" ",TRUE,Employees_Data[[#This Row],[First Name]],Employees_Data[[#This Row],[Last Name]])</f>
        <v>Sami Alkhayrat</v>
      </c>
      <c r="E76" s="21" t="s">
        <v>25</v>
      </c>
      <c r="F76" s="23">
        <v>44149</v>
      </c>
      <c r="G76" s="24">
        <f ca="1">DATEDIF(Employees!$F76,TODAY(),"Y")</f>
        <v>5</v>
      </c>
      <c r="H76" s="21" t="s">
        <v>76</v>
      </c>
      <c r="I76" s="21" t="s">
        <v>53</v>
      </c>
      <c r="J76" s="21" t="s">
        <v>29</v>
      </c>
      <c r="K76" s="25">
        <v>2317</v>
      </c>
      <c r="L76" s="25">
        <v>27804</v>
      </c>
      <c r="M76" s="21">
        <v>3</v>
      </c>
      <c r="N76" s="21">
        <v>6</v>
      </c>
      <c r="O76" s="21">
        <v>1</v>
      </c>
      <c r="P76" s="21">
        <v>10</v>
      </c>
      <c r="Q76" s="21" t="str">
        <f t="shared" ca="1" si="0"/>
        <v>Not Eligible</v>
      </c>
    </row>
    <row r="77" spans="1:17" ht="15.5" x14ac:dyDescent="0.35">
      <c r="A77" s="20">
        <v>76</v>
      </c>
      <c r="B77" s="21" t="s">
        <v>186</v>
      </c>
      <c r="C77" s="21" t="s">
        <v>187</v>
      </c>
      <c r="D77" s="22" t="str">
        <f>_xlfn.TEXTJOIN(" ",TRUE,Employees_Data[[#This Row],[First Name]],Employees_Data[[#This Row],[Last Name]])</f>
        <v>Khalid Snan</v>
      </c>
      <c r="E77" s="21" t="s">
        <v>25</v>
      </c>
      <c r="F77" s="23">
        <v>43797</v>
      </c>
      <c r="G77" s="24">
        <f ca="1">DATEDIF(Employees!$F77,TODAY(),"Y")</f>
        <v>6</v>
      </c>
      <c r="H77" s="21" t="s">
        <v>52</v>
      </c>
      <c r="I77" s="21" t="s">
        <v>27</v>
      </c>
      <c r="J77" s="21" t="s">
        <v>83</v>
      </c>
      <c r="K77" s="25">
        <v>1657</v>
      </c>
      <c r="L77" s="25">
        <v>19884</v>
      </c>
      <c r="M77" s="21">
        <v>3</v>
      </c>
      <c r="N77" s="21">
        <v>0</v>
      </c>
      <c r="O77" s="21">
        <v>0</v>
      </c>
      <c r="P77" s="21">
        <v>12</v>
      </c>
      <c r="Q77" s="21" t="str">
        <f t="shared" ca="1" si="0"/>
        <v>Not Eligible</v>
      </c>
    </row>
    <row r="78" spans="1:17" ht="15.5" x14ac:dyDescent="0.35">
      <c r="A78" s="20">
        <v>77</v>
      </c>
      <c r="B78" s="21" t="s">
        <v>141</v>
      </c>
      <c r="C78" s="21" t="s">
        <v>188</v>
      </c>
      <c r="D78" s="22" t="str">
        <f>_xlfn.TEXTJOIN(" ",TRUE,Employees_Data[[#This Row],[First Name]],Employees_Data[[#This Row],[Last Name]])</f>
        <v>Salam Alkhatib</v>
      </c>
      <c r="E78" s="21" t="s">
        <v>25</v>
      </c>
      <c r="F78" s="23">
        <v>43210</v>
      </c>
      <c r="G78" s="24">
        <f ca="1">DATEDIF(Employees!$F78,TODAY(),"Y")</f>
        <v>8</v>
      </c>
      <c r="H78" s="21" t="s">
        <v>52</v>
      </c>
      <c r="I78" s="21" t="s">
        <v>27</v>
      </c>
      <c r="J78" s="21" t="s">
        <v>29</v>
      </c>
      <c r="K78" s="25">
        <v>3053</v>
      </c>
      <c r="L78" s="25">
        <v>36636</v>
      </c>
      <c r="M78" s="21">
        <v>3</v>
      </c>
      <c r="N78" s="21">
        <v>0</v>
      </c>
      <c r="O78" s="21">
        <v>3</v>
      </c>
      <c r="P78" s="21">
        <v>6</v>
      </c>
      <c r="Q78" s="21" t="str">
        <f t="shared" ca="1" si="0"/>
        <v>Not Eligible</v>
      </c>
    </row>
    <row r="79" spans="1:17" ht="15.5" x14ac:dyDescent="0.35">
      <c r="A79" s="20">
        <v>78</v>
      </c>
      <c r="B79" s="21" t="s">
        <v>189</v>
      </c>
      <c r="C79" s="21" t="s">
        <v>190</v>
      </c>
      <c r="D79" s="22" t="str">
        <f>_xlfn.TEXTJOIN(" ",TRUE,Employees_Data[[#This Row],[First Name]],Employees_Data[[#This Row],[Last Name]])</f>
        <v>Darar Alshiyraziu</v>
      </c>
      <c r="E79" s="21" t="s">
        <v>25</v>
      </c>
      <c r="F79" s="23">
        <v>43840</v>
      </c>
      <c r="G79" s="24">
        <f ca="1">DATEDIF(Employees!$F79,TODAY(),"Y")</f>
        <v>6</v>
      </c>
      <c r="H79" s="21" t="s">
        <v>52</v>
      </c>
      <c r="I79" s="21" t="s">
        <v>53</v>
      </c>
      <c r="J79" s="21" t="s">
        <v>29</v>
      </c>
      <c r="K79" s="25">
        <v>1887</v>
      </c>
      <c r="L79" s="25">
        <v>22644</v>
      </c>
      <c r="M79" s="21">
        <v>1</v>
      </c>
      <c r="N79" s="21">
        <v>6</v>
      </c>
      <c r="O79" s="21">
        <v>0</v>
      </c>
      <c r="P79" s="21">
        <v>4</v>
      </c>
      <c r="Q79" s="21" t="str">
        <f t="shared" ca="1" si="0"/>
        <v>Not Eligible</v>
      </c>
    </row>
    <row r="80" spans="1:17" ht="15.5" x14ac:dyDescent="0.35">
      <c r="A80" s="20">
        <v>79</v>
      </c>
      <c r="B80" s="21" t="s">
        <v>191</v>
      </c>
      <c r="C80" s="21" t="s">
        <v>192</v>
      </c>
      <c r="D80" s="22" t="str">
        <f>_xlfn.TEXTJOIN(" ",TRUE,Employees_Data[[#This Row],[First Name]],Employees_Data[[#This Row],[Last Name]])</f>
        <v>Mazin Yusif</v>
      </c>
      <c r="E80" s="21" t="s">
        <v>25</v>
      </c>
      <c r="F80" s="23">
        <v>43411</v>
      </c>
      <c r="G80" s="24">
        <f ca="1">DATEDIF(Employees!$F80,TODAY(),"Y")</f>
        <v>7</v>
      </c>
      <c r="H80" s="21" t="s">
        <v>52</v>
      </c>
      <c r="I80" s="21" t="s">
        <v>53</v>
      </c>
      <c r="J80" s="21" t="s">
        <v>54</v>
      </c>
      <c r="K80" s="25">
        <v>1457</v>
      </c>
      <c r="L80" s="25">
        <v>17484</v>
      </c>
      <c r="M80" s="21">
        <v>4.5</v>
      </c>
      <c r="N80" s="21">
        <v>0</v>
      </c>
      <c r="O80" s="21">
        <v>0</v>
      </c>
      <c r="P80" s="21">
        <v>9</v>
      </c>
      <c r="Q80" s="21" t="str">
        <f t="shared" ca="1" si="0"/>
        <v>Not Eligible</v>
      </c>
    </row>
    <row r="81" spans="1:17" ht="15.5" x14ac:dyDescent="0.35">
      <c r="A81" s="20">
        <v>80</v>
      </c>
      <c r="B81" s="21" t="s">
        <v>193</v>
      </c>
      <c r="C81" s="21" t="s">
        <v>194</v>
      </c>
      <c r="D81" s="22" t="str">
        <f>_xlfn.TEXTJOIN(" ",TRUE,Employees_Data[[#This Row],[First Name]],Employees_Data[[#This Row],[Last Name]])</f>
        <v>Rasha Naeim</v>
      </c>
      <c r="E81" s="21" t="s">
        <v>44</v>
      </c>
      <c r="F81" s="23">
        <v>43591</v>
      </c>
      <c r="G81" s="24">
        <f ca="1">DATEDIF(Employees!$F81,TODAY(),"Y")</f>
        <v>7</v>
      </c>
      <c r="H81" s="21" t="s">
        <v>26</v>
      </c>
      <c r="I81" s="21" t="s">
        <v>27</v>
      </c>
      <c r="J81" s="21" t="s">
        <v>54</v>
      </c>
      <c r="K81" s="25">
        <v>2581</v>
      </c>
      <c r="L81" s="25">
        <v>30972</v>
      </c>
      <c r="M81" s="21">
        <v>5</v>
      </c>
      <c r="N81" s="21">
        <v>0</v>
      </c>
      <c r="O81" s="21">
        <v>0</v>
      </c>
      <c r="P81" s="21">
        <v>8</v>
      </c>
      <c r="Q81" s="21" t="str">
        <f t="shared" ca="1" si="0"/>
        <v>Not Eligible</v>
      </c>
    </row>
    <row r="82" spans="1:17" ht="15.5" x14ac:dyDescent="0.35">
      <c r="A82" s="20">
        <v>81</v>
      </c>
      <c r="B82" s="21" t="s">
        <v>195</v>
      </c>
      <c r="C82" s="21" t="s">
        <v>196</v>
      </c>
      <c r="D82" s="22" t="str">
        <f>_xlfn.TEXTJOIN(" ",TRUE,Employees_Data[[#This Row],[First Name]],Employees_Data[[#This Row],[Last Name]])</f>
        <v>Eamra Alshueranii</v>
      </c>
      <c r="E82" s="21" t="s">
        <v>44</v>
      </c>
      <c r="F82" s="23">
        <v>42609</v>
      </c>
      <c r="G82" s="24">
        <f ca="1">DATEDIF(Employees!$F82,TODAY(),"Y")</f>
        <v>10</v>
      </c>
      <c r="H82" s="21" t="s">
        <v>73</v>
      </c>
      <c r="I82" s="21" t="s">
        <v>53</v>
      </c>
      <c r="J82" s="21" t="s">
        <v>60</v>
      </c>
      <c r="K82" s="25">
        <v>901</v>
      </c>
      <c r="L82" s="25">
        <v>10812</v>
      </c>
      <c r="M82" s="21">
        <v>5</v>
      </c>
      <c r="N82" s="21">
        <v>0</v>
      </c>
      <c r="O82" s="21">
        <v>2</v>
      </c>
      <c r="P82" s="21">
        <v>10</v>
      </c>
      <c r="Q82" s="21" t="str">
        <f t="shared" ca="1" si="0"/>
        <v>Not Eligible</v>
      </c>
    </row>
    <row r="83" spans="1:17" ht="15.5" x14ac:dyDescent="0.35">
      <c r="A83" s="20">
        <v>82</v>
      </c>
      <c r="B83" s="21" t="s">
        <v>197</v>
      </c>
      <c r="C83" s="21" t="s">
        <v>198</v>
      </c>
      <c r="D83" s="22" t="str">
        <f>_xlfn.TEXTJOIN(" ",TRUE,Employees_Data[[#This Row],[First Name]],Employees_Data[[#This Row],[Last Name]])</f>
        <v>Amira Akrym</v>
      </c>
      <c r="E83" s="21" t="s">
        <v>44</v>
      </c>
      <c r="F83" s="23">
        <v>42544</v>
      </c>
      <c r="G83" s="24">
        <f ca="1">DATEDIF(Employees!$F83,TODAY(),"Y")</f>
        <v>10</v>
      </c>
      <c r="H83" s="21" t="s">
        <v>65</v>
      </c>
      <c r="I83" s="21" t="s">
        <v>53</v>
      </c>
      <c r="J83" s="21" t="s">
        <v>54</v>
      </c>
      <c r="K83" s="25">
        <v>898</v>
      </c>
      <c r="L83" s="25">
        <v>10776</v>
      </c>
      <c r="M83" s="21">
        <v>4.5</v>
      </c>
      <c r="N83" s="21">
        <v>3</v>
      </c>
      <c r="O83" s="21">
        <v>0</v>
      </c>
      <c r="P83" s="21">
        <v>11</v>
      </c>
      <c r="Q83" s="21" t="str">
        <f t="shared" ca="1" si="0"/>
        <v>Not Eligible</v>
      </c>
    </row>
    <row r="84" spans="1:17" ht="15.5" x14ac:dyDescent="0.35">
      <c r="A84" s="20">
        <v>83</v>
      </c>
      <c r="B84" s="21" t="s">
        <v>57</v>
      </c>
      <c r="C84" s="21" t="s">
        <v>199</v>
      </c>
      <c r="D84" s="22" t="str">
        <f>_xlfn.TEXTJOIN(" ",TRUE,Employees_Data[[#This Row],[First Name]],Employees_Data[[#This Row],[Last Name]])</f>
        <v>Muhamad Hamzat</v>
      </c>
      <c r="E84" s="21" t="s">
        <v>25</v>
      </c>
      <c r="F84" s="23">
        <v>44069</v>
      </c>
      <c r="G84" s="24">
        <f ca="1">DATEDIF(Employees!$F84,TODAY(),"Y")</f>
        <v>6</v>
      </c>
      <c r="H84" s="21" t="s">
        <v>65</v>
      </c>
      <c r="I84" s="21" t="s">
        <v>27</v>
      </c>
      <c r="J84" s="21" t="s">
        <v>29</v>
      </c>
      <c r="K84" s="25">
        <v>2878</v>
      </c>
      <c r="L84" s="25">
        <v>34536</v>
      </c>
      <c r="M84" s="21">
        <v>3</v>
      </c>
      <c r="N84" s="21">
        <v>0</v>
      </c>
      <c r="O84" s="21">
        <v>0</v>
      </c>
      <c r="P84" s="21">
        <v>2</v>
      </c>
      <c r="Q84" s="21" t="str">
        <f t="shared" ca="1" si="0"/>
        <v>Not Eligible</v>
      </c>
    </row>
    <row r="85" spans="1:17" ht="15.5" x14ac:dyDescent="0.35">
      <c r="A85" s="20">
        <v>84</v>
      </c>
      <c r="B85" s="21" t="s">
        <v>57</v>
      </c>
      <c r="C85" s="21" t="s">
        <v>200</v>
      </c>
      <c r="D85" s="22" t="str">
        <f>_xlfn.TEXTJOIN(" ",TRUE,Employees_Data[[#This Row],[First Name]],Employees_Data[[#This Row],[Last Name]])</f>
        <v>Muhamad Khayr</v>
      </c>
      <c r="E85" s="21" t="s">
        <v>25</v>
      </c>
      <c r="F85" s="23">
        <v>43116</v>
      </c>
      <c r="G85" s="24">
        <f ca="1">DATEDIF(Employees!$F85,TODAY(),"Y")</f>
        <v>8</v>
      </c>
      <c r="H85" s="21" t="s">
        <v>115</v>
      </c>
      <c r="I85" s="21" t="s">
        <v>27</v>
      </c>
      <c r="J85" s="21" t="s">
        <v>54</v>
      </c>
      <c r="K85" s="25">
        <v>2539</v>
      </c>
      <c r="L85" s="25">
        <v>30468</v>
      </c>
      <c r="M85" s="21">
        <v>3</v>
      </c>
      <c r="N85" s="21">
        <v>0</v>
      </c>
      <c r="O85" s="21">
        <v>0</v>
      </c>
      <c r="P85" s="21">
        <v>0</v>
      </c>
      <c r="Q85" s="21" t="str">
        <f t="shared" ca="1" si="0"/>
        <v>Not Eligible</v>
      </c>
    </row>
    <row r="86" spans="1:17" ht="15.5" x14ac:dyDescent="0.35">
      <c r="A86" s="20">
        <v>85</v>
      </c>
      <c r="B86" s="21" t="s">
        <v>201</v>
      </c>
      <c r="C86" s="21" t="s">
        <v>202</v>
      </c>
      <c r="D86" s="22" t="str">
        <f>_xlfn.TEXTJOIN(" ",TRUE,Employees_Data[[#This Row],[First Name]],Employees_Data[[#This Row],[Last Name]])</f>
        <v>Abd Almalik Nazal</v>
      </c>
      <c r="E86" s="21" t="s">
        <v>25</v>
      </c>
      <c r="F86" s="23">
        <v>43286</v>
      </c>
      <c r="G86" s="24">
        <f ca="1">DATEDIF(Employees!$F86,TODAY(),"Y")</f>
        <v>8</v>
      </c>
      <c r="H86" s="21" t="s">
        <v>26</v>
      </c>
      <c r="I86" s="21" t="s">
        <v>27</v>
      </c>
      <c r="J86" s="21" t="s">
        <v>60</v>
      </c>
      <c r="K86" s="25">
        <v>2533</v>
      </c>
      <c r="L86" s="25">
        <v>30396</v>
      </c>
      <c r="M86" s="21">
        <v>5</v>
      </c>
      <c r="N86" s="21">
        <v>0</v>
      </c>
      <c r="O86" s="21">
        <v>0</v>
      </c>
      <c r="P86" s="21">
        <v>2</v>
      </c>
      <c r="Q86" s="21" t="str">
        <f t="shared" ca="1" si="0"/>
        <v>Not Eligible</v>
      </c>
    </row>
    <row r="87" spans="1:17" ht="15.5" x14ac:dyDescent="0.35">
      <c r="A87" s="20">
        <v>86</v>
      </c>
      <c r="B87" s="21" t="s">
        <v>203</v>
      </c>
      <c r="C87" s="21" t="s">
        <v>204</v>
      </c>
      <c r="D87" s="22" t="str">
        <f>_xlfn.TEXTJOIN(" ",TRUE,Employees_Data[[#This Row],[First Name]],Employees_Data[[#This Row],[Last Name]])</f>
        <v>Rabya Kiwan</v>
      </c>
      <c r="E87" s="21" t="s">
        <v>44</v>
      </c>
      <c r="F87" s="23">
        <v>43481</v>
      </c>
      <c r="G87" s="24">
        <f ca="1">DATEDIF(Employees!$F87,TODAY(),"Y")</f>
        <v>7</v>
      </c>
      <c r="H87" s="21" t="s">
        <v>98</v>
      </c>
      <c r="I87" s="21" t="s">
        <v>27</v>
      </c>
      <c r="J87" s="21" t="s">
        <v>29</v>
      </c>
      <c r="K87" s="25">
        <v>885</v>
      </c>
      <c r="L87" s="25">
        <v>10620</v>
      </c>
      <c r="M87" s="21">
        <v>3</v>
      </c>
      <c r="N87" s="21">
        <v>0</v>
      </c>
      <c r="O87" s="21">
        <v>0</v>
      </c>
      <c r="P87" s="21">
        <v>3</v>
      </c>
      <c r="Q87" s="21" t="str">
        <f t="shared" ca="1" si="0"/>
        <v>Not Eligible</v>
      </c>
    </row>
    <row r="88" spans="1:17" ht="15.5" x14ac:dyDescent="0.35">
      <c r="A88" s="20">
        <v>87</v>
      </c>
      <c r="B88" s="21" t="s">
        <v>57</v>
      </c>
      <c r="C88" s="21" t="s">
        <v>200</v>
      </c>
      <c r="D88" s="22" t="str">
        <f>_xlfn.TEXTJOIN(" ",TRUE,Employees_Data[[#This Row],[First Name]],Employees_Data[[#This Row],[Last Name]])</f>
        <v>Muhamad Khayr</v>
      </c>
      <c r="E88" s="21" t="s">
        <v>25</v>
      </c>
      <c r="F88" s="23">
        <v>43635</v>
      </c>
      <c r="G88" s="24">
        <f ca="1">DATEDIF(Employees!$F88,TODAY(),"Y")</f>
        <v>7</v>
      </c>
      <c r="H88" s="21" t="s">
        <v>76</v>
      </c>
      <c r="I88" s="21" t="s">
        <v>53</v>
      </c>
      <c r="J88" s="21" t="s">
        <v>29</v>
      </c>
      <c r="K88" s="25">
        <v>1166</v>
      </c>
      <c r="L88" s="25">
        <v>13992</v>
      </c>
      <c r="M88" s="21">
        <v>5</v>
      </c>
      <c r="N88" s="21">
        <v>0</v>
      </c>
      <c r="O88" s="21">
        <v>4</v>
      </c>
      <c r="P88" s="21">
        <v>5</v>
      </c>
      <c r="Q88" s="21" t="str">
        <f t="shared" ca="1" si="0"/>
        <v>Not Eligible</v>
      </c>
    </row>
    <row r="89" spans="1:17" ht="15.5" x14ac:dyDescent="0.35">
      <c r="A89" s="20">
        <v>88</v>
      </c>
      <c r="B89" s="21" t="s">
        <v>205</v>
      </c>
      <c r="C89" s="21" t="s">
        <v>206</v>
      </c>
      <c r="D89" s="22" t="str">
        <f>_xlfn.TEXTJOIN(" ",TRUE,Employees_Data[[#This Row],[First Name]],Employees_Data[[#This Row],[Last Name]])</f>
        <v>Samah Almaydanii</v>
      </c>
      <c r="E89" s="21" t="s">
        <v>44</v>
      </c>
      <c r="F89" s="23">
        <v>43009</v>
      </c>
      <c r="G89" s="24">
        <f ca="1">DATEDIF(Employees!$F89,TODAY(),"Y")</f>
        <v>9</v>
      </c>
      <c r="H89" s="21" t="s">
        <v>65</v>
      </c>
      <c r="I89" s="21" t="s">
        <v>53</v>
      </c>
      <c r="J89" s="21" t="s">
        <v>29</v>
      </c>
      <c r="K89" s="25">
        <v>2022</v>
      </c>
      <c r="L89" s="25">
        <v>24264</v>
      </c>
      <c r="M89" s="21">
        <v>5</v>
      </c>
      <c r="N89" s="21">
        <v>0</v>
      </c>
      <c r="O89" s="21">
        <v>0</v>
      </c>
      <c r="P89" s="21">
        <v>3</v>
      </c>
      <c r="Q89" s="21" t="str">
        <f t="shared" ca="1" si="0"/>
        <v>Not Eligible</v>
      </c>
    </row>
    <row r="90" spans="1:17" ht="15.5" x14ac:dyDescent="0.35">
      <c r="A90" s="20">
        <v>89</v>
      </c>
      <c r="B90" s="21" t="s">
        <v>207</v>
      </c>
      <c r="C90" s="21" t="s">
        <v>208</v>
      </c>
      <c r="D90" s="22" t="str">
        <f>_xlfn.TEXTJOIN(" ",TRUE,Employees_Data[[#This Row],[First Name]],Employees_Data[[#This Row],[Last Name]])</f>
        <v>Ali Watar</v>
      </c>
      <c r="E90" s="21" t="s">
        <v>25</v>
      </c>
      <c r="F90" s="23">
        <v>43856</v>
      </c>
      <c r="G90" s="24">
        <f ca="1">DATEDIF(Employees!$F90,TODAY(),"Y")</f>
        <v>6</v>
      </c>
      <c r="H90" s="21" t="s">
        <v>98</v>
      </c>
      <c r="I90" s="21" t="s">
        <v>27</v>
      </c>
      <c r="J90" s="21" t="s">
        <v>54</v>
      </c>
      <c r="K90" s="25">
        <v>1752</v>
      </c>
      <c r="L90" s="25">
        <v>21024</v>
      </c>
      <c r="M90" s="21">
        <v>2</v>
      </c>
      <c r="N90" s="21">
        <v>5</v>
      </c>
      <c r="O90" s="21">
        <v>4</v>
      </c>
      <c r="P90" s="21">
        <v>76</v>
      </c>
      <c r="Q90" s="21" t="str">
        <f t="shared" ca="1" si="0"/>
        <v>Not Eligible</v>
      </c>
    </row>
    <row r="91" spans="1:17" ht="15.5" x14ac:dyDescent="0.35">
      <c r="A91" s="20">
        <v>90</v>
      </c>
      <c r="B91" s="21" t="s">
        <v>209</v>
      </c>
      <c r="C91" s="21" t="s">
        <v>210</v>
      </c>
      <c r="D91" s="22" t="str">
        <f>_xlfn.TEXTJOIN(" ",TRUE,Employees_Data[[#This Row],[First Name]],Employees_Data[[#This Row],[Last Name]])</f>
        <v>Darin Ghunum</v>
      </c>
      <c r="E91" s="21" t="s">
        <v>44</v>
      </c>
      <c r="F91" s="23">
        <v>43666</v>
      </c>
      <c r="G91" s="24">
        <f ca="1">DATEDIF(Employees!$F91,TODAY(),"Y")</f>
        <v>7</v>
      </c>
      <c r="H91" s="21" t="s">
        <v>73</v>
      </c>
      <c r="I91" s="21" t="s">
        <v>27</v>
      </c>
      <c r="J91" s="21" t="s">
        <v>54</v>
      </c>
      <c r="K91" s="25">
        <v>3157</v>
      </c>
      <c r="L91" s="25">
        <v>37884</v>
      </c>
      <c r="M91" s="21">
        <v>1</v>
      </c>
      <c r="N91" s="21">
        <v>6</v>
      </c>
      <c r="O91" s="21">
        <v>1</v>
      </c>
      <c r="P91" s="21">
        <v>4</v>
      </c>
      <c r="Q91" s="21" t="str">
        <f t="shared" ca="1" si="0"/>
        <v>Not Eligible</v>
      </c>
    </row>
    <row r="92" spans="1:17" ht="15.5" x14ac:dyDescent="0.35">
      <c r="A92" s="20">
        <v>91</v>
      </c>
      <c r="B92" s="21" t="s">
        <v>149</v>
      </c>
      <c r="C92" s="21" t="s">
        <v>211</v>
      </c>
      <c r="D92" s="22" t="str">
        <f>_xlfn.TEXTJOIN(" ",TRUE,Employees_Data[[#This Row],[First Name]],Employees_Data[[#This Row],[Last Name]])</f>
        <v>Faras Alhamal</v>
      </c>
      <c r="E92" s="21" t="s">
        <v>25</v>
      </c>
      <c r="F92" s="23">
        <v>44039</v>
      </c>
      <c r="G92" s="24">
        <f ca="1">DATEDIF(Employees!$F92,TODAY(),"Y")</f>
        <v>6</v>
      </c>
      <c r="H92" s="21" t="s">
        <v>26</v>
      </c>
      <c r="I92" s="21" t="s">
        <v>27</v>
      </c>
      <c r="J92" s="21" t="s">
        <v>54</v>
      </c>
      <c r="K92" s="25">
        <v>3211</v>
      </c>
      <c r="L92" s="25">
        <v>38532</v>
      </c>
      <c r="M92" s="21">
        <v>5</v>
      </c>
      <c r="N92" s="21">
        <v>6</v>
      </c>
      <c r="O92" s="21">
        <v>1</v>
      </c>
      <c r="P92" s="21">
        <v>9</v>
      </c>
      <c r="Q92" s="21" t="str">
        <f t="shared" ca="1" si="0"/>
        <v>Not Eligible</v>
      </c>
    </row>
    <row r="93" spans="1:17" ht="15.5" x14ac:dyDescent="0.35">
      <c r="A93" s="20">
        <v>92</v>
      </c>
      <c r="B93" s="21" t="s">
        <v>212</v>
      </c>
      <c r="C93" s="21" t="s">
        <v>167</v>
      </c>
      <c r="D93" s="22" t="str">
        <f>_xlfn.TEXTJOIN(" ",TRUE,Employees_Data[[#This Row],[First Name]],Employees_Data[[#This Row],[Last Name]])</f>
        <v>Amal Asamy</v>
      </c>
      <c r="E93" s="21" t="s">
        <v>44</v>
      </c>
      <c r="F93" s="23">
        <v>43384</v>
      </c>
      <c r="G93" s="24">
        <f ca="1">DATEDIF(Employees!$F93,TODAY(),"Y")</f>
        <v>8</v>
      </c>
      <c r="H93" s="21" t="s">
        <v>99</v>
      </c>
      <c r="I93" s="21" t="s">
        <v>27</v>
      </c>
      <c r="J93" s="21" t="s">
        <v>60</v>
      </c>
      <c r="K93" s="25">
        <v>1062</v>
      </c>
      <c r="L93" s="25">
        <v>12744</v>
      </c>
      <c r="M93" s="21">
        <v>3</v>
      </c>
      <c r="N93" s="21">
        <v>1</v>
      </c>
      <c r="O93" s="21">
        <v>0</v>
      </c>
      <c r="P93" s="21">
        <v>7</v>
      </c>
      <c r="Q93" s="21" t="str">
        <f t="shared" ca="1" si="0"/>
        <v>Not Eligible</v>
      </c>
    </row>
    <row r="94" spans="1:17" ht="15.5" x14ac:dyDescent="0.35">
      <c r="A94" s="20">
        <v>93</v>
      </c>
      <c r="B94" s="21" t="s">
        <v>213</v>
      </c>
      <c r="C94" s="21" t="s">
        <v>214</v>
      </c>
      <c r="D94" s="22" t="str">
        <f>_xlfn.TEXTJOIN(" ",TRUE,Employees_Data[[#This Row],[First Name]],Employees_Data[[#This Row],[Last Name]])</f>
        <v>Razan AlAhmad</v>
      </c>
      <c r="E94" s="21" t="s">
        <v>44</v>
      </c>
      <c r="F94" s="23">
        <v>43657</v>
      </c>
      <c r="G94" s="24">
        <f ca="1">DATEDIF(Employees!$F94,TODAY(),"Y")</f>
        <v>7</v>
      </c>
      <c r="H94" s="21" t="s">
        <v>76</v>
      </c>
      <c r="I94" s="21" t="s">
        <v>27</v>
      </c>
      <c r="J94" s="21" t="s">
        <v>54</v>
      </c>
      <c r="K94" s="25">
        <v>1406</v>
      </c>
      <c r="L94" s="25">
        <v>16872</v>
      </c>
      <c r="M94" s="21">
        <v>4.5</v>
      </c>
      <c r="N94" s="21">
        <v>4</v>
      </c>
      <c r="O94" s="21">
        <v>0</v>
      </c>
      <c r="P94" s="21">
        <v>46</v>
      </c>
      <c r="Q94" s="21" t="str">
        <f t="shared" ca="1" si="0"/>
        <v>Not Eligible</v>
      </c>
    </row>
    <row r="95" spans="1:17" ht="15.5" x14ac:dyDescent="0.35">
      <c r="A95" s="20">
        <v>94</v>
      </c>
      <c r="B95" s="21" t="s">
        <v>57</v>
      </c>
      <c r="C95" s="21" t="s">
        <v>215</v>
      </c>
      <c r="D95" s="22" t="str">
        <f>_xlfn.TEXTJOIN(" ",TRUE,Employees_Data[[#This Row],[First Name]],Employees_Data[[#This Row],[Last Name]])</f>
        <v>Muhamad Kharasah</v>
      </c>
      <c r="E95" s="21" t="s">
        <v>25</v>
      </c>
      <c r="F95" s="23">
        <v>43694</v>
      </c>
      <c r="G95" s="24">
        <f ca="1">DATEDIF(Employees!$F95,TODAY(),"Y")</f>
        <v>7</v>
      </c>
      <c r="H95" s="21" t="s">
        <v>115</v>
      </c>
      <c r="I95" s="21" t="s">
        <v>53</v>
      </c>
      <c r="J95" s="21" t="s">
        <v>29</v>
      </c>
      <c r="K95" s="25">
        <v>3084</v>
      </c>
      <c r="L95" s="25">
        <v>37008</v>
      </c>
      <c r="M95" s="21">
        <v>3</v>
      </c>
      <c r="N95" s="21">
        <v>6</v>
      </c>
      <c r="O95" s="21">
        <v>0</v>
      </c>
      <c r="P95" s="21">
        <v>3</v>
      </c>
      <c r="Q95" s="21" t="str">
        <f t="shared" ca="1" si="0"/>
        <v>Not Eligible</v>
      </c>
    </row>
    <row r="96" spans="1:17" ht="15.5" x14ac:dyDescent="0.35">
      <c r="A96" s="20">
        <v>95</v>
      </c>
      <c r="B96" s="21" t="s">
        <v>216</v>
      </c>
      <c r="C96" s="21" t="s">
        <v>217</v>
      </c>
      <c r="D96" s="22" t="str">
        <f>_xlfn.TEXTJOIN(" ",TRUE,Employees_Data[[#This Row],[First Name]],Employees_Data[[#This Row],[Last Name]])</f>
        <v>Tariq Bryghl</v>
      </c>
      <c r="E96" s="21" t="s">
        <v>25</v>
      </c>
      <c r="F96" s="23">
        <v>44139</v>
      </c>
      <c r="G96" s="24">
        <f ca="1">DATEDIF(Employees!$F96,TODAY(),"Y")</f>
        <v>5</v>
      </c>
      <c r="H96" s="21" t="s">
        <v>81</v>
      </c>
      <c r="I96" s="21" t="s">
        <v>27</v>
      </c>
      <c r="J96" s="21" t="s">
        <v>54</v>
      </c>
      <c r="K96" s="25">
        <v>1815</v>
      </c>
      <c r="L96" s="25">
        <v>21780</v>
      </c>
      <c r="M96" s="21">
        <v>4.5</v>
      </c>
      <c r="N96" s="21">
        <v>1</v>
      </c>
      <c r="O96" s="21">
        <v>0</v>
      </c>
      <c r="P96" s="21">
        <v>9</v>
      </c>
      <c r="Q96" s="21" t="str">
        <f t="shared" ca="1" si="0"/>
        <v>Not Eligible</v>
      </c>
    </row>
    <row r="97" spans="1:17" ht="15.5" x14ac:dyDescent="0.35">
      <c r="A97" s="20">
        <v>96</v>
      </c>
      <c r="B97" s="21" t="s">
        <v>57</v>
      </c>
      <c r="C97" s="21" t="s">
        <v>86</v>
      </c>
      <c r="D97" s="22" t="str">
        <f>_xlfn.TEXTJOIN(" ",TRUE,Employees_Data[[#This Row],[First Name]],Employees_Data[[#This Row],[Last Name]])</f>
        <v>Muhamad Husayn</v>
      </c>
      <c r="E97" s="21" t="s">
        <v>25</v>
      </c>
      <c r="F97" s="23">
        <v>42937</v>
      </c>
      <c r="G97" s="24">
        <f ca="1">DATEDIF(Employees!$F97,TODAY(),"Y")</f>
        <v>9</v>
      </c>
      <c r="H97" s="21" t="s">
        <v>73</v>
      </c>
      <c r="I97" s="21" t="s">
        <v>53</v>
      </c>
      <c r="J97" s="21" t="s">
        <v>54</v>
      </c>
      <c r="K97" s="25">
        <v>1861</v>
      </c>
      <c r="L97" s="25">
        <v>22332</v>
      </c>
      <c r="M97" s="21">
        <v>3</v>
      </c>
      <c r="N97" s="21">
        <v>0</v>
      </c>
      <c r="O97" s="21">
        <v>5</v>
      </c>
      <c r="P97" s="21">
        <v>9</v>
      </c>
      <c r="Q97" s="21" t="str">
        <f t="shared" ca="1" si="0"/>
        <v>Not Eligible</v>
      </c>
    </row>
    <row r="98" spans="1:17" ht="15.5" x14ac:dyDescent="0.35">
      <c r="A98" s="20">
        <v>97</v>
      </c>
      <c r="B98" s="21" t="s">
        <v>218</v>
      </c>
      <c r="C98" s="21" t="s">
        <v>219</v>
      </c>
      <c r="D98" s="22" t="str">
        <f>_xlfn.TEXTJOIN(" ",TRUE,Employees_Data[[#This Row],[First Name]],Employees_Data[[#This Row],[Last Name]])</f>
        <v>Fadi Aleid</v>
      </c>
      <c r="E98" s="21" t="s">
        <v>25</v>
      </c>
      <c r="F98" s="23">
        <v>43200</v>
      </c>
      <c r="G98" s="24">
        <f ca="1">DATEDIF(Employees!$F98,TODAY(),"Y")</f>
        <v>8</v>
      </c>
      <c r="H98" s="21" t="s">
        <v>52</v>
      </c>
      <c r="I98" s="21" t="s">
        <v>53</v>
      </c>
      <c r="J98" s="21" t="s">
        <v>60</v>
      </c>
      <c r="K98" s="25">
        <v>3088</v>
      </c>
      <c r="L98" s="25">
        <v>37056</v>
      </c>
      <c r="M98" s="21">
        <v>5</v>
      </c>
      <c r="N98" s="21">
        <v>3</v>
      </c>
      <c r="O98" s="21">
        <v>0</v>
      </c>
      <c r="P98" s="21">
        <v>10</v>
      </c>
      <c r="Q98" s="21" t="str">
        <f t="shared" ca="1" si="0"/>
        <v>Not Eligible</v>
      </c>
    </row>
    <row r="99" spans="1:17" ht="15.5" x14ac:dyDescent="0.35">
      <c r="A99" s="20">
        <v>98</v>
      </c>
      <c r="B99" s="21" t="s">
        <v>216</v>
      </c>
      <c r="C99" s="21" t="s">
        <v>220</v>
      </c>
      <c r="D99" s="22" t="str">
        <f>_xlfn.TEXTJOIN(" ",TRUE,Employees_Data[[#This Row],[First Name]],Employees_Data[[#This Row],[Last Name]])</f>
        <v>Tariq Abuzahir</v>
      </c>
      <c r="E99" s="21" t="s">
        <v>25</v>
      </c>
      <c r="F99" s="23">
        <v>42858</v>
      </c>
      <c r="G99" s="24">
        <f ca="1">DATEDIF(Employees!$F99,TODAY(),"Y")</f>
        <v>9</v>
      </c>
      <c r="H99" s="21" t="s">
        <v>221</v>
      </c>
      <c r="I99" s="21" t="s">
        <v>71</v>
      </c>
      <c r="J99" s="21" t="s">
        <v>54</v>
      </c>
      <c r="K99" s="25">
        <v>3071</v>
      </c>
      <c r="L99" s="25">
        <v>36852</v>
      </c>
      <c r="M99" s="21">
        <v>5</v>
      </c>
      <c r="N99" s="21">
        <v>6</v>
      </c>
      <c r="O99" s="21">
        <v>0</v>
      </c>
      <c r="P99" s="21">
        <v>2</v>
      </c>
      <c r="Q99" s="21" t="str">
        <f t="shared" ca="1" si="0"/>
        <v>Not Eligible</v>
      </c>
    </row>
    <row r="100" spans="1:17" ht="15.5" x14ac:dyDescent="0.35">
      <c r="A100" s="20">
        <v>99</v>
      </c>
      <c r="B100" s="21" t="s">
        <v>191</v>
      </c>
      <c r="C100" s="21" t="s">
        <v>148</v>
      </c>
      <c r="D100" s="22" t="str">
        <f>_xlfn.TEXTJOIN(" ",TRUE,Employees_Data[[#This Row],[First Name]],Employees_Data[[#This Row],[Last Name]])</f>
        <v>Mazin Eubayd</v>
      </c>
      <c r="E100" s="21" t="s">
        <v>25</v>
      </c>
      <c r="F100" s="23">
        <v>43433</v>
      </c>
      <c r="G100" s="24">
        <f ca="1">DATEDIF(Employees!$F100,TODAY(),"Y")</f>
        <v>7</v>
      </c>
      <c r="H100" s="21" t="s">
        <v>52</v>
      </c>
      <c r="I100" s="21" t="s">
        <v>53</v>
      </c>
      <c r="J100" s="21" t="s">
        <v>60</v>
      </c>
      <c r="K100" s="25">
        <v>3298</v>
      </c>
      <c r="L100" s="25">
        <v>39576</v>
      </c>
      <c r="M100" s="21">
        <v>3</v>
      </c>
      <c r="N100" s="21">
        <v>0</v>
      </c>
      <c r="O100" s="21">
        <v>0</v>
      </c>
      <c r="P100" s="21">
        <v>9</v>
      </c>
      <c r="Q100" s="21" t="str">
        <f t="shared" ca="1" si="0"/>
        <v>Not Eligible</v>
      </c>
    </row>
    <row r="101" spans="1:17" ht="15.5" x14ac:dyDescent="0.35">
      <c r="A101" s="20">
        <v>100</v>
      </c>
      <c r="B101" s="21" t="s">
        <v>106</v>
      </c>
      <c r="C101" s="21" t="s">
        <v>222</v>
      </c>
      <c r="D101" s="22" t="str">
        <f>_xlfn.TEXTJOIN(" ",TRUE,Employees_Data[[#This Row],[First Name]],Employees_Data[[#This Row],[Last Name]])</f>
        <v>Lina Aljabr</v>
      </c>
      <c r="E101" s="21" t="s">
        <v>44</v>
      </c>
      <c r="F101" s="23">
        <v>43339</v>
      </c>
      <c r="G101" s="24">
        <f ca="1">DATEDIF(Employees!$F101,TODAY(),"Y")</f>
        <v>8</v>
      </c>
      <c r="H101" s="21" t="s">
        <v>59</v>
      </c>
      <c r="I101" s="21" t="s">
        <v>40</v>
      </c>
      <c r="J101" s="21" t="s">
        <v>60</v>
      </c>
      <c r="K101" s="25">
        <v>828</v>
      </c>
      <c r="L101" s="25">
        <v>9936</v>
      </c>
      <c r="M101" s="21">
        <v>5</v>
      </c>
      <c r="N101" s="21">
        <v>0</v>
      </c>
      <c r="O101" s="21">
        <v>0</v>
      </c>
      <c r="P101" s="21">
        <v>10</v>
      </c>
      <c r="Q101" s="21" t="str">
        <f t="shared" ca="1" si="0"/>
        <v>Not Eligible</v>
      </c>
    </row>
    <row r="102" spans="1:17" ht="15.5" x14ac:dyDescent="0.35">
      <c r="A102" s="20">
        <v>101</v>
      </c>
      <c r="B102" s="21" t="s">
        <v>57</v>
      </c>
      <c r="C102" s="21" t="s">
        <v>147</v>
      </c>
      <c r="D102" s="22" t="str">
        <f>_xlfn.TEXTJOIN(" ",TRUE,Employees_Data[[#This Row],[First Name]],Employees_Data[[#This Row],[Last Name]])</f>
        <v>Muhamad Ayman</v>
      </c>
      <c r="E102" s="21" t="s">
        <v>25</v>
      </c>
      <c r="F102" s="23">
        <v>43786</v>
      </c>
      <c r="G102" s="24">
        <f ca="1">DATEDIF(Employees!$F102,TODAY(),"Y")</f>
        <v>6</v>
      </c>
      <c r="H102" s="21" t="s">
        <v>52</v>
      </c>
      <c r="I102" s="21" t="s">
        <v>27</v>
      </c>
      <c r="J102" s="21" t="s">
        <v>60</v>
      </c>
      <c r="K102" s="25">
        <v>2404</v>
      </c>
      <c r="L102" s="25">
        <v>28848</v>
      </c>
      <c r="M102" s="21">
        <v>4.5</v>
      </c>
      <c r="N102" s="21">
        <v>0</v>
      </c>
      <c r="O102" s="21">
        <v>0</v>
      </c>
      <c r="P102" s="21">
        <v>99</v>
      </c>
      <c r="Q102" s="21" t="str">
        <f t="shared" ca="1" si="0"/>
        <v>Eligible</v>
      </c>
    </row>
    <row r="103" spans="1:17" ht="15.5" x14ac:dyDescent="0.35">
      <c r="A103" s="20">
        <v>102</v>
      </c>
      <c r="B103" s="21" t="s">
        <v>147</v>
      </c>
      <c r="C103" s="21" t="s">
        <v>57</v>
      </c>
      <c r="D103" s="22" t="str">
        <f>_xlfn.TEXTJOIN(" ",TRUE,Employees_Data[[#This Row],[First Name]],Employees_Data[[#This Row],[Last Name]])</f>
        <v>Ayman Muhamad</v>
      </c>
      <c r="E103" s="21" t="s">
        <v>25</v>
      </c>
      <c r="F103" s="23">
        <v>43740</v>
      </c>
      <c r="G103" s="24">
        <f ca="1">DATEDIF(Employees!$F103,TODAY(),"Y")</f>
        <v>7</v>
      </c>
      <c r="H103" s="21" t="s">
        <v>81</v>
      </c>
      <c r="I103" s="21" t="s">
        <v>27</v>
      </c>
      <c r="J103" s="21" t="s">
        <v>83</v>
      </c>
      <c r="K103" s="25">
        <v>3410</v>
      </c>
      <c r="L103" s="25">
        <v>40920</v>
      </c>
      <c r="M103" s="21">
        <v>3</v>
      </c>
      <c r="N103" s="21">
        <v>2</v>
      </c>
      <c r="O103" s="21">
        <v>0</v>
      </c>
      <c r="P103" s="21">
        <v>8</v>
      </c>
      <c r="Q103" s="21" t="str">
        <f t="shared" ca="1" si="0"/>
        <v>Not Eligible</v>
      </c>
    </row>
    <row r="104" spans="1:17" ht="15.5" x14ac:dyDescent="0.35">
      <c r="A104" s="20">
        <v>103</v>
      </c>
      <c r="B104" s="21" t="s">
        <v>55</v>
      </c>
      <c r="C104" s="21" t="s">
        <v>223</v>
      </c>
      <c r="D104" s="22" t="str">
        <f>_xlfn.TEXTJOIN(" ",TRUE,Employees_Data[[#This Row],[First Name]],Employees_Data[[#This Row],[Last Name]])</f>
        <v>Ahmad Abu Eadlh</v>
      </c>
      <c r="E104" s="21" t="s">
        <v>25</v>
      </c>
      <c r="F104" s="23">
        <v>43793</v>
      </c>
      <c r="G104" s="24">
        <f ca="1">DATEDIF(Employees!$F104,TODAY(),"Y")</f>
        <v>6</v>
      </c>
      <c r="H104" s="21" t="s">
        <v>59</v>
      </c>
      <c r="I104" s="21" t="s">
        <v>53</v>
      </c>
      <c r="J104" s="21" t="s">
        <v>54</v>
      </c>
      <c r="K104" s="25">
        <v>1817</v>
      </c>
      <c r="L104" s="25">
        <v>21804</v>
      </c>
      <c r="M104" s="21">
        <v>5</v>
      </c>
      <c r="N104" s="21">
        <v>1</v>
      </c>
      <c r="O104" s="21">
        <v>0</v>
      </c>
      <c r="P104" s="21">
        <v>1</v>
      </c>
      <c r="Q104" s="21" t="str">
        <f t="shared" ca="1" si="0"/>
        <v>Not Eligible</v>
      </c>
    </row>
    <row r="105" spans="1:17" ht="15.5" x14ac:dyDescent="0.35">
      <c r="A105" s="20">
        <v>104</v>
      </c>
      <c r="B105" s="21" t="s">
        <v>108</v>
      </c>
      <c r="C105" s="21" t="s">
        <v>224</v>
      </c>
      <c r="D105" s="22" t="str">
        <f>_xlfn.TEXTJOIN(" ",TRUE,Employees_Data[[#This Row],[First Name]],Employees_Data[[#This Row],[Last Name]])</f>
        <v>Rami Abu Adhan</v>
      </c>
      <c r="E105" s="21" t="s">
        <v>25</v>
      </c>
      <c r="F105" s="23">
        <v>43867</v>
      </c>
      <c r="G105" s="24">
        <f ca="1">DATEDIF(Employees!$F105,TODAY(),"Y")</f>
        <v>6</v>
      </c>
      <c r="H105" s="21" t="s">
        <v>52</v>
      </c>
      <c r="I105" s="21" t="s">
        <v>71</v>
      </c>
      <c r="J105" s="21" t="s">
        <v>54</v>
      </c>
      <c r="K105" s="25">
        <v>2923</v>
      </c>
      <c r="L105" s="25">
        <v>35076</v>
      </c>
      <c r="M105" s="21">
        <v>2</v>
      </c>
      <c r="N105" s="21">
        <v>0</v>
      </c>
      <c r="O105" s="21">
        <v>0</v>
      </c>
      <c r="P105" s="21">
        <v>0</v>
      </c>
      <c r="Q105" s="21" t="str">
        <f t="shared" ca="1" si="0"/>
        <v>Not Eligible</v>
      </c>
    </row>
    <row r="106" spans="1:17" ht="15.5" x14ac:dyDescent="0.35">
      <c r="A106" s="20">
        <v>105</v>
      </c>
      <c r="B106" s="21" t="s">
        <v>57</v>
      </c>
      <c r="C106" s="21" t="s">
        <v>199</v>
      </c>
      <c r="D106" s="22" t="str">
        <f>_xlfn.TEXTJOIN(" ",TRUE,Employees_Data[[#This Row],[First Name]],Employees_Data[[#This Row],[Last Name]])</f>
        <v>Muhamad Hamzat</v>
      </c>
      <c r="E106" s="21" t="s">
        <v>25</v>
      </c>
      <c r="F106" s="23">
        <v>43397</v>
      </c>
      <c r="G106" s="24">
        <f ca="1">DATEDIF(Employees!$F106,TODAY(),"Y")</f>
        <v>8</v>
      </c>
      <c r="H106" s="21" t="s">
        <v>110</v>
      </c>
      <c r="I106" s="21" t="s">
        <v>27</v>
      </c>
      <c r="J106" s="21" t="s">
        <v>83</v>
      </c>
      <c r="K106" s="25">
        <v>3138</v>
      </c>
      <c r="L106" s="25">
        <v>37656</v>
      </c>
      <c r="M106" s="21">
        <v>5</v>
      </c>
      <c r="N106" s="21">
        <v>6</v>
      </c>
      <c r="O106" s="21">
        <v>0</v>
      </c>
      <c r="P106" s="21">
        <v>10</v>
      </c>
      <c r="Q106" s="21" t="str">
        <f t="shared" ca="1" si="0"/>
        <v>Not Eligible</v>
      </c>
    </row>
    <row r="107" spans="1:17" ht="15.5" x14ac:dyDescent="0.35">
      <c r="A107" s="20">
        <v>106</v>
      </c>
      <c r="B107" s="21" t="s">
        <v>225</v>
      </c>
      <c r="C107" s="21" t="s">
        <v>226</v>
      </c>
      <c r="D107" s="22" t="str">
        <f>_xlfn.TEXTJOIN(" ",TRUE,Employees_Data[[#This Row],[First Name]],Employees_Data[[#This Row],[Last Name]])</f>
        <v>Ehab Alkhibaz</v>
      </c>
      <c r="E107" s="21" t="s">
        <v>25</v>
      </c>
      <c r="F107" s="23">
        <v>43979</v>
      </c>
      <c r="G107" s="24">
        <f ca="1">DATEDIF(Employees!$F107,TODAY(),"Y")</f>
        <v>6</v>
      </c>
      <c r="H107" s="21" t="s">
        <v>65</v>
      </c>
      <c r="I107" s="21" t="s">
        <v>27</v>
      </c>
      <c r="J107" s="21" t="s">
        <v>60</v>
      </c>
      <c r="K107" s="25">
        <v>3139</v>
      </c>
      <c r="L107" s="25">
        <v>37668</v>
      </c>
      <c r="M107" s="21">
        <v>3</v>
      </c>
      <c r="N107" s="21">
        <v>0</v>
      </c>
      <c r="O107" s="21">
        <v>0</v>
      </c>
      <c r="P107" s="21">
        <v>10</v>
      </c>
      <c r="Q107" s="21" t="str">
        <f t="shared" ca="1" si="0"/>
        <v>Not Eligible</v>
      </c>
    </row>
    <row r="108" spans="1:17" ht="15.5" x14ac:dyDescent="0.35">
      <c r="A108" s="20">
        <v>107</v>
      </c>
      <c r="B108" s="21" t="s">
        <v>168</v>
      </c>
      <c r="C108" s="21" t="s">
        <v>176</v>
      </c>
      <c r="D108" s="22" t="str">
        <f>_xlfn.TEXTJOIN(" ",TRUE,Employees_Data[[#This Row],[First Name]],Employees_Data[[#This Row],[Last Name]])</f>
        <v>Ibrahim Nabulsi</v>
      </c>
      <c r="E108" s="21" t="s">
        <v>25</v>
      </c>
      <c r="F108" s="23">
        <v>42507</v>
      </c>
      <c r="G108" s="24">
        <f ca="1">DATEDIF(Employees!$F108,TODAY(),"Y")</f>
        <v>10</v>
      </c>
      <c r="H108" s="21" t="s">
        <v>98</v>
      </c>
      <c r="I108" s="21" t="s">
        <v>53</v>
      </c>
      <c r="J108" s="21" t="s">
        <v>54</v>
      </c>
      <c r="K108" s="25">
        <v>3263</v>
      </c>
      <c r="L108" s="25">
        <v>39156</v>
      </c>
      <c r="M108" s="21">
        <v>3</v>
      </c>
      <c r="N108" s="21">
        <v>0</v>
      </c>
      <c r="O108" s="21">
        <v>0</v>
      </c>
      <c r="P108" s="21">
        <v>3</v>
      </c>
      <c r="Q108" s="21" t="str">
        <f t="shared" ca="1" si="0"/>
        <v>Not Eligible</v>
      </c>
    </row>
    <row r="109" spans="1:17" ht="15.5" x14ac:dyDescent="0.35">
      <c r="A109" s="20">
        <v>108</v>
      </c>
      <c r="B109" s="21" t="s">
        <v>227</v>
      </c>
      <c r="C109" s="21" t="s">
        <v>228</v>
      </c>
      <c r="D109" s="22" t="str">
        <f>_xlfn.TEXTJOIN(" ",TRUE,Employees_Data[[#This Row],[First Name]],Employees_Data[[#This Row],[Last Name]])</f>
        <v>Ranya Salah Aldiyn</v>
      </c>
      <c r="E109" s="21" t="s">
        <v>44</v>
      </c>
      <c r="F109" s="23">
        <v>43487</v>
      </c>
      <c r="G109" s="24">
        <f ca="1">DATEDIF(Employees!$F109,TODAY(),"Y")</f>
        <v>7</v>
      </c>
      <c r="H109" s="21" t="s">
        <v>26</v>
      </c>
      <c r="I109" s="21" t="s">
        <v>53</v>
      </c>
      <c r="J109" s="21" t="s">
        <v>54</v>
      </c>
      <c r="K109" s="25">
        <v>1258</v>
      </c>
      <c r="L109" s="25">
        <v>15096</v>
      </c>
      <c r="M109" s="21">
        <v>5</v>
      </c>
      <c r="N109" s="21">
        <v>0</v>
      </c>
      <c r="O109" s="21">
        <v>0</v>
      </c>
      <c r="P109" s="21">
        <v>5</v>
      </c>
      <c r="Q109" s="21" t="str">
        <f t="shared" ca="1" si="0"/>
        <v>Not Eligible</v>
      </c>
    </row>
    <row r="110" spans="1:17" ht="15.5" x14ac:dyDescent="0.35">
      <c r="A110" s="20">
        <v>109</v>
      </c>
      <c r="B110" s="21" t="s">
        <v>229</v>
      </c>
      <c r="C110" s="21" t="s">
        <v>230</v>
      </c>
      <c r="D110" s="22" t="str">
        <f>_xlfn.TEXTJOIN(" ",TRUE,Employees_Data[[#This Row],[First Name]],Employees_Data[[#This Row],[Last Name]])</f>
        <v>Juri Zaytun</v>
      </c>
      <c r="E110" s="21" t="s">
        <v>44</v>
      </c>
      <c r="F110" s="23">
        <v>44085</v>
      </c>
      <c r="G110" s="24">
        <f ca="1">DATEDIF(Employees!$F110,TODAY(),"Y")</f>
        <v>6</v>
      </c>
      <c r="H110" s="21" t="s">
        <v>81</v>
      </c>
      <c r="I110" s="21" t="s">
        <v>27</v>
      </c>
      <c r="J110" s="21" t="s">
        <v>60</v>
      </c>
      <c r="K110" s="25">
        <v>2527</v>
      </c>
      <c r="L110" s="25">
        <v>30324</v>
      </c>
      <c r="M110" s="21">
        <v>3</v>
      </c>
      <c r="N110" s="21">
        <v>3</v>
      </c>
      <c r="O110" s="21">
        <v>0</v>
      </c>
      <c r="P110" s="21">
        <v>16</v>
      </c>
      <c r="Q110" s="21" t="str">
        <f t="shared" ca="1" si="0"/>
        <v>Not Eligible</v>
      </c>
    </row>
    <row r="111" spans="1:17" ht="15.5" x14ac:dyDescent="0.35">
      <c r="A111" s="20">
        <v>110</v>
      </c>
      <c r="B111" s="21" t="s">
        <v>231</v>
      </c>
      <c r="C111" s="21" t="s">
        <v>232</v>
      </c>
      <c r="D111" s="22" t="str">
        <f>_xlfn.TEXTJOIN(" ",TRUE,Employees_Data[[#This Row],[First Name]],Employees_Data[[#This Row],[Last Name]])</f>
        <v>Sahar Almuhamad</v>
      </c>
      <c r="E111" s="21" t="s">
        <v>44</v>
      </c>
      <c r="F111" s="23">
        <v>43362</v>
      </c>
      <c r="G111" s="24">
        <f ca="1">DATEDIF(Employees!$F111,TODAY(),"Y")</f>
        <v>8</v>
      </c>
      <c r="H111" s="21" t="s">
        <v>81</v>
      </c>
      <c r="I111" s="21" t="s">
        <v>27</v>
      </c>
      <c r="J111" s="21" t="s">
        <v>54</v>
      </c>
      <c r="K111" s="25">
        <v>3017</v>
      </c>
      <c r="L111" s="25">
        <v>36204</v>
      </c>
      <c r="M111" s="21">
        <v>4.5</v>
      </c>
      <c r="N111" s="21">
        <v>0</v>
      </c>
      <c r="O111" s="21">
        <v>4</v>
      </c>
      <c r="P111" s="21">
        <v>4</v>
      </c>
      <c r="Q111" s="21" t="str">
        <f t="shared" ca="1" si="0"/>
        <v>Not Eligible</v>
      </c>
    </row>
    <row r="112" spans="1:17" ht="15.5" x14ac:dyDescent="0.35">
      <c r="A112" s="20">
        <v>111</v>
      </c>
      <c r="B112" s="21" t="s">
        <v>233</v>
      </c>
      <c r="C112" s="21" t="s">
        <v>234</v>
      </c>
      <c r="D112" s="22" t="str">
        <f>_xlfn.TEXTJOIN(" ",TRUE,Employees_Data[[#This Row],[First Name]],Employees_Data[[#This Row],[Last Name]])</f>
        <v>Mari Ayly</v>
      </c>
      <c r="E112" s="21" t="s">
        <v>44</v>
      </c>
      <c r="F112" s="23">
        <v>42480</v>
      </c>
      <c r="G112" s="24">
        <f ca="1">DATEDIF(Employees!$F112,TODAY(),"Y")</f>
        <v>10</v>
      </c>
      <c r="H112" s="21" t="s">
        <v>65</v>
      </c>
      <c r="I112" s="21" t="s">
        <v>40</v>
      </c>
      <c r="J112" s="21" t="s">
        <v>60</v>
      </c>
      <c r="K112" s="25">
        <v>1639</v>
      </c>
      <c r="L112" s="25">
        <v>19668</v>
      </c>
      <c r="M112" s="21">
        <v>5</v>
      </c>
      <c r="N112" s="21">
        <v>0</v>
      </c>
      <c r="O112" s="21">
        <v>0</v>
      </c>
      <c r="P112" s="21">
        <v>2</v>
      </c>
      <c r="Q112" s="21" t="str">
        <f t="shared" ca="1" si="0"/>
        <v>Not Eligible</v>
      </c>
    </row>
    <row r="113" spans="1:17" ht="15.5" x14ac:dyDescent="0.35">
      <c r="A113" s="20">
        <v>112</v>
      </c>
      <c r="B113" s="21" t="s">
        <v>207</v>
      </c>
      <c r="C113" s="21" t="s">
        <v>235</v>
      </c>
      <c r="D113" s="22" t="str">
        <f>_xlfn.TEXTJOIN(" ",TRUE,Employees_Data[[#This Row],[First Name]],Employees_Data[[#This Row],[Last Name]])</f>
        <v>Ali Alhuri</v>
      </c>
      <c r="E113" s="21" t="s">
        <v>25</v>
      </c>
      <c r="F113" s="23">
        <v>43742</v>
      </c>
      <c r="G113" s="24">
        <f ca="1">DATEDIF(Employees!$F113,TODAY(),"Y")</f>
        <v>7</v>
      </c>
      <c r="H113" s="21" t="s">
        <v>73</v>
      </c>
      <c r="I113" s="21" t="s">
        <v>27</v>
      </c>
      <c r="J113" s="21" t="s">
        <v>54</v>
      </c>
      <c r="K113" s="25">
        <v>1867</v>
      </c>
      <c r="L113" s="25">
        <v>22404</v>
      </c>
      <c r="M113" s="21">
        <v>3</v>
      </c>
      <c r="N113" s="21">
        <v>1</v>
      </c>
      <c r="O113" s="21">
        <v>0</v>
      </c>
      <c r="P113" s="21">
        <v>3</v>
      </c>
      <c r="Q113" s="21" t="str">
        <f t="shared" ca="1" si="0"/>
        <v>Not Eligible</v>
      </c>
    </row>
    <row r="114" spans="1:17" ht="15.5" x14ac:dyDescent="0.35">
      <c r="A114" s="20">
        <v>113</v>
      </c>
      <c r="B114" s="21" t="s">
        <v>236</v>
      </c>
      <c r="C114" s="21" t="s">
        <v>237</v>
      </c>
      <c r="D114" s="22" t="str">
        <f>_xlfn.TEXTJOIN(" ",TRUE,Employees_Data[[#This Row],[First Name]],Employees_Data[[#This Row],[Last Name]])</f>
        <v>Dania Almala</v>
      </c>
      <c r="E114" s="21" t="s">
        <v>44</v>
      </c>
      <c r="F114" s="23">
        <v>42659</v>
      </c>
      <c r="G114" s="24">
        <f ca="1">DATEDIF(Employees!$F114,TODAY(),"Y")</f>
        <v>10</v>
      </c>
      <c r="H114" s="21" t="s">
        <v>99</v>
      </c>
      <c r="I114" s="21" t="s">
        <v>53</v>
      </c>
      <c r="J114" s="21" t="s">
        <v>54</v>
      </c>
      <c r="K114" s="25">
        <v>2314</v>
      </c>
      <c r="L114" s="25">
        <v>27768</v>
      </c>
      <c r="M114" s="21">
        <v>2</v>
      </c>
      <c r="N114" s="21">
        <v>0</v>
      </c>
      <c r="O114" s="21">
        <v>3</v>
      </c>
      <c r="P114" s="21">
        <v>5</v>
      </c>
      <c r="Q114" s="21" t="str">
        <f t="shared" ca="1" si="0"/>
        <v>Not Eligible</v>
      </c>
    </row>
    <row r="115" spans="1:17" ht="15.5" x14ac:dyDescent="0.35">
      <c r="A115" s="20">
        <v>114</v>
      </c>
      <c r="B115" s="21" t="s">
        <v>238</v>
      </c>
      <c r="C115" s="21" t="s">
        <v>239</v>
      </c>
      <c r="D115" s="22" t="str">
        <f>_xlfn.TEXTJOIN(" ",TRUE,Employees_Data[[#This Row],[First Name]],Employees_Data[[#This Row],[Last Name]])</f>
        <v>Rym Alsydawi</v>
      </c>
      <c r="E115" s="21" t="s">
        <v>44</v>
      </c>
      <c r="F115" s="23">
        <v>42770</v>
      </c>
      <c r="G115" s="24">
        <f ca="1">DATEDIF(Employees!$F115,TODAY(),"Y")</f>
        <v>9</v>
      </c>
      <c r="H115" s="21" t="s">
        <v>26</v>
      </c>
      <c r="I115" s="21" t="s">
        <v>40</v>
      </c>
      <c r="J115" s="21" t="s">
        <v>54</v>
      </c>
      <c r="K115" s="25">
        <v>2679</v>
      </c>
      <c r="L115" s="25">
        <v>32148</v>
      </c>
      <c r="M115" s="21">
        <v>5</v>
      </c>
      <c r="N115" s="21">
        <v>6</v>
      </c>
      <c r="O115" s="21">
        <v>0</v>
      </c>
      <c r="P115" s="21">
        <v>1</v>
      </c>
      <c r="Q115" s="21" t="str">
        <f t="shared" ca="1" si="0"/>
        <v>Not Eligible</v>
      </c>
    </row>
    <row r="116" spans="1:17" ht="15.5" x14ac:dyDescent="0.35">
      <c r="A116" s="20">
        <v>115</v>
      </c>
      <c r="B116" s="21" t="s">
        <v>240</v>
      </c>
      <c r="C116" s="21" t="s">
        <v>241</v>
      </c>
      <c r="D116" s="22" t="str">
        <f>_xlfn.TEXTJOIN(" ",TRUE,Employees_Data[[#This Row],[First Name]],Employees_Data[[#This Row],[Last Name]])</f>
        <v>Mahir Alshear</v>
      </c>
      <c r="E116" s="21" t="s">
        <v>25</v>
      </c>
      <c r="F116" s="23">
        <v>43618</v>
      </c>
      <c r="G116" s="24">
        <f ca="1">DATEDIF(Employees!$F116,TODAY(),"Y")</f>
        <v>7</v>
      </c>
      <c r="H116" s="21" t="s">
        <v>26</v>
      </c>
      <c r="I116" s="21" t="s">
        <v>27</v>
      </c>
      <c r="J116" s="21" t="s">
        <v>60</v>
      </c>
      <c r="K116" s="25">
        <v>3166</v>
      </c>
      <c r="L116" s="25">
        <v>37992</v>
      </c>
      <c r="M116" s="21">
        <v>4.5</v>
      </c>
      <c r="N116" s="21">
        <v>5</v>
      </c>
      <c r="O116" s="21">
        <v>0</v>
      </c>
      <c r="P116" s="21">
        <v>4</v>
      </c>
      <c r="Q116" s="21" t="str">
        <f t="shared" ca="1" si="0"/>
        <v>Not Eligible</v>
      </c>
    </row>
    <row r="117" spans="1:17" ht="15.5" x14ac:dyDescent="0.35">
      <c r="A117" s="20">
        <v>116</v>
      </c>
      <c r="B117" s="21" t="s">
        <v>168</v>
      </c>
      <c r="C117" s="21" t="s">
        <v>242</v>
      </c>
      <c r="D117" s="22" t="str">
        <f>_xlfn.TEXTJOIN(" ",TRUE,Employees_Data[[#This Row],[First Name]],Employees_Data[[#This Row],[Last Name]])</f>
        <v>Ibrahim Alhamid</v>
      </c>
      <c r="E117" s="21" t="s">
        <v>25</v>
      </c>
      <c r="F117" s="23">
        <v>43527</v>
      </c>
      <c r="G117" s="24">
        <f ca="1">DATEDIF(Employees!$F117,TODAY(),"Y")</f>
        <v>7</v>
      </c>
      <c r="H117" s="21" t="s">
        <v>52</v>
      </c>
      <c r="I117" s="21" t="s">
        <v>53</v>
      </c>
      <c r="J117" s="21" t="s">
        <v>54</v>
      </c>
      <c r="K117" s="25">
        <v>2429</v>
      </c>
      <c r="L117" s="25">
        <v>29148</v>
      </c>
      <c r="M117" s="21">
        <v>5</v>
      </c>
      <c r="N117" s="21">
        <v>0</v>
      </c>
      <c r="O117" s="21">
        <v>0</v>
      </c>
      <c r="P117" s="21">
        <v>7</v>
      </c>
      <c r="Q117" s="21" t="str">
        <f t="shared" ca="1" si="0"/>
        <v>Not Eligible</v>
      </c>
    </row>
    <row r="118" spans="1:17" ht="15.5" x14ac:dyDescent="0.35">
      <c r="A118" s="20">
        <v>117</v>
      </c>
      <c r="B118" s="21" t="s">
        <v>57</v>
      </c>
      <c r="C118" s="21" t="s">
        <v>243</v>
      </c>
      <c r="D118" s="22" t="str">
        <f>_xlfn.TEXTJOIN(" ",TRUE,Employees_Data[[#This Row],[First Name]],Employees_Data[[#This Row],[Last Name]])</f>
        <v>Muhamad Alkhayr</v>
      </c>
      <c r="E118" s="21" t="s">
        <v>25</v>
      </c>
      <c r="F118" s="23">
        <v>43744</v>
      </c>
      <c r="G118" s="24">
        <f ca="1">DATEDIF(Employees!$F118,TODAY(),"Y")</f>
        <v>7</v>
      </c>
      <c r="H118" s="21" t="s">
        <v>52</v>
      </c>
      <c r="I118" s="21" t="s">
        <v>53</v>
      </c>
      <c r="J118" s="21" t="s">
        <v>54</v>
      </c>
      <c r="K118" s="25">
        <v>1865</v>
      </c>
      <c r="L118" s="25">
        <v>22380</v>
      </c>
      <c r="M118" s="21">
        <v>4.5</v>
      </c>
      <c r="N118" s="21">
        <v>0</v>
      </c>
      <c r="O118" s="21">
        <v>0</v>
      </c>
      <c r="P118" s="21">
        <v>4</v>
      </c>
      <c r="Q118" s="21" t="str">
        <f t="shared" ca="1" si="0"/>
        <v>Not Eligible</v>
      </c>
    </row>
    <row r="119" spans="1:17" ht="15.5" x14ac:dyDescent="0.35">
      <c r="A119" s="20">
        <v>118</v>
      </c>
      <c r="B119" s="21" t="s">
        <v>57</v>
      </c>
      <c r="C119" s="21" t="s">
        <v>244</v>
      </c>
      <c r="D119" s="22" t="str">
        <f>_xlfn.TEXTJOIN(" ",TRUE,Employees_Data[[#This Row],[First Name]],Employees_Data[[#This Row],[Last Name]])</f>
        <v>Muhamad Bashshar</v>
      </c>
      <c r="E119" s="21" t="s">
        <v>25</v>
      </c>
      <c r="F119" s="23">
        <v>43146</v>
      </c>
      <c r="G119" s="24">
        <f ca="1">DATEDIF(Employees!$F119,TODAY(),"Y")</f>
        <v>8</v>
      </c>
      <c r="H119" s="21" t="s">
        <v>65</v>
      </c>
      <c r="I119" s="21" t="s">
        <v>53</v>
      </c>
      <c r="J119" s="21" t="s">
        <v>83</v>
      </c>
      <c r="K119" s="25">
        <v>868</v>
      </c>
      <c r="L119" s="25">
        <v>10416</v>
      </c>
      <c r="M119" s="21">
        <v>4.5</v>
      </c>
      <c r="N119" s="21">
        <v>2</v>
      </c>
      <c r="O119" s="21">
        <v>0</v>
      </c>
      <c r="P119" s="21">
        <v>2</v>
      </c>
      <c r="Q119" s="21" t="str">
        <f t="shared" ca="1" si="0"/>
        <v>Not Eligible</v>
      </c>
    </row>
    <row r="120" spans="1:17" ht="15.5" x14ac:dyDescent="0.35">
      <c r="A120" s="20">
        <v>119</v>
      </c>
      <c r="B120" s="21" t="s">
        <v>57</v>
      </c>
      <c r="C120" s="21" t="s">
        <v>245</v>
      </c>
      <c r="D120" s="22" t="str">
        <f>_xlfn.TEXTJOIN(" ",TRUE,Employees_Data[[#This Row],[First Name]],Employees_Data[[#This Row],[Last Name]])</f>
        <v>Muhamad Jhad</v>
      </c>
      <c r="E120" s="21" t="s">
        <v>25</v>
      </c>
      <c r="F120" s="23">
        <v>43558</v>
      </c>
      <c r="G120" s="24">
        <f ca="1">DATEDIF(Employees!$F120,TODAY(),"Y")</f>
        <v>7</v>
      </c>
      <c r="H120" s="21" t="s">
        <v>52</v>
      </c>
      <c r="I120" s="21" t="s">
        <v>27</v>
      </c>
      <c r="J120" s="21" t="s">
        <v>29</v>
      </c>
      <c r="K120" s="25">
        <v>3411</v>
      </c>
      <c r="L120" s="25">
        <v>40932</v>
      </c>
      <c r="M120" s="21">
        <v>5</v>
      </c>
      <c r="N120" s="21">
        <v>4</v>
      </c>
      <c r="O120" s="21">
        <v>0</v>
      </c>
      <c r="P120" s="21">
        <v>2</v>
      </c>
      <c r="Q120" s="21" t="str">
        <f t="shared" ca="1" si="0"/>
        <v>Not Eligible</v>
      </c>
    </row>
    <row r="121" spans="1:17" ht="15.5" x14ac:dyDescent="0.35">
      <c r="A121" s="20">
        <v>120</v>
      </c>
      <c r="B121" s="21" t="s">
        <v>246</v>
      </c>
      <c r="C121" s="21" t="s">
        <v>247</v>
      </c>
      <c r="D121" s="22" t="str">
        <f>_xlfn.TEXTJOIN(" ",TRUE,Employees_Data[[#This Row],[First Name]],Employees_Data[[#This Row],[Last Name]])</f>
        <v>Limays Ghrz</v>
      </c>
      <c r="E121" s="21" t="s">
        <v>44</v>
      </c>
      <c r="F121" s="23">
        <v>42687</v>
      </c>
      <c r="G121" s="24">
        <f ca="1">DATEDIF(Employees!$F121,TODAY(),"Y")</f>
        <v>9</v>
      </c>
      <c r="H121" s="21" t="s">
        <v>81</v>
      </c>
      <c r="I121" s="21" t="s">
        <v>71</v>
      </c>
      <c r="J121" s="21" t="s">
        <v>60</v>
      </c>
      <c r="K121" s="25">
        <v>3324</v>
      </c>
      <c r="L121" s="25">
        <v>39888</v>
      </c>
      <c r="M121" s="21">
        <v>3</v>
      </c>
      <c r="N121" s="21">
        <v>5</v>
      </c>
      <c r="O121" s="21">
        <v>0</v>
      </c>
      <c r="P121" s="21">
        <v>7</v>
      </c>
      <c r="Q121" s="21" t="str">
        <f t="shared" ca="1" si="0"/>
        <v>Not Eligible</v>
      </c>
    </row>
    <row r="122" spans="1:17" ht="15.5" x14ac:dyDescent="0.35">
      <c r="A122" s="20">
        <v>121</v>
      </c>
      <c r="B122" s="21" t="s">
        <v>248</v>
      </c>
      <c r="C122" s="21" t="s">
        <v>249</v>
      </c>
      <c r="D122" s="22" t="str">
        <f>_xlfn.TEXTJOIN(" ",TRUE,Employees_Data[[#This Row],[First Name]],Employees_Data[[#This Row],[Last Name]])</f>
        <v>Zaydun Jabir</v>
      </c>
      <c r="E122" s="21" t="s">
        <v>25</v>
      </c>
      <c r="F122" s="23">
        <v>43762</v>
      </c>
      <c r="G122" s="24">
        <f ca="1">DATEDIF(Employees!$F122,TODAY(),"Y")</f>
        <v>7</v>
      </c>
      <c r="H122" s="21" t="s">
        <v>52</v>
      </c>
      <c r="I122" s="21" t="s">
        <v>53</v>
      </c>
      <c r="J122" s="21" t="s">
        <v>54</v>
      </c>
      <c r="K122" s="25">
        <v>2715</v>
      </c>
      <c r="L122" s="25">
        <v>32580</v>
      </c>
      <c r="M122" s="21">
        <v>1</v>
      </c>
      <c r="N122" s="21">
        <v>0</v>
      </c>
      <c r="O122" s="21">
        <v>3</v>
      </c>
      <c r="P122" s="21">
        <v>3</v>
      </c>
      <c r="Q122" s="21" t="str">
        <f t="shared" ca="1" si="0"/>
        <v>Not Eligible</v>
      </c>
    </row>
    <row r="123" spans="1:17" ht="15.5" x14ac:dyDescent="0.35">
      <c r="A123" s="20">
        <v>122</v>
      </c>
      <c r="B123" s="21" t="s">
        <v>250</v>
      </c>
      <c r="C123" s="21" t="s">
        <v>251</v>
      </c>
      <c r="D123" s="22" t="str">
        <f>_xlfn.TEXTJOIN(" ",TRUE,Employees_Data[[#This Row],[First Name]],Employees_Data[[#This Row],[Last Name]])</f>
        <v>Fatima Zaetar</v>
      </c>
      <c r="E123" s="21" t="s">
        <v>44</v>
      </c>
      <c r="F123" s="23">
        <v>43674</v>
      </c>
      <c r="G123" s="24">
        <f ca="1">DATEDIF(Employees!$F123,TODAY(),"Y")</f>
        <v>7</v>
      </c>
      <c r="H123" s="21" t="s">
        <v>99</v>
      </c>
      <c r="I123" s="21" t="s">
        <v>53</v>
      </c>
      <c r="J123" s="21" t="s">
        <v>29</v>
      </c>
      <c r="K123" s="25">
        <v>2664</v>
      </c>
      <c r="L123" s="25">
        <v>31968</v>
      </c>
      <c r="M123" s="21">
        <v>4.5</v>
      </c>
      <c r="N123" s="21">
        <v>1</v>
      </c>
      <c r="O123" s="21">
        <v>0</v>
      </c>
      <c r="P123" s="21">
        <v>9</v>
      </c>
      <c r="Q123" s="21" t="str">
        <f t="shared" ca="1" si="0"/>
        <v>Not Eligible</v>
      </c>
    </row>
    <row r="124" spans="1:17" ht="15.5" x14ac:dyDescent="0.35">
      <c r="A124" s="20">
        <v>123</v>
      </c>
      <c r="B124" s="21" t="s">
        <v>216</v>
      </c>
      <c r="C124" s="21" t="s">
        <v>252</v>
      </c>
      <c r="D124" s="22" t="str">
        <f>_xlfn.TEXTJOIN(" ",TRUE,Employees_Data[[#This Row],[First Name]],Employees_Data[[#This Row],[Last Name]])</f>
        <v>Tariq Shakir</v>
      </c>
      <c r="E124" s="21" t="s">
        <v>25</v>
      </c>
      <c r="F124" s="23">
        <v>44134</v>
      </c>
      <c r="G124" s="24">
        <f ca="1">DATEDIF(Employees!$F124,TODAY(),"Y")</f>
        <v>5</v>
      </c>
      <c r="H124" s="21" t="s">
        <v>26</v>
      </c>
      <c r="I124" s="21" t="s">
        <v>40</v>
      </c>
      <c r="J124" s="21" t="s">
        <v>54</v>
      </c>
      <c r="K124" s="25">
        <v>1801</v>
      </c>
      <c r="L124" s="25">
        <v>21612</v>
      </c>
      <c r="M124" s="21">
        <v>5</v>
      </c>
      <c r="N124" s="21">
        <v>0</v>
      </c>
      <c r="O124" s="21">
        <v>0</v>
      </c>
      <c r="P124" s="21">
        <v>82</v>
      </c>
      <c r="Q124" s="21" t="str">
        <f t="shared" ca="1" si="0"/>
        <v>Eligible</v>
      </c>
    </row>
    <row r="125" spans="1:17" ht="15.5" x14ac:dyDescent="0.35">
      <c r="A125" s="20">
        <v>124</v>
      </c>
      <c r="B125" s="21" t="s">
        <v>253</v>
      </c>
      <c r="C125" s="21" t="s">
        <v>254</v>
      </c>
      <c r="D125" s="22" t="str">
        <f>_xlfn.TEXTJOIN(" ",TRUE,Employees_Data[[#This Row],[First Name]],Employees_Data[[#This Row],[Last Name]])</f>
        <v>Ruyda Alhamadii</v>
      </c>
      <c r="E125" s="21" t="s">
        <v>44</v>
      </c>
      <c r="F125" s="23">
        <v>43125</v>
      </c>
      <c r="G125" s="24">
        <f ca="1">DATEDIF(Employees!$F125,TODAY(),"Y")</f>
        <v>8</v>
      </c>
      <c r="H125" s="21" t="s">
        <v>52</v>
      </c>
      <c r="I125" s="21" t="s">
        <v>53</v>
      </c>
      <c r="J125" s="21" t="s">
        <v>54</v>
      </c>
      <c r="K125" s="25">
        <v>1452</v>
      </c>
      <c r="L125" s="25">
        <v>17424</v>
      </c>
      <c r="M125" s="21">
        <v>3</v>
      </c>
      <c r="N125" s="21">
        <v>0</v>
      </c>
      <c r="O125" s="21">
        <v>0</v>
      </c>
      <c r="P125" s="21">
        <v>0</v>
      </c>
      <c r="Q125" s="21" t="str">
        <f t="shared" ca="1" si="0"/>
        <v>Not Eligible</v>
      </c>
    </row>
    <row r="126" spans="1:17" ht="15.5" x14ac:dyDescent="0.35">
      <c r="A126" s="20">
        <v>125</v>
      </c>
      <c r="B126" s="21" t="s">
        <v>255</v>
      </c>
      <c r="C126" s="21" t="s">
        <v>256</v>
      </c>
      <c r="D126" s="22" t="str">
        <f>_xlfn.TEXTJOIN(" ",TRUE,Employees_Data[[#This Row],[First Name]],Employees_Data[[#This Row],[Last Name]])</f>
        <v>Anwar Almaseud</v>
      </c>
      <c r="E126" s="21" t="s">
        <v>25</v>
      </c>
      <c r="F126" s="23">
        <v>42914</v>
      </c>
      <c r="G126" s="24">
        <f ca="1">DATEDIF(Employees!$F126,TODAY(),"Y")</f>
        <v>9</v>
      </c>
      <c r="H126" s="21" t="s">
        <v>26</v>
      </c>
      <c r="I126" s="21" t="s">
        <v>53</v>
      </c>
      <c r="J126" s="21" t="s">
        <v>60</v>
      </c>
      <c r="K126" s="25">
        <v>2358</v>
      </c>
      <c r="L126" s="25">
        <v>28296</v>
      </c>
      <c r="M126" s="21">
        <v>3</v>
      </c>
      <c r="N126" s="21">
        <v>0</v>
      </c>
      <c r="O126" s="21">
        <v>0</v>
      </c>
      <c r="P126" s="21">
        <v>14</v>
      </c>
      <c r="Q126" s="21" t="str">
        <f t="shared" ca="1" si="0"/>
        <v>Not Eligible</v>
      </c>
    </row>
    <row r="127" spans="1:17" ht="15.5" x14ac:dyDescent="0.35">
      <c r="A127" s="20">
        <v>126</v>
      </c>
      <c r="B127" s="21" t="s">
        <v>257</v>
      </c>
      <c r="C127" s="21" t="s">
        <v>258</v>
      </c>
      <c r="D127" s="22" t="str">
        <f>_xlfn.TEXTJOIN(" ",TRUE,Employees_Data[[#This Row],[First Name]],Employees_Data[[#This Row],[Last Name]])</f>
        <v>Fayaruz Sabih</v>
      </c>
      <c r="E127" s="21" t="s">
        <v>44</v>
      </c>
      <c r="F127" s="23">
        <v>43688</v>
      </c>
      <c r="G127" s="24">
        <f ca="1">DATEDIF(Employees!$F127,TODAY(),"Y")</f>
        <v>7</v>
      </c>
      <c r="H127" s="21" t="s">
        <v>52</v>
      </c>
      <c r="I127" s="21" t="s">
        <v>27</v>
      </c>
      <c r="J127" s="21" t="s">
        <v>60</v>
      </c>
      <c r="K127" s="25">
        <v>784</v>
      </c>
      <c r="L127" s="25">
        <v>9408</v>
      </c>
      <c r="M127" s="21">
        <v>3</v>
      </c>
      <c r="N127" s="21">
        <v>2</v>
      </c>
      <c r="O127" s="21">
        <v>3</v>
      </c>
      <c r="P127" s="21">
        <v>9</v>
      </c>
      <c r="Q127" s="21" t="str">
        <f t="shared" ca="1" si="0"/>
        <v>Not Eligible</v>
      </c>
    </row>
    <row r="128" spans="1:17" ht="15.5" x14ac:dyDescent="0.35">
      <c r="A128" s="20">
        <v>127</v>
      </c>
      <c r="B128" s="21" t="s">
        <v>259</v>
      </c>
      <c r="C128" s="21" t="s">
        <v>260</v>
      </c>
      <c r="D128" s="22" t="str">
        <f>_xlfn.TEXTJOIN(" ",TRUE,Employees_Data[[#This Row],[First Name]],Employees_Data[[#This Row],[Last Name]])</f>
        <v>Jwny Alrashid</v>
      </c>
      <c r="E128" s="21" t="s">
        <v>25</v>
      </c>
      <c r="F128" s="23">
        <v>42943</v>
      </c>
      <c r="G128" s="24">
        <f ca="1">DATEDIF(Employees!$F128,TODAY(),"Y")</f>
        <v>9</v>
      </c>
      <c r="H128" s="21" t="s">
        <v>52</v>
      </c>
      <c r="I128" s="21" t="s">
        <v>27</v>
      </c>
      <c r="J128" s="21" t="s">
        <v>54</v>
      </c>
      <c r="K128" s="25">
        <v>1423</v>
      </c>
      <c r="L128" s="25">
        <v>17076</v>
      </c>
      <c r="M128" s="21">
        <v>3</v>
      </c>
      <c r="N128" s="21">
        <v>0</v>
      </c>
      <c r="O128" s="21">
        <v>0</v>
      </c>
      <c r="P128" s="21">
        <v>4</v>
      </c>
      <c r="Q128" s="21" t="str">
        <f t="shared" ca="1" si="0"/>
        <v>Not Eligible</v>
      </c>
    </row>
    <row r="129" spans="1:17" ht="15.5" x14ac:dyDescent="0.35">
      <c r="A129" s="20">
        <v>128</v>
      </c>
      <c r="B129" s="21" t="s">
        <v>179</v>
      </c>
      <c r="C129" s="21" t="s">
        <v>261</v>
      </c>
      <c r="D129" s="22" t="str">
        <f>_xlfn.TEXTJOIN(" ",TRUE,Employees_Data[[#This Row],[First Name]],Employees_Data[[#This Row],[Last Name]])</f>
        <v>Karam Kiali</v>
      </c>
      <c r="E129" s="21" t="s">
        <v>25</v>
      </c>
      <c r="F129" s="23">
        <v>43309</v>
      </c>
      <c r="G129" s="24">
        <f ca="1">DATEDIF(Employees!$F129,TODAY(),"Y")</f>
        <v>8</v>
      </c>
      <c r="H129" s="21" t="s">
        <v>221</v>
      </c>
      <c r="I129" s="21" t="s">
        <v>53</v>
      </c>
      <c r="J129" s="21" t="s">
        <v>54</v>
      </c>
      <c r="K129" s="25">
        <v>2174</v>
      </c>
      <c r="L129" s="25">
        <v>26088</v>
      </c>
      <c r="M129" s="21">
        <v>2</v>
      </c>
      <c r="N129" s="21">
        <v>6</v>
      </c>
      <c r="O129" s="21">
        <v>0</v>
      </c>
      <c r="P129" s="21">
        <v>10</v>
      </c>
      <c r="Q129" s="21" t="str">
        <f t="shared" ca="1" si="0"/>
        <v>Not Eligible</v>
      </c>
    </row>
    <row r="130" spans="1:17" ht="15.5" x14ac:dyDescent="0.35">
      <c r="A130" s="20">
        <v>129</v>
      </c>
      <c r="B130" s="21" t="s">
        <v>262</v>
      </c>
      <c r="C130" s="21" t="s">
        <v>263</v>
      </c>
      <c r="D130" s="22" t="str">
        <f>_xlfn.TEXTJOIN(" ",TRUE,Employees_Data[[#This Row],[First Name]],Employees_Data[[#This Row],[Last Name]])</f>
        <v>Jamal Alhalib</v>
      </c>
      <c r="E130" s="21" t="s">
        <v>25</v>
      </c>
      <c r="F130" s="23">
        <v>44030</v>
      </c>
      <c r="G130" s="24">
        <f ca="1">DATEDIF(Employees!$F130,TODAY(),"Y")</f>
        <v>6</v>
      </c>
      <c r="H130" s="21" t="s">
        <v>81</v>
      </c>
      <c r="I130" s="21" t="s">
        <v>27</v>
      </c>
      <c r="J130" s="21" t="s">
        <v>60</v>
      </c>
      <c r="K130" s="25">
        <v>2182</v>
      </c>
      <c r="L130" s="25">
        <v>26184</v>
      </c>
      <c r="M130" s="21">
        <v>4.5</v>
      </c>
      <c r="N130" s="21">
        <v>6</v>
      </c>
      <c r="O130" s="21">
        <v>0</v>
      </c>
      <c r="P130" s="21">
        <v>74</v>
      </c>
      <c r="Q130" s="21" t="str">
        <f t="shared" ca="1" si="0"/>
        <v>Eligible</v>
      </c>
    </row>
    <row r="131" spans="1:17" ht="15.5" x14ac:dyDescent="0.35">
      <c r="A131" s="20">
        <v>130</v>
      </c>
      <c r="B131" s="21" t="s">
        <v>264</v>
      </c>
      <c r="C131" s="21" t="s">
        <v>265</v>
      </c>
      <c r="D131" s="22" t="str">
        <f>_xlfn.TEXTJOIN(" ",TRUE,Employees_Data[[#This Row],[First Name]],Employees_Data[[#This Row],[Last Name]])</f>
        <v>Suzan Alsawis</v>
      </c>
      <c r="E131" s="21" t="s">
        <v>44</v>
      </c>
      <c r="F131" s="23">
        <v>43675</v>
      </c>
      <c r="G131" s="24">
        <f ca="1">DATEDIF(Employees!$F131,TODAY(),"Y")</f>
        <v>7</v>
      </c>
      <c r="H131" s="21" t="s">
        <v>26</v>
      </c>
      <c r="I131" s="21" t="s">
        <v>27</v>
      </c>
      <c r="J131" s="21" t="s">
        <v>54</v>
      </c>
      <c r="K131" s="25">
        <v>2437</v>
      </c>
      <c r="L131" s="25">
        <v>29244</v>
      </c>
      <c r="M131" s="21">
        <v>3</v>
      </c>
      <c r="N131" s="21">
        <v>0</v>
      </c>
      <c r="O131" s="21">
        <v>0</v>
      </c>
      <c r="P131" s="21">
        <v>2</v>
      </c>
      <c r="Q131" s="21" t="str">
        <f t="shared" ca="1" si="0"/>
        <v>Not Eligible</v>
      </c>
    </row>
    <row r="132" spans="1:17" ht="15.5" x14ac:dyDescent="0.35">
      <c r="A132" s="20">
        <v>131</v>
      </c>
      <c r="B132" s="21" t="s">
        <v>82</v>
      </c>
      <c r="C132" s="21" t="s">
        <v>266</v>
      </c>
      <c r="D132" s="22" t="str">
        <f>_xlfn.TEXTJOIN(" ",TRUE,Employees_Data[[#This Row],[First Name]],Employees_Data[[#This Row],[Last Name]])</f>
        <v>Alaa Efan</v>
      </c>
      <c r="E132" s="21" t="s">
        <v>44</v>
      </c>
      <c r="F132" s="23">
        <v>43726</v>
      </c>
      <c r="G132" s="24">
        <f ca="1">DATEDIF(Employees!$F132,TODAY(),"Y")</f>
        <v>7</v>
      </c>
      <c r="H132" s="21" t="s">
        <v>26</v>
      </c>
      <c r="I132" s="21" t="s">
        <v>27</v>
      </c>
      <c r="J132" s="21" t="s">
        <v>54</v>
      </c>
      <c r="K132" s="25">
        <v>926</v>
      </c>
      <c r="L132" s="25">
        <v>11112</v>
      </c>
      <c r="M132" s="21">
        <v>2</v>
      </c>
      <c r="N132" s="21">
        <v>3</v>
      </c>
      <c r="O132" s="21">
        <v>0</v>
      </c>
      <c r="P132" s="21">
        <v>1</v>
      </c>
      <c r="Q132" s="21" t="str">
        <f t="shared" ca="1" si="0"/>
        <v>Not Eligible</v>
      </c>
    </row>
    <row r="133" spans="1:17" ht="15.5" x14ac:dyDescent="0.35">
      <c r="A133" s="20">
        <v>132</v>
      </c>
      <c r="B133" s="21" t="s">
        <v>267</v>
      </c>
      <c r="C133" s="21" t="s">
        <v>268</v>
      </c>
      <c r="D133" s="22" t="str">
        <f>_xlfn.TEXTJOIN(" ",TRUE,Employees_Data[[#This Row],[First Name]],Employees_Data[[#This Row],[Last Name]])</f>
        <v>Jihad Aldarawasha</v>
      </c>
      <c r="E133" s="21" t="s">
        <v>25</v>
      </c>
      <c r="F133" s="23">
        <v>42765</v>
      </c>
      <c r="G133" s="24">
        <f ca="1">DATEDIF(Employees!$F133,TODAY(),"Y")</f>
        <v>9</v>
      </c>
      <c r="H133" s="21" t="s">
        <v>81</v>
      </c>
      <c r="I133" s="21" t="s">
        <v>53</v>
      </c>
      <c r="J133" s="21" t="s">
        <v>29</v>
      </c>
      <c r="K133" s="25">
        <v>1506</v>
      </c>
      <c r="L133" s="25">
        <v>18072</v>
      </c>
      <c r="M133" s="21">
        <v>3</v>
      </c>
      <c r="N133" s="21">
        <v>0</v>
      </c>
      <c r="O133" s="21">
        <v>0</v>
      </c>
      <c r="P133" s="21">
        <v>1</v>
      </c>
      <c r="Q133" s="21" t="str">
        <f t="shared" ca="1" si="0"/>
        <v>Not Eligible</v>
      </c>
    </row>
    <row r="134" spans="1:17" ht="15.5" x14ac:dyDescent="0.35">
      <c r="A134" s="20">
        <v>133</v>
      </c>
      <c r="B134" s="21" t="s">
        <v>57</v>
      </c>
      <c r="C134" s="21" t="s">
        <v>186</v>
      </c>
      <c r="D134" s="22" t="str">
        <f>_xlfn.TEXTJOIN(" ",TRUE,Employees_Data[[#This Row],[First Name]],Employees_Data[[#This Row],[Last Name]])</f>
        <v>Muhamad Khalid</v>
      </c>
      <c r="E134" s="21" t="s">
        <v>25</v>
      </c>
      <c r="F134" s="23">
        <v>43103</v>
      </c>
      <c r="G134" s="24">
        <f ca="1">DATEDIF(Employees!$F134,TODAY(),"Y")</f>
        <v>8</v>
      </c>
      <c r="H134" s="21" t="s">
        <v>73</v>
      </c>
      <c r="I134" s="21" t="s">
        <v>40</v>
      </c>
      <c r="J134" s="21" t="s">
        <v>60</v>
      </c>
      <c r="K134" s="25">
        <v>3159</v>
      </c>
      <c r="L134" s="25">
        <v>37908</v>
      </c>
      <c r="M134" s="21">
        <v>5</v>
      </c>
      <c r="N134" s="21">
        <v>0</v>
      </c>
      <c r="O134" s="21">
        <v>0</v>
      </c>
      <c r="P134" s="21">
        <v>10</v>
      </c>
      <c r="Q134" s="21" t="str">
        <f t="shared" ca="1" si="0"/>
        <v>Not Eligible</v>
      </c>
    </row>
    <row r="135" spans="1:17" ht="15.5" x14ac:dyDescent="0.35">
      <c r="A135" s="20">
        <v>134</v>
      </c>
      <c r="B135" s="21" t="s">
        <v>269</v>
      </c>
      <c r="C135" s="21" t="s">
        <v>270</v>
      </c>
      <c r="D135" s="22" t="str">
        <f>_xlfn.TEXTJOIN(" ",TRUE,Employees_Data[[#This Row],[First Name]],Employees_Data[[#This Row],[Last Name]])</f>
        <v>Haithim Hujah</v>
      </c>
      <c r="E135" s="21" t="s">
        <v>25</v>
      </c>
      <c r="F135" s="23">
        <v>42982</v>
      </c>
      <c r="G135" s="24">
        <f ca="1">DATEDIF(Employees!$F135,TODAY(),"Y")</f>
        <v>9</v>
      </c>
      <c r="H135" s="21" t="s">
        <v>99</v>
      </c>
      <c r="I135" s="21" t="s">
        <v>71</v>
      </c>
      <c r="J135" s="21" t="s">
        <v>60</v>
      </c>
      <c r="K135" s="25">
        <v>1117</v>
      </c>
      <c r="L135" s="25">
        <v>13404</v>
      </c>
      <c r="M135" s="21">
        <v>1</v>
      </c>
      <c r="N135" s="21">
        <v>0</v>
      </c>
      <c r="O135" s="21">
        <v>0</v>
      </c>
      <c r="P135" s="21">
        <v>3</v>
      </c>
      <c r="Q135" s="21" t="str">
        <f t="shared" ca="1" si="0"/>
        <v>Not Eligible</v>
      </c>
    </row>
    <row r="136" spans="1:17" ht="15.5" x14ac:dyDescent="0.35">
      <c r="A136" s="20">
        <v>135</v>
      </c>
      <c r="B136" s="21" t="s">
        <v>271</v>
      </c>
      <c r="C136" s="21" t="s">
        <v>272</v>
      </c>
      <c r="D136" s="22" t="str">
        <f>_xlfn.TEXTJOIN(" ",TRUE,Employees_Data[[#This Row],[First Name]],Employees_Data[[#This Row],[Last Name]])</f>
        <v>Duhana Alakhris</v>
      </c>
      <c r="E136" s="21" t="s">
        <v>44</v>
      </c>
      <c r="F136" s="23">
        <v>43265</v>
      </c>
      <c r="G136" s="24">
        <f ca="1">DATEDIF(Employees!$F136,TODAY(),"Y")</f>
        <v>8</v>
      </c>
      <c r="H136" s="21" t="s">
        <v>26</v>
      </c>
      <c r="I136" s="21" t="s">
        <v>71</v>
      </c>
      <c r="J136" s="21" t="s">
        <v>29</v>
      </c>
      <c r="K136" s="25">
        <v>2379</v>
      </c>
      <c r="L136" s="25">
        <v>28548</v>
      </c>
      <c r="M136" s="21">
        <v>4.5</v>
      </c>
      <c r="N136" s="21">
        <v>0</v>
      </c>
      <c r="O136" s="21">
        <v>0</v>
      </c>
      <c r="P136" s="21">
        <v>7</v>
      </c>
      <c r="Q136" s="21" t="str">
        <f t="shared" ca="1" si="0"/>
        <v>Not Eligible</v>
      </c>
    </row>
    <row r="137" spans="1:17" ht="15.5" x14ac:dyDescent="0.35">
      <c r="A137" s="20">
        <v>136</v>
      </c>
      <c r="B137" s="21" t="s">
        <v>273</v>
      </c>
      <c r="C137" s="21" t="s">
        <v>237</v>
      </c>
      <c r="D137" s="22" t="str">
        <f>_xlfn.TEXTJOIN(" ",TRUE,Employees_Data[[#This Row],[First Name]],Employees_Data[[#This Row],[Last Name]])</f>
        <v>Eazalidin Almala</v>
      </c>
      <c r="E137" s="21" t="s">
        <v>25</v>
      </c>
      <c r="F137" s="23">
        <v>43797</v>
      </c>
      <c r="G137" s="24">
        <f ca="1">DATEDIF(Employees!$F137,TODAY(),"Y")</f>
        <v>6</v>
      </c>
      <c r="H137" s="21" t="s">
        <v>52</v>
      </c>
      <c r="I137" s="21" t="s">
        <v>27</v>
      </c>
      <c r="J137" s="21" t="s">
        <v>54</v>
      </c>
      <c r="K137" s="25">
        <v>2372</v>
      </c>
      <c r="L137" s="25">
        <v>28464</v>
      </c>
      <c r="M137" s="21">
        <v>5</v>
      </c>
      <c r="N137" s="21">
        <v>4</v>
      </c>
      <c r="O137" s="21">
        <v>1</v>
      </c>
      <c r="P137" s="21">
        <v>6</v>
      </c>
      <c r="Q137" s="21" t="str">
        <f t="shared" ca="1" si="0"/>
        <v>Not Eligible</v>
      </c>
    </row>
    <row r="138" spans="1:17" ht="15.5" x14ac:dyDescent="0.35">
      <c r="A138" s="20">
        <v>137</v>
      </c>
      <c r="B138" s="21" t="s">
        <v>274</v>
      </c>
      <c r="C138" s="21" t="s">
        <v>275</v>
      </c>
      <c r="D138" s="22" t="str">
        <f>_xlfn.TEXTJOIN(" ",TRUE,Employees_Data[[#This Row],[First Name]],Employees_Data[[#This Row],[Last Name]])</f>
        <v>Habib Klizli</v>
      </c>
      <c r="E138" s="21" t="s">
        <v>25</v>
      </c>
      <c r="F138" s="23">
        <v>43870</v>
      </c>
      <c r="G138" s="24">
        <f ca="1">DATEDIF(Employees!$F138,TODAY(),"Y")</f>
        <v>6</v>
      </c>
      <c r="H138" s="21" t="s">
        <v>99</v>
      </c>
      <c r="I138" s="21" t="s">
        <v>27</v>
      </c>
      <c r="J138" s="21" t="s">
        <v>60</v>
      </c>
      <c r="K138" s="25">
        <v>2908</v>
      </c>
      <c r="L138" s="25">
        <v>34896</v>
      </c>
      <c r="M138" s="21">
        <v>3</v>
      </c>
      <c r="N138" s="21">
        <v>0</v>
      </c>
      <c r="O138" s="21">
        <v>0</v>
      </c>
      <c r="P138" s="21">
        <v>12</v>
      </c>
      <c r="Q138" s="21" t="str">
        <f t="shared" ca="1" si="0"/>
        <v>Not Eligible</v>
      </c>
    </row>
    <row r="139" spans="1:17" ht="15.5" x14ac:dyDescent="0.35">
      <c r="A139" s="20">
        <v>138</v>
      </c>
      <c r="B139" s="21" t="s">
        <v>193</v>
      </c>
      <c r="C139" s="21" t="s">
        <v>276</v>
      </c>
      <c r="D139" s="22" t="str">
        <f>_xlfn.TEXTJOIN(" ",TRUE,Employees_Data[[#This Row],[First Name]],Employees_Data[[#This Row],[Last Name]])</f>
        <v>Rasha Bajubuj</v>
      </c>
      <c r="E139" s="21" t="s">
        <v>44</v>
      </c>
      <c r="F139" s="23">
        <v>43963</v>
      </c>
      <c r="G139" s="24">
        <f ca="1">DATEDIF(Employees!$F139,TODAY(),"Y")</f>
        <v>6</v>
      </c>
      <c r="H139" s="21" t="s">
        <v>115</v>
      </c>
      <c r="I139" s="21" t="s">
        <v>27</v>
      </c>
      <c r="J139" s="21" t="s">
        <v>54</v>
      </c>
      <c r="K139" s="25">
        <v>2019</v>
      </c>
      <c r="L139" s="25">
        <v>24228</v>
      </c>
      <c r="M139" s="21">
        <v>3</v>
      </c>
      <c r="N139" s="21">
        <v>5</v>
      </c>
      <c r="O139" s="21">
        <v>2</v>
      </c>
      <c r="P139" s="21">
        <v>15</v>
      </c>
      <c r="Q139" s="21" t="str">
        <f t="shared" ca="1" si="0"/>
        <v>Not Eligible</v>
      </c>
    </row>
    <row r="140" spans="1:17" ht="15.5" x14ac:dyDescent="0.35">
      <c r="A140" s="20">
        <v>139</v>
      </c>
      <c r="B140" s="21" t="s">
        <v>240</v>
      </c>
      <c r="C140" s="21" t="s">
        <v>277</v>
      </c>
      <c r="D140" s="22" t="str">
        <f>_xlfn.TEXTJOIN(" ",TRUE,Employees_Data[[#This Row],[First Name]],Employees_Data[[#This Row],[Last Name]])</f>
        <v>Mahir Albaghdadi</v>
      </c>
      <c r="E140" s="21" t="s">
        <v>25</v>
      </c>
      <c r="F140" s="23">
        <v>43249</v>
      </c>
      <c r="G140" s="24">
        <f ca="1">DATEDIF(Employees!$F140,TODAY(),"Y")</f>
        <v>8</v>
      </c>
      <c r="H140" s="21" t="s">
        <v>52</v>
      </c>
      <c r="I140" s="21" t="s">
        <v>27</v>
      </c>
      <c r="J140" s="21" t="s">
        <v>60</v>
      </c>
      <c r="K140" s="25">
        <v>877</v>
      </c>
      <c r="L140" s="25">
        <v>10524</v>
      </c>
      <c r="M140" s="21">
        <v>1</v>
      </c>
      <c r="N140" s="21">
        <v>0</v>
      </c>
      <c r="O140" s="21">
        <v>0</v>
      </c>
      <c r="P140" s="21">
        <v>0</v>
      </c>
      <c r="Q140" s="21" t="str">
        <f t="shared" ca="1" si="0"/>
        <v>Not Eligible</v>
      </c>
    </row>
    <row r="141" spans="1:17" ht="15.5" x14ac:dyDescent="0.35">
      <c r="A141" s="20">
        <v>140</v>
      </c>
      <c r="B141" s="21" t="s">
        <v>82</v>
      </c>
      <c r="C141" s="21" t="s">
        <v>278</v>
      </c>
      <c r="D141" s="22" t="str">
        <f>_xlfn.TEXTJOIN(" ",TRUE,Employees_Data[[#This Row],[First Name]],Employees_Data[[#This Row],[Last Name]])</f>
        <v>Alaa Almunzilijiu</v>
      </c>
      <c r="E141" s="21" t="s">
        <v>25</v>
      </c>
      <c r="F141" s="23">
        <v>43546</v>
      </c>
      <c r="G141" s="24">
        <f ca="1">DATEDIF(Employees!$F141,TODAY(),"Y")</f>
        <v>7</v>
      </c>
      <c r="H141" s="21" t="s">
        <v>81</v>
      </c>
      <c r="I141" s="21" t="s">
        <v>27</v>
      </c>
      <c r="J141" s="21" t="s">
        <v>60</v>
      </c>
      <c r="K141" s="25">
        <v>1043</v>
      </c>
      <c r="L141" s="25">
        <v>12516</v>
      </c>
      <c r="M141" s="21">
        <v>5</v>
      </c>
      <c r="N141" s="21">
        <v>0</v>
      </c>
      <c r="O141" s="21">
        <v>0</v>
      </c>
      <c r="P141" s="21">
        <v>0</v>
      </c>
      <c r="Q141" s="21" t="str">
        <f t="shared" ca="1" si="0"/>
        <v>Not Eligible</v>
      </c>
    </row>
    <row r="142" spans="1:17" ht="15.5" x14ac:dyDescent="0.35">
      <c r="A142" s="20">
        <v>141</v>
      </c>
      <c r="B142" s="21" t="s">
        <v>279</v>
      </c>
      <c r="C142" s="21" t="s">
        <v>280</v>
      </c>
      <c r="D142" s="22" t="str">
        <f>_xlfn.TEXTJOIN(" ",TRUE,Employees_Data[[#This Row],[First Name]],Employees_Data[[#This Row],[Last Name]])</f>
        <v>Labanaa Qaziyha</v>
      </c>
      <c r="E142" s="21" t="s">
        <v>44</v>
      </c>
      <c r="F142" s="23">
        <v>43698</v>
      </c>
      <c r="G142" s="24">
        <f ca="1">DATEDIF(Employees!$F142,TODAY(),"Y")</f>
        <v>7</v>
      </c>
      <c r="H142" s="21" t="s">
        <v>73</v>
      </c>
      <c r="I142" s="21" t="s">
        <v>53</v>
      </c>
      <c r="J142" s="21" t="s">
        <v>54</v>
      </c>
      <c r="K142" s="25">
        <v>3258</v>
      </c>
      <c r="L142" s="25">
        <v>39096</v>
      </c>
      <c r="M142" s="21">
        <v>3</v>
      </c>
      <c r="N142" s="21">
        <v>3</v>
      </c>
      <c r="O142" s="21">
        <v>0</v>
      </c>
      <c r="P142" s="21">
        <v>0</v>
      </c>
      <c r="Q142" s="21" t="str">
        <f t="shared" ca="1" si="0"/>
        <v>Not Eligible</v>
      </c>
    </row>
    <row r="143" spans="1:17" ht="15.5" x14ac:dyDescent="0.35">
      <c r="A143" s="20">
        <v>142</v>
      </c>
      <c r="B143" s="21" t="s">
        <v>281</v>
      </c>
      <c r="C143" s="21" t="s">
        <v>102</v>
      </c>
      <c r="D143" s="22" t="str">
        <f>_xlfn.TEXTJOIN(" ",TRUE,Employees_Data[[#This Row],[First Name]],Employees_Data[[#This Row],[Last Name]])</f>
        <v>Fatnh Abu</v>
      </c>
      <c r="E143" s="21" t="s">
        <v>44</v>
      </c>
      <c r="F143" s="23">
        <v>44165</v>
      </c>
      <c r="G143" s="24">
        <f ca="1">DATEDIF(Employees!$F143,TODAY(),"Y")</f>
        <v>5</v>
      </c>
      <c r="H143" s="21" t="s">
        <v>99</v>
      </c>
      <c r="I143" s="21" t="s">
        <v>40</v>
      </c>
      <c r="J143" s="21" t="s">
        <v>60</v>
      </c>
      <c r="K143" s="25">
        <v>976</v>
      </c>
      <c r="L143" s="25">
        <v>11712</v>
      </c>
      <c r="M143" s="21">
        <v>5</v>
      </c>
      <c r="N143" s="21">
        <v>5</v>
      </c>
      <c r="O143" s="21">
        <v>0</v>
      </c>
      <c r="P143" s="21">
        <v>2</v>
      </c>
      <c r="Q143" s="21" t="str">
        <f t="shared" ca="1" si="0"/>
        <v>Not Eligible</v>
      </c>
    </row>
    <row r="144" spans="1:17" ht="15.5" x14ac:dyDescent="0.35">
      <c r="A144" s="20">
        <v>143</v>
      </c>
      <c r="B144" s="21" t="s">
        <v>282</v>
      </c>
      <c r="C144" s="21" t="s">
        <v>160</v>
      </c>
      <c r="D144" s="22" t="str">
        <f>_xlfn.TEXTJOIN(" ",TRUE,Employees_Data[[#This Row],[First Name]],Employees_Data[[#This Row],[Last Name]])</f>
        <v>Iilyas Dahadal</v>
      </c>
      <c r="E144" s="21" t="s">
        <v>44</v>
      </c>
      <c r="F144" s="23">
        <v>43571</v>
      </c>
      <c r="G144" s="24">
        <f ca="1">DATEDIF(Employees!$F144,TODAY(),"Y")</f>
        <v>7</v>
      </c>
      <c r="H144" s="21" t="s">
        <v>65</v>
      </c>
      <c r="I144" s="21" t="s">
        <v>27</v>
      </c>
      <c r="J144" s="21" t="s">
        <v>54</v>
      </c>
      <c r="K144" s="25">
        <v>3096</v>
      </c>
      <c r="L144" s="25">
        <v>37152</v>
      </c>
      <c r="M144" s="21">
        <v>2</v>
      </c>
      <c r="N144" s="21">
        <v>0</v>
      </c>
      <c r="O144" s="21">
        <v>0</v>
      </c>
      <c r="P144" s="21">
        <v>8</v>
      </c>
      <c r="Q144" s="21" t="str">
        <f t="shared" ca="1" si="0"/>
        <v>Not Eligible</v>
      </c>
    </row>
    <row r="145" spans="1:17" ht="15.5" x14ac:dyDescent="0.35">
      <c r="A145" s="20">
        <v>144</v>
      </c>
      <c r="B145" s="21" t="s">
        <v>143</v>
      </c>
      <c r="C145" s="21" t="s">
        <v>283</v>
      </c>
      <c r="D145" s="22" t="str">
        <f>_xlfn.TEXTJOIN(" ",TRUE,Employees_Data[[#This Row],[First Name]],Employees_Data[[#This Row],[Last Name]])</f>
        <v>Rim Huaydi</v>
      </c>
      <c r="E145" s="21" t="s">
        <v>44</v>
      </c>
      <c r="F145" s="23">
        <v>43551</v>
      </c>
      <c r="G145" s="24">
        <f ca="1">DATEDIF(Employees!$F145,TODAY(),"Y")</f>
        <v>7</v>
      </c>
      <c r="H145" s="21" t="s">
        <v>98</v>
      </c>
      <c r="I145" s="21" t="s">
        <v>27</v>
      </c>
      <c r="J145" s="21" t="s">
        <v>29</v>
      </c>
      <c r="K145" s="25">
        <v>1985</v>
      </c>
      <c r="L145" s="25">
        <v>23820</v>
      </c>
      <c r="M145" s="21">
        <v>3</v>
      </c>
      <c r="N145" s="21">
        <v>6</v>
      </c>
      <c r="O145" s="21">
        <v>2</v>
      </c>
      <c r="P145" s="21">
        <v>6</v>
      </c>
      <c r="Q145" s="21" t="str">
        <f t="shared" ca="1" si="0"/>
        <v>Not Eligible</v>
      </c>
    </row>
    <row r="146" spans="1:17" ht="15.5" x14ac:dyDescent="0.35">
      <c r="A146" s="20">
        <v>145</v>
      </c>
      <c r="B146" s="21" t="s">
        <v>55</v>
      </c>
      <c r="C146" s="21" t="s">
        <v>57</v>
      </c>
      <c r="D146" s="22" t="str">
        <f>_xlfn.TEXTJOIN(" ",TRUE,Employees_Data[[#This Row],[First Name]],Employees_Data[[#This Row],[Last Name]])</f>
        <v>Ahmad Muhamad</v>
      </c>
      <c r="E146" s="21" t="s">
        <v>25</v>
      </c>
      <c r="F146" s="23">
        <v>43850</v>
      </c>
      <c r="G146" s="24">
        <f ca="1">DATEDIF(Employees!$F146,TODAY(),"Y")</f>
        <v>6</v>
      </c>
      <c r="H146" s="21" t="s">
        <v>59</v>
      </c>
      <c r="I146" s="21" t="s">
        <v>53</v>
      </c>
      <c r="J146" s="21" t="s">
        <v>54</v>
      </c>
      <c r="K146" s="25">
        <v>2371</v>
      </c>
      <c r="L146" s="25">
        <v>28452</v>
      </c>
      <c r="M146" s="21">
        <v>5</v>
      </c>
      <c r="N146" s="21">
        <v>0</v>
      </c>
      <c r="O146" s="21">
        <v>0</v>
      </c>
      <c r="P146" s="21">
        <v>1</v>
      </c>
      <c r="Q146" s="21" t="str">
        <f t="shared" ca="1" si="0"/>
        <v>Not Eligible</v>
      </c>
    </row>
    <row r="147" spans="1:17" ht="15.5" x14ac:dyDescent="0.35">
      <c r="A147" s="20">
        <v>146</v>
      </c>
      <c r="B147" s="21" t="s">
        <v>284</v>
      </c>
      <c r="C147" s="21" t="s">
        <v>285</v>
      </c>
      <c r="D147" s="22" t="str">
        <f>_xlfn.TEXTJOIN(" ",TRUE,Employees_Data[[#This Row],[First Name]],Employees_Data[[#This Row],[Last Name]])</f>
        <v>Abd Alruhmin Almahrus</v>
      </c>
      <c r="E147" s="21" t="s">
        <v>25</v>
      </c>
      <c r="F147" s="23">
        <v>43520</v>
      </c>
      <c r="G147" s="24">
        <f ca="1">DATEDIF(Employees!$F147,TODAY(),"Y")</f>
        <v>7</v>
      </c>
      <c r="H147" s="21" t="s">
        <v>99</v>
      </c>
      <c r="I147" s="21" t="s">
        <v>27</v>
      </c>
      <c r="J147" s="21" t="s">
        <v>60</v>
      </c>
      <c r="K147" s="25">
        <v>2562</v>
      </c>
      <c r="L147" s="25">
        <v>30744</v>
      </c>
      <c r="M147" s="21">
        <v>2</v>
      </c>
      <c r="N147" s="21">
        <v>4</v>
      </c>
      <c r="O147" s="21">
        <v>0</v>
      </c>
      <c r="P147" s="21">
        <v>3</v>
      </c>
      <c r="Q147" s="21" t="str">
        <f t="shared" ca="1" si="0"/>
        <v>Not Eligible</v>
      </c>
    </row>
    <row r="148" spans="1:17" ht="15.5" x14ac:dyDescent="0.35">
      <c r="A148" s="20">
        <v>147</v>
      </c>
      <c r="B148" s="21" t="s">
        <v>286</v>
      </c>
      <c r="C148" s="21" t="s">
        <v>287</v>
      </c>
      <c r="D148" s="22" t="str">
        <f>_xlfn.TEXTJOIN(" ",TRUE,Employees_Data[[#This Row],[First Name]],Employees_Data[[#This Row],[Last Name]])</f>
        <v>Biaism Tyzry</v>
      </c>
      <c r="E148" s="21" t="s">
        <v>44</v>
      </c>
      <c r="F148" s="23">
        <v>44071</v>
      </c>
      <c r="G148" s="24">
        <f ca="1">DATEDIF(Employees!$F148,TODAY(),"Y")</f>
        <v>6</v>
      </c>
      <c r="H148" s="21" t="s">
        <v>26</v>
      </c>
      <c r="I148" s="21" t="s">
        <v>71</v>
      </c>
      <c r="J148" s="21" t="s">
        <v>54</v>
      </c>
      <c r="K148" s="25">
        <v>1254</v>
      </c>
      <c r="L148" s="25">
        <v>15048</v>
      </c>
      <c r="M148" s="21">
        <v>5</v>
      </c>
      <c r="N148" s="21">
        <v>0</v>
      </c>
      <c r="O148" s="21">
        <v>0</v>
      </c>
      <c r="P148" s="21">
        <v>8</v>
      </c>
      <c r="Q148" s="21" t="str">
        <f t="shared" ca="1" si="0"/>
        <v>Not Eligible</v>
      </c>
    </row>
    <row r="149" spans="1:17" ht="15.5" x14ac:dyDescent="0.35">
      <c r="A149" s="20">
        <v>148</v>
      </c>
      <c r="B149" s="21" t="s">
        <v>36</v>
      </c>
      <c r="C149" s="21" t="s">
        <v>288</v>
      </c>
      <c r="D149" s="22" t="str">
        <f>_xlfn.TEXTJOIN(" ",TRUE,Employees_Data[[#This Row],[First Name]],Employees_Data[[#This Row],[Last Name]])</f>
        <v>Omar Milatu</v>
      </c>
      <c r="E149" s="21" t="s">
        <v>25</v>
      </c>
      <c r="F149" s="23">
        <v>43173</v>
      </c>
      <c r="G149" s="24">
        <f ca="1">DATEDIF(Employees!$F149,TODAY(),"Y")</f>
        <v>8</v>
      </c>
      <c r="H149" s="21" t="s">
        <v>52</v>
      </c>
      <c r="I149" s="21" t="s">
        <v>71</v>
      </c>
      <c r="J149" s="21" t="s">
        <v>54</v>
      </c>
      <c r="K149" s="25">
        <v>793</v>
      </c>
      <c r="L149" s="25">
        <v>9516</v>
      </c>
      <c r="M149" s="21">
        <v>5</v>
      </c>
      <c r="N149" s="21">
        <v>6</v>
      </c>
      <c r="O149" s="21">
        <v>0</v>
      </c>
      <c r="P149" s="21">
        <v>2</v>
      </c>
      <c r="Q149" s="21" t="str">
        <f t="shared" ca="1" si="0"/>
        <v>Not Eligible</v>
      </c>
    </row>
    <row r="150" spans="1:17" ht="15.5" x14ac:dyDescent="0.35">
      <c r="A150" s="20">
        <v>149</v>
      </c>
      <c r="B150" s="21" t="s">
        <v>289</v>
      </c>
      <c r="C150" s="21" t="s">
        <v>290</v>
      </c>
      <c r="D150" s="22" t="str">
        <f>_xlfn.TEXTJOIN(" ",TRUE,Employees_Data[[#This Row],[First Name]],Employees_Data[[#This Row],[Last Name]])</f>
        <v>Alyida Nieamah</v>
      </c>
      <c r="E150" s="21" t="s">
        <v>44</v>
      </c>
      <c r="F150" s="23">
        <v>43007</v>
      </c>
      <c r="G150" s="24">
        <f ca="1">DATEDIF(Employees!$F150,TODAY(),"Y")</f>
        <v>9</v>
      </c>
      <c r="H150" s="21" t="s">
        <v>140</v>
      </c>
      <c r="I150" s="21" t="s">
        <v>27</v>
      </c>
      <c r="J150" s="21" t="s">
        <v>29</v>
      </c>
      <c r="K150" s="25">
        <v>2416</v>
      </c>
      <c r="L150" s="25">
        <v>28992</v>
      </c>
      <c r="M150" s="21">
        <v>3</v>
      </c>
      <c r="N150" s="21">
        <v>0</v>
      </c>
      <c r="O150" s="21">
        <v>0</v>
      </c>
      <c r="P150" s="21">
        <v>2</v>
      </c>
      <c r="Q150" s="21" t="str">
        <f t="shared" ca="1" si="0"/>
        <v>Not Eligible</v>
      </c>
    </row>
    <row r="151" spans="1:17" ht="15.5" x14ac:dyDescent="0.35">
      <c r="A151" s="20">
        <v>150</v>
      </c>
      <c r="B151" s="21" t="s">
        <v>291</v>
      </c>
      <c r="C151" s="21" t="s">
        <v>292</v>
      </c>
      <c r="D151" s="22" t="str">
        <f>_xlfn.TEXTJOIN(" ",TRUE,Employees_Data[[#This Row],[First Name]],Employees_Data[[#This Row],[Last Name]])</f>
        <v>Kamal Hajl</v>
      </c>
      <c r="E151" s="21" t="s">
        <v>25</v>
      </c>
      <c r="F151" s="23">
        <v>42773</v>
      </c>
      <c r="G151" s="24">
        <f ca="1">DATEDIF(Employees!$F151,TODAY(),"Y")</f>
        <v>9</v>
      </c>
      <c r="H151" s="21" t="s">
        <v>76</v>
      </c>
      <c r="I151" s="21" t="s">
        <v>71</v>
      </c>
      <c r="J151" s="21" t="s">
        <v>60</v>
      </c>
      <c r="K151" s="25">
        <v>822</v>
      </c>
      <c r="L151" s="25">
        <v>9864</v>
      </c>
      <c r="M151" s="21">
        <v>5</v>
      </c>
      <c r="N151" s="21">
        <v>6</v>
      </c>
      <c r="O151" s="21">
        <v>0</v>
      </c>
      <c r="P151" s="21">
        <v>1</v>
      </c>
      <c r="Q151" s="21" t="str">
        <f t="shared" ca="1" si="0"/>
        <v>Not Eligible</v>
      </c>
    </row>
    <row r="152" spans="1:17" ht="15.5" x14ac:dyDescent="0.35">
      <c r="A152" s="20">
        <v>151</v>
      </c>
      <c r="B152" s="21" t="s">
        <v>293</v>
      </c>
      <c r="C152" s="21" t="s">
        <v>294</v>
      </c>
      <c r="D152" s="22" t="str">
        <f>_xlfn.TEXTJOIN(" ",TRUE,Employees_Data[[#This Row],[First Name]],Employees_Data[[#This Row],[Last Name]])</f>
        <v>Amjad Naghnagh</v>
      </c>
      <c r="E152" s="21" t="s">
        <v>25</v>
      </c>
      <c r="F152" s="23">
        <v>44118</v>
      </c>
      <c r="G152" s="24">
        <f ca="1">DATEDIF(Employees!$F152,TODAY(),"Y")</f>
        <v>6</v>
      </c>
      <c r="H152" s="21" t="s">
        <v>52</v>
      </c>
      <c r="I152" s="21" t="s">
        <v>27</v>
      </c>
      <c r="J152" s="21" t="s">
        <v>83</v>
      </c>
      <c r="K152" s="25">
        <v>1442</v>
      </c>
      <c r="L152" s="25">
        <v>17304</v>
      </c>
      <c r="M152" s="21">
        <v>5</v>
      </c>
      <c r="N152" s="21">
        <v>2</v>
      </c>
      <c r="O152" s="21">
        <v>1</v>
      </c>
      <c r="P152" s="21">
        <v>23</v>
      </c>
      <c r="Q152" s="21" t="str">
        <f t="shared" ca="1" si="0"/>
        <v>Not Eligible</v>
      </c>
    </row>
    <row r="153" spans="1:17" ht="15.5" x14ac:dyDescent="0.35">
      <c r="A153" s="20">
        <v>152</v>
      </c>
      <c r="B153" s="21" t="s">
        <v>61</v>
      </c>
      <c r="C153" s="21" t="s">
        <v>295</v>
      </c>
      <c r="D153" s="22" t="str">
        <f>_xlfn.TEXTJOIN(" ",TRUE,Employees_Data[[#This Row],[First Name]],Employees_Data[[#This Row],[Last Name]])</f>
        <v>Iin Qisi</v>
      </c>
      <c r="E153" s="21" t="s">
        <v>44</v>
      </c>
      <c r="F153" s="23">
        <v>43780</v>
      </c>
      <c r="G153" s="24">
        <f ca="1">DATEDIF(Employees!$F153,TODAY(),"Y")</f>
        <v>6</v>
      </c>
      <c r="H153" s="21" t="s">
        <v>73</v>
      </c>
      <c r="I153" s="21" t="s">
        <v>27</v>
      </c>
      <c r="J153" s="21" t="s">
        <v>29</v>
      </c>
      <c r="K153" s="25">
        <v>887</v>
      </c>
      <c r="L153" s="25">
        <v>10644</v>
      </c>
      <c r="M153" s="21">
        <v>4.5</v>
      </c>
      <c r="N153" s="21">
        <v>0</v>
      </c>
      <c r="O153" s="21">
        <v>0</v>
      </c>
      <c r="P153" s="21">
        <v>54</v>
      </c>
      <c r="Q153" s="21" t="str">
        <f t="shared" ca="1" si="0"/>
        <v>Eligible</v>
      </c>
    </row>
    <row r="154" spans="1:17" ht="15.5" x14ac:dyDescent="0.35">
      <c r="A154" s="20">
        <v>153</v>
      </c>
      <c r="B154" s="21" t="s">
        <v>296</v>
      </c>
      <c r="C154" s="21" t="s">
        <v>297</v>
      </c>
      <c r="D154" s="22" t="str">
        <f>_xlfn.TEXTJOIN(" ",TRUE,Employees_Data[[#This Row],[First Name]],Employees_Data[[#This Row],[Last Name]])</f>
        <v>Basmah Alhabis</v>
      </c>
      <c r="E154" s="21" t="s">
        <v>44</v>
      </c>
      <c r="F154" s="23">
        <v>42792</v>
      </c>
      <c r="G154" s="24">
        <f ca="1">DATEDIF(Employees!$F154,TODAY(),"Y")</f>
        <v>9</v>
      </c>
      <c r="H154" s="21" t="s">
        <v>52</v>
      </c>
      <c r="I154" s="21" t="s">
        <v>27</v>
      </c>
      <c r="J154" s="21" t="s">
        <v>60</v>
      </c>
      <c r="K154" s="25">
        <v>1671</v>
      </c>
      <c r="L154" s="25">
        <v>20052</v>
      </c>
      <c r="M154" s="21">
        <v>2</v>
      </c>
      <c r="N154" s="21">
        <v>0</v>
      </c>
      <c r="O154" s="21">
        <v>0</v>
      </c>
      <c r="P154" s="21">
        <v>3</v>
      </c>
      <c r="Q154" s="21" t="str">
        <f t="shared" ca="1" si="0"/>
        <v>Not Eligible</v>
      </c>
    </row>
    <row r="155" spans="1:17" ht="15.5" x14ac:dyDescent="0.35">
      <c r="A155" s="20">
        <v>154</v>
      </c>
      <c r="B155" s="21" t="s">
        <v>111</v>
      </c>
      <c r="C155" s="21" t="s">
        <v>298</v>
      </c>
      <c r="D155" s="22" t="str">
        <f>_xlfn.TEXTJOIN(" ",TRUE,Employees_Data[[#This Row],[First Name]],Employees_Data[[#This Row],[Last Name]])</f>
        <v>Eala Dahbur</v>
      </c>
      <c r="E155" s="21" t="s">
        <v>44</v>
      </c>
      <c r="F155" s="23">
        <v>43551</v>
      </c>
      <c r="G155" s="24">
        <f ca="1">DATEDIF(Employees!$F155,TODAY(),"Y")</f>
        <v>7</v>
      </c>
      <c r="H155" s="21" t="s">
        <v>65</v>
      </c>
      <c r="I155" s="21" t="s">
        <v>53</v>
      </c>
      <c r="J155" s="21" t="s">
        <v>54</v>
      </c>
      <c r="K155" s="25">
        <v>1877</v>
      </c>
      <c r="L155" s="25">
        <v>22524</v>
      </c>
      <c r="M155" s="21">
        <v>4.5</v>
      </c>
      <c r="N155" s="21">
        <v>1</v>
      </c>
      <c r="O155" s="21">
        <v>0</v>
      </c>
      <c r="P155" s="21">
        <v>0</v>
      </c>
      <c r="Q155" s="21" t="str">
        <f t="shared" ca="1" si="0"/>
        <v>Not Eligible</v>
      </c>
    </row>
    <row r="156" spans="1:17" ht="15.5" x14ac:dyDescent="0.35">
      <c r="A156" s="20">
        <v>155</v>
      </c>
      <c r="B156" s="21" t="s">
        <v>299</v>
      </c>
      <c r="C156" s="21" t="s">
        <v>300</v>
      </c>
      <c r="D156" s="22" t="str">
        <f>_xlfn.TEXTJOIN(" ",TRUE,Employees_Data[[#This Row],[First Name]],Employees_Data[[#This Row],[Last Name]])</f>
        <v>Rwbyna Iibrahim</v>
      </c>
      <c r="E156" s="21" t="s">
        <v>44</v>
      </c>
      <c r="F156" s="23">
        <v>43529</v>
      </c>
      <c r="G156" s="24">
        <f ca="1">DATEDIF(Employees!$F156,TODAY(),"Y")</f>
        <v>7</v>
      </c>
      <c r="H156" s="21" t="s">
        <v>73</v>
      </c>
      <c r="I156" s="21" t="s">
        <v>53</v>
      </c>
      <c r="J156" s="21" t="s">
        <v>60</v>
      </c>
      <c r="K156" s="25">
        <v>1960</v>
      </c>
      <c r="L156" s="25">
        <v>23520</v>
      </c>
      <c r="M156" s="21">
        <v>2</v>
      </c>
      <c r="N156" s="21">
        <v>0</v>
      </c>
      <c r="O156" s="21">
        <v>0</v>
      </c>
      <c r="P156" s="21">
        <v>8</v>
      </c>
      <c r="Q156" s="21" t="str">
        <f t="shared" ca="1" si="0"/>
        <v>Not Eligible</v>
      </c>
    </row>
    <row r="157" spans="1:17" ht="15.5" x14ac:dyDescent="0.35">
      <c r="A157" s="20">
        <v>156</v>
      </c>
      <c r="B157" s="21" t="s">
        <v>216</v>
      </c>
      <c r="C157" s="21" t="s">
        <v>88</v>
      </c>
      <c r="D157" s="22" t="str">
        <f>_xlfn.TEXTJOIN(" ",TRUE,Employees_Data[[#This Row],[First Name]],Employees_Data[[#This Row],[Last Name]])</f>
        <v>Tariq Salim</v>
      </c>
      <c r="E157" s="21" t="s">
        <v>25</v>
      </c>
      <c r="F157" s="23">
        <v>43300</v>
      </c>
      <c r="G157" s="24">
        <f ca="1">DATEDIF(Employees!$F157,TODAY(),"Y")</f>
        <v>8</v>
      </c>
      <c r="H157" s="21" t="s">
        <v>52</v>
      </c>
      <c r="I157" s="21" t="s">
        <v>53</v>
      </c>
      <c r="J157" s="21" t="s">
        <v>54</v>
      </c>
      <c r="K157" s="25">
        <v>2422</v>
      </c>
      <c r="L157" s="25">
        <v>29064</v>
      </c>
      <c r="M157" s="21">
        <v>4.5</v>
      </c>
      <c r="N157" s="21">
        <v>0</v>
      </c>
      <c r="O157" s="21">
        <v>2</v>
      </c>
      <c r="P157" s="21">
        <v>10</v>
      </c>
      <c r="Q157" s="21" t="str">
        <f t="shared" ca="1" si="0"/>
        <v>Not Eligible</v>
      </c>
    </row>
    <row r="158" spans="1:17" ht="15.5" x14ac:dyDescent="0.35">
      <c r="A158" s="20">
        <v>157</v>
      </c>
      <c r="B158" s="21" t="s">
        <v>301</v>
      </c>
      <c r="C158" s="21" t="s">
        <v>302</v>
      </c>
      <c r="D158" s="22" t="str">
        <f>_xlfn.TEXTJOIN(" ",TRUE,Employees_Data[[#This Row],[First Name]],Employees_Data[[#This Row],[Last Name]])</f>
        <v>Basimah Sybea</v>
      </c>
      <c r="E158" s="21" t="s">
        <v>44</v>
      </c>
      <c r="F158" s="23">
        <v>43683</v>
      </c>
      <c r="G158" s="24">
        <f ca="1">DATEDIF(Employees!$F158,TODAY(),"Y")</f>
        <v>7</v>
      </c>
      <c r="H158" s="21" t="s">
        <v>52</v>
      </c>
      <c r="I158" s="21" t="s">
        <v>40</v>
      </c>
      <c r="J158" s="21" t="s">
        <v>54</v>
      </c>
      <c r="K158" s="25">
        <v>1299</v>
      </c>
      <c r="L158" s="25">
        <v>15588</v>
      </c>
      <c r="M158" s="21">
        <v>5</v>
      </c>
      <c r="N158" s="21">
        <v>0</v>
      </c>
      <c r="O158" s="21">
        <v>0</v>
      </c>
      <c r="P158" s="21">
        <v>8</v>
      </c>
      <c r="Q158" s="21" t="str">
        <f t="shared" ca="1" si="0"/>
        <v>Not Eligible</v>
      </c>
    </row>
    <row r="159" spans="1:17" ht="15.5" x14ac:dyDescent="0.35">
      <c r="A159" s="20">
        <v>158</v>
      </c>
      <c r="B159" s="21" t="s">
        <v>303</v>
      </c>
      <c r="C159" s="21" t="s">
        <v>304</v>
      </c>
      <c r="D159" s="22" t="str">
        <f>_xlfn.TEXTJOIN(" ",TRUE,Employees_Data[[#This Row],[First Name]],Employees_Data[[#This Row],[Last Name]])</f>
        <v>Zunar Eali</v>
      </c>
      <c r="E159" s="21" t="s">
        <v>25</v>
      </c>
      <c r="F159" s="23">
        <v>43908</v>
      </c>
      <c r="G159" s="24">
        <f ca="1">DATEDIF(Employees!$F159,TODAY(),"Y")</f>
        <v>6</v>
      </c>
      <c r="H159" s="21" t="s">
        <v>47</v>
      </c>
      <c r="I159" s="21" t="s">
        <v>27</v>
      </c>
      <c r="J159" s="21" t="s">
        <v>83</v>
      </c>
      <c r="K159" s="25">
        <v>2127</v>
      </c>
      <c r="L159" s="25">
        <v>25524</v>
      </c>
      <c r="M159" s="21">
        <v>5</v>
      </c>
      <c r="N159" s="21">
        <v>0</v>
      </c>
      <c r="O159" s="21">
        <v>0</v>
      </c>
      <c r="P159" s="21">
        <v>3</v>
      </c>
      <c r="Q159" s="21" t="str">
        <f t="shared" ca="1" si="0"/>
        <v>Not Eligible</v>
      </c>
    </row>
    <row r="160" spans="1:17" ht="15.5" x14ac:dyDescent="0.35">
      <c r="A160" s="20">
        <v>159</v>
      </c>
      <c r="B160" s="21" t="s">
        <v>143</v>
      </c>
      <c r="C160" s="21" t="s">
        <v>305</v>
      </c>
      <c r="D160" s="22" t="str">
        <f>_xlfn.TEXTJOIN(" ",TRUE,Employees_Data[[#This Row],[First Name]],Employees_Data[[#This Row],[Last Name]])</f>
        <v>Rim Mia</v>
      </c>
      <c r="E160" s="21" t="s">
        <v>44</v>
      </c>
      <c r="F160" s="23">
        <v>43653</v>
      </c>
      <c r="G160" s="24">
        <f ca="1">DATEDIF(Employees!$F160,TODAY(),"Y")</f>
        <v>7</v>
      </c>
      <c r="H160" s="21" t="s">
        <v>26</v>
      </c>
      <c r="I160" s="21" t="s">
        <v>27</v>
      </c>
      <c r="J160" s="21" t="s">
        <v>60</v>
      </c>
      <c r="K160" s="25">
        <v>3096</v>
      </c>
      <c r="L160" s="25">
        <v>37152</v>
      </c>
      <c r="M160" s="21">
        <v>2</v>
      </c>
      <c r="N160" s="21">
        <v>5</v>
      </c>
      <c r="O160" s="21">
        <v>0</v>
      </c>
      <c r="P160" s="21">
        <v>9</v>
      </c>
      <c r="Q160" s="21" t="str">
        <f t="shared" ca="1" si="0"/>
        <v>Not Eligible</v>
      </c>
    </row>
    <row r="161" spans="1:17" ht="15.5" x14ac:dyDescent="0.35">
      <c r="A161" s="20">
        <v>160</v>
      </c>
      <c r="B161" s="21" t="s">
        <v>306</v>
      </c>
      <c r="C161" s="21" t="s">
        <v>307</v>
      </c>
      <c r="D161" s="22" t="str">
        <f>_xlfn.TEXTJOIN(" ",TRUE,Employees_Data[[#This Row],[First Name]],Employees_Data[[#This Row],[Last Name]])</f>
        <v>Lana Alhabash</v>
      </c>
      <c r="E161" s="21" t="s">
        <v>44</v>
      </c>
      <c r="F161" s="23">
        <v>42405</v>
      </c>
      <c r="G161" s="24">
        <f ca="1">DATEDIF(Employees!$F161,TODAY(),"Y")</f>
        <v>10</v>
      </c>
      <c r="H161" s="21" t="s">
        <v>52</v>
      </c>
      <c r="I161" s="21" t="s">
        <v>27</v>
      </c>
      <c r="J161" s="21" t="s">
        <v>29</v>
      </c>
      <c r="K161" s="25">
        <v>951</v>
      </c>
      <c r="L161" s="25">
        <v>11412</v>
      </c>
      <c r="M161" s="21">
        <v>1</v>
      </c>
      <c r="N161" s="21">
        <v>6</v>
      </c>
      <c r="O161" s="21">
        <v>0</v>
      </c>
      <c r="P161" s="21">
        <v>8</v>
      </c>
      <c r="Q161" s="21" t="str">
        <f t="shared" ca="1" si="0"/>
        <v>Not Eligible</v>
      </c>
    </row>
    <row r="162" spans="1:17" ht="15.5" x14ac:dyDescent="0.35">
      <c r="A162" s="20">
        <v>161</v>
      </c>
      <c r="B162" s="21" t="s">
        <v>57</v>
      </c>
      <c r="C162" s="21" t="s">
        <v>308</v>
      </c>
      <c r="D162" s="22" t="str">
        <f>_xlfn.TEXTJOIN(" ",TRUE,Employees_Data[[#This Row],[First Name]],Employees_Data[[#This Row],[Last Name]])</f>
        <v>Muhamad Alshghry</v>
      </c>
      <c r="E162" s="21" t="s">
        <v>25</v>
      </c>
      <c r="F162" s="23">
        <v>43967</v>
      </c>
      <c r="G162" s="24">
        <f ca="1">DATEDIF(Employees!$F162,TODAY(),"Y")</f>
        <v>6</v>
      </c>
      <c r="H162" s="21" t="s">
        <v>52</v>
      </c>
      <c r="I162" s="21" t="s">
        <v>27</v>
      </c>
      <c r="J162" s="21" t="s">
        <v>60</v>
      </c>
      <c r="K162" s="25">
        <v>2940</v>
      </c>
      <c r="L162" s="25">
        <v>35280</v>
      </c>
      <c r="M162" s="21">
        <v>1</v>
      </c>
      <c r="N162" s="21">
        <v>6</v>
      </c>
      <c r="O162" s="21">
        <v>0</v>
      </c>
      <c r="P162" s="21">
        <v>13</v>
      </c>
      <c r="Q162" s="21" t="str">
        <f t="shared" ca="1" si="0"/>
        <v>Not Eligible</v>
      </c>
    </row>
    <row r="163" spans="1:17" ht="15.5" x14ac:dyDescent="0.35">
      <c r="A163" s="20">
        <v>162</v>
      </c>
      <c r="B163" s="21" t="s">
        <v>309</v>
      </c>
      <c r="C163" s="21" t="s">
        <v>310</v>
      </c>
      <c r="D163" s="22" t="str">
        <f>_xlfn.TEXTJOIN(" ",TRUE,Employees_Data[[#This Row],[First Name]],Employees_Data[[#This Row],[Last Name]])</f>
        <v>Ghazal Hisan</v>
      </c>
      <c r="E163" s="21" t="s">
        <v>44</v>
      </c>
      <c r="F163" s="23">
        <v>44102</v>
      </c>
      <c r="G163" s="24">
        <f ca="1">DATEDIF(Employees!$F163,TODAY(),"Y")</f>
        <v>6</v>
      </c>
      <c r="H163" s="21" t="s">
        <v>76</v>
      </c>
      <c r="I163" s="21" t="s">
        <v>40</v>
      </c>
      <c r="J163" s="21" t="s">
        <v>54</v>
      </c>
      <c r="K163" s="25">
        <v>3293</v>
      </c>
      <c r="L163" s="25">
        <v>39516</v>
      </c>
      <c r="M163" s="21">
        <v>4.5</v>
      </c>
      <c r="N163" s="21">
        <v>1</v>
      </c>
      <c r="O163" s="21">
        <v>6</v>
      </c>
      <c r="P163" s="21">
        <v>9</v>
      </c>
      <c r="Q163" s="21" t="str">
        <f t="shared" ca="1" si="0"/>
        <v>Not Eligible</v>
      </c>
    </row>
    <row r="164" spans="1:17" ht="15.5" x14ac:dyDescent="0.35">
      <c r="A164" s="20">
        <v>163</v>
      </c>
      <c r="B164" s="21" t="s">
        <v>311</v>
      </c>
      <c r="C164" s="21" t="s">
        <v>312</v>
      </c>
      <c r="D164" s="22" t="str">
        <f>_xlfn.TEXTJOIN(" ",TRUE,Employees_Data[[#This Row],[First Name]],Employees_Data[[#This Row],[Last Name]])</f>
        <v>Khalil Alzaebii</v>
      </c>
      <c r="E164" s="21" t="s">
        <v>25</v>
      </c>
      <c r="F164" s="23">
        <v>42840</v>
      </c>
      <c r="G164" s="24">
        <f ca="1">DATEDIF(Employees!$F164,TODAY(),"Y")</f>
        <v>9</v>
      </c>
      <c r="H164" s="21" t="s">
        <v>81</v>
      </c>
      <c r="I164" s="21" t="s">
        <v>53</v>
      </c>
      <c r="J164" s="21" t="s">
        <v>60</v>
      </c>
      <c r="K164" s="25">
        <v>3250</v>
      </c>
      <c r="L164" s="25">
        <v>39000</v>
      </c>
      <c r="M164" s="21">
        <v>2</v>
      </c>
      <c r="N164" s="21">
        <v>1</v>
      </c>
      <c r="O164" s="21">
        <v>0</v>
      </c>
      <c r="P164" s="21">
        <v>8</v>
      </c>
      <c r="Q164" s="21" t="str">
        <f t="shared" ca="1" si="0"/>
        <v>Not Eligible</v>
      </c>
    </row>
    <row r="165" spans="1:17" ht="15.5" x14ac:dyDescent="0.35">
      <c r="A165" s="20">
        <v>164</v>
      </c>
      <c r="B165" s="21" t="s">
        <v>91</v>
      </c>
      <c r="C165" s="21" t="s">
        <v>313</v>
      </c>
      <c r="D165" s="22" t="str">
        <f>_xlfn.TEXTJOIN(" ",TRUE,Employees_Data[[#This Row],[First Name]],Employees_Data[[#This Row],[Last Name]])</f>
        <v>Samir Shalish</v>
      </c>
      <c r="E165" s="21" t="s">
        <v>25</v>
      </c>
      <c r="F165" s="23">
        <v>43385</v>
      </c>
      <c r="G165" s="24">
        <f ca="1">DATEDIF(Employees!$F165,TODAY(),"Y")</f>
        <v>8</v>
      </c>
      <c r="H165" s="21" t="s">
        <v>65</v>
      </c>
      <c r="I165" s="21" t="s">
        <v>27</v>
      </c>
      <c r="J165" s="21" t="s">
        <v>54</v>
      </c>
      <c r="K165" s="25">
        <v>2085</v>
      </c>
      <c r="L165" s="25">
        <v>25020</v>
      </c>
      <c r="M165" s="21">
        <v>3</v>
      </c>
      <c r="N165" s="21">
        <v>1</v>
      </c>
      <c r="O165" s="21">
        <v>0</v>
      </c>
      <c r="P165" s="21">
        <v>9</v>
      </c>
      <c r="Q165" s="21" t="str">
        <f t="shared" ca="1" si="0"/>
        <v>Not Eligible</v>
      </c>
    </row>
    <row r="166" spans="1:17" ht="15.5" x14ac:dyDescent="0.35">
      <c r="A166" s="20">
        <v>165</v>
      </c>
      <c r="B166" s="21" t="s">
        <v>314</v>
      </c>
      <c r="C166" s="21" t="s">
        <v>55</v>
      </c>
      <c r="D166" s="22" t="str">
        <f>_xlfn.TEXTJOIN(" ",TRUE,Employees_Data[[#This Row],[First Name]],Employees_Data[[#This Row],[Last Name]])</f>
        <v>Abdalmjid Ahmad</v>
      </c>
      <c r="E166" s="21" t="s">
        <v>25</v>
      </c>
      <c r="F166" s="23">
        <v>43638</v>
      </c>
      <c r="G166" s="24">
        <f ca="1">DATEDIF(Employees!$F166,TODAY(),"Y")</f>
        <v>7</v>
      </c>
      <c r="H166" s="21" t="s">
        <v>52</v>
      </c>
      <c r="I166" s="21" t="s">
        <v>315</v>
      </c>
      <c r="J166" s="21" t="s">
        <v>54</v>
      </c>
      <c r="K166" s="25">
        <v>1578</v>
      </c>
      <c r="L166" s="25">
        <v>18936</v>
      </c>
      <c r="M166" s="21">
        <v>3</v>
      </c>
      <c r="N166" s="21">
        <v>0</v>
      </c>
      <c r="O166" s="21">
        <v>0</v>
      </c>
      <c r="P166" s="21">
        <v>15</v>
      </c>
      <c r="Q166" s="21" t="str">
        <f t="shared" ca="1" si="0"/>
        <v>Not Eligible</v>
      </c>
    </row>
    <row r="167" spans="1:17" ht="15.5" x14ac:dyDescent="0.35">
      <c r="A167" s="20">
        <v>166</v>
      </c>
      <c r="B167" s="21" t="s">
        <v>316</v>
      </c>
      <c r="C167" s="21" t="s">
        <v>317</v>
      </c>
      <c r="D167" s="22" t="str">
        <f>_xlfn.TEXTJOIN(" ",TRUE,Employees_Data[[#This Row],[First Name]],Employees_Data[[#This Row],[Last Name]])</f>
        <v>Emar Abil</v>
      </c>
      <c r="E167" s="21" t="s">
        <v>44</v>
      </c>
      <c r="F167" s="23">
        <v>43725</v>
      </c>
      <c r="G167" s="24">
        <f ca="1">DATEDIF(Employees!$F167,TODAY(),"Y")</f>
        <v>7</v>
      </c>
      <c r="H167" s="21" t="s">
        <v>65</v>
      </c>
      <c r="I167" s="21" t="s">
        <v>53</v>
      </c>
      <c r="J167" s="21" t="s">
        <v>54</v>
      </c>
      <c r="K167" s="25">
        <v>1169</v>
      </c>
      <c r="L167" s="25">
        <v>14028</v>
      </c>
      <c r="M167" s="21">
        <v>3</v>
      </c>
      <c r="N167" s="21">
        <v>1</v>
      </c>
      <c r="O167" s="21">
        <v>0</v>
      </c>
      <c r="P167" s="21">
        <v>10</v>
      </c>
      <c r="Q167" s="21" t="str">
        <f t="shared" ca="1" si="0"/>
        <v>Not Eligible</v>
      </c>
    </row>
    <row r="168" spans="1:17" ht="15.5" x14ac:dyDescent="0.35">
      <c r="A168" s="20">
        <v>167</v>
      </c>
      <c r="B168" s="21" t="s">
        <v>318</v>
      </c>
      <c r="C168" s="21" t="s">
        <v>319</v>
      </c>
      <c r="D168" s="22" t="str">
        <f>_xlfn.TEXTJOIN(" ",TRUE,Employees_Data[[#This Row],[First Name]],Employees_Data[[#This Row],[Last Name]])</f>
        <v>Lamia Warur</v>
      </c>
      <c r="E168" s="21" t="s">
        <v>44</v>
      </c>
      <c r="F168" s="23">
        <v>42927</v>
      </c>
      <c r="G168" s="24">
        <f ca="1">DATEDIF(Employees!$F168,TODAY(),"Y")</f>
        <v>9</v>
      </c>
      <c r="H168" s="21" t="s">
        <v>65</v>
      </c>
      <c r="I168" s="21" t="s">
        <v>40</v>
      </c>
      <c r="J168" s="21" t="s">
        <v>83</v>
      </c>
      <c r="K168" s="25">
        <v>1054</v>
      </c>
      <c r="L168" s="25">
        <v>12648</v>
      </c>
      <c r="M168" s="21">
        <v>5</v>
      </c>
      <c r="N168" s="21">
        <v>4</v>
      </c>
      <c r="O168" s="21">
        <v>6</v>
      </c>
      <c r="P168" s="21">
        <v>7</v>
      </c>
      <c r="Q168" s="21" t="str">
        <f t="shared" ca="1" si="0"/>
        <v>Not Eligible</v>
      </c>
    </row>
    <row r="169" spans="1:17" ht="15.5" x14ac:dyDescent="0.35">
      <c r="A169" s="20">
        <v>168</v>
      </c>
      <c r="B169" s="21" t="s">
        <v>320</v>
      </c>
      <c r="C169" s="21" t="s">
        <v>102</v>
      </c>
      <c r="D169" s="22" t="str">
        <f>_xlfn.TEXTJOIN(" ",TRUE,Employees_Data[[#This Row],[First Name]],Employees_Data[[#This Row],[Last Name]])</f>
        <v>Fyfian Abu</v>
      </c>
      <c r="E169" s="21" t="s">
        <v>44</v>
      </c>
      <c r="F169" s="23">
        <v>43680</v>
      </c>
      <c r="G169" s="24">
        <f ca="1">DATEDIF(Employees!$F169,TODAY(),"Y")</f>
        <v>7</v>
      </c>
      <c r="H169" s="21" t="s">
        <v>65</v>
      </c>
      <c r="I169" s="21" t="s">
        <v>27</v>
      </c>
      <c r="J169" s="21" t="s">
        <v>54</v>
      </c>
      <c r="K169" s="25">
        <v>1349</v>
      </c>
      <c r="L169" s="25">
        <v>16188</v>
      </c>
      <c r="M169" s="21">
        <v>4.5</v>
      </c>
      <c r="N169" s="21">
        <v>1</v>
      </c>
      <c r="O169" s="21">
        <v>0</v>
      </c>
      <c r="P169" s="21">
        <v>4</v>
      </c>
      <c r="Q169" s="21" t="str">
        <f t="shared" ca="1" si="0"/>
        <v>Not Eligible</v>
      </c>
    </row>
    <row r="170" spans="1:17" ht="15.5" x14ac:dyDescent="0.35">
      <c r="A170" s="20">
        <v>169</v>
      </c>
      <c r="B170" s="21" t="s">
        <v>321</v>
      </c>
      <c r="C170" s="21" t="s">
        <v>322</v>
      </c>
      <c r="D170" s="22" t="str">
        <f>_xlfn.TEXTJOIN(" ",TRUE,Employees_Data[[#This Row],[First Name]],Employees_Data[[#This Row],[Last Name]])</f>
        <v>Majd Yasin</v>
      </c>
      <c r="E170" s="21" t="s">
        <v>44</v>
      </c>
      <c r="F170" s="23">
        <v>43571</v>
      </c>
      <c r="G170" s="24">
        <f ca="1">DATEDIF(Employees!$F170,TODAY(),"Y")</f>
        <v>7</v>
      </c>
      <c r="H170" s="21" t="s">
        <v>26</v>
      </c>
      <c r="I170" s="21" t="s">
        <v>53</v>
      </c>
      <c r="J170" s="21" t="s">
        <v>83</v>
      </c>
      <c r="K170" s="25">
        <v>2196</v>
      </c>
      <c r="L170" s="25">
        <v>26352</v>
      </c>
      <c r="M170" s="21">
        <v>5</v>
      </c>
      <c r="N170" s="21">
        <v>4</v>
      </c>
      <c r="O170" s="21">
        <v>0</v>
      </c>
      <c r="P170" s="21">
        <v>9</v>
      </c>
      <c r="Q170" s="21" t="str">
        <f t="shared" ca="1" si="0"/>
        <v>Not Eligible</v>
      </c>
    </row>
    <row r="171" spans="1:17" ht="15.5" x14ac:dyDescent="0.35">
      <c r="A171" s="20">
        <v>170</v>
      </c>
      <c r="B171" s="21" t="s">
        <v>82</v>
      </c>
      <c r="C171" s="21" t="s">
        <v>164</v>
      </c>
      <c r="D171" s="22" t="str">
        <f>_xlfn.TEXTJOIN(" ",TRUE,Employees_Data[[#This Row],[First Name]],Employees_Data[[#This Row],[Last Name]])</f>
        <v>Alaa Almisri</v>
      </c>
      <c r="E171" s="21" t="s">
        <v>44</v>
      </c>
      <c r="F171" s="23">
        <v>43846</v>
      </c>
      <c r="G171" s="24">
        <f ca="1">DATEDIF(Employees!$F171,TODAY(),"Y")</f>
        <v>6</v>
      </c>
      <c r="H171" s="21" t="s">
        <v>99</v>
      </c>
      <c r="I171" s="21" t="s">
        <v>27</v>
      </c>
      <c r="J171" s="21" t="s">
        <v>54</v>
      </c>
      <c r="K171" s="25">
        <v>3264</v>
      </c>
      <c r="L171" s="25">
        <v>39168</v>
      </c>
      <c r="M171" s="21">
        <v>5</v>
      </c>
      <c r="N171" s="21">
        <v>6</v>
      </c>
      <c r="O171" s="21">
        <v>5</v>
      </c>
      <c r="P171" s="21">
        <v>4</v>
      </c>
      <c r="Q171" s="21" t="str">
        <f t="shared" ca="1" si="0"/>
        <v>Not Eligible</v>
      </c>
    </row>
    <row r="172" spans="1:17" ht="15.5" x14ac:dyDescent="0.35">
      <c r="A172" s="20">
        <v>171</v>
      </c>
      <c r="B172" s="21" t="s">
        <v>57</v>
      </c>
      <c r="C172" s="21" t="s">
        <v>323</v>
      </c>
      <c r="D172" s="22" t="str">
        <f>_xlfn.TEXTJOIN(" ",TRUE,Employees_Data[[#This Row],[First Name]],Employees_Data[[#This Row],[Last Name]])</f>
        <v>Muhamad Amir</v>
      </c>
      <c r="E172" s="21" t="s">
        <v>25</v>
      </c>
      <c r="F172" s="23">
        <v>42942</v>
      </c>
      <c r="G172" s="24">
        <f ca="1">DATEDIF(Employees!$F172,TODAY(),"Y")</f>
        <v>9</v>
      </c>
      <c r="H172" s="21" t="s">
        <v>26</v>
      </c>
      <c r="I172" s="21" t="s">
        <v>53</v>
      </c>
      <c r="J172" s="21" t="s">
        <v>60</v>
      </c>
      <c r="K172" s="25">
        <v>1232</v>
      </c>
      <c r="L172" s="25">
        <v>14784</v>
      </c>
      <c r="M172" s="21">
        <v>5</v>
      </c>
      <c r="N172" s="21">
        <v>4</v>
      </c>
      <c r="O172" s="21">
        <v>5</v>
      </c>
      <c r="P172" s="21">
        <v>2</v>
      </c>
      <c r="Q172" s="21" t="str">
        <f t="shared" ca="1" si="0"/>
        <v>Not Eligible</v>
      </c>
    </row>
    <row r="173" spans="1:17" ht="15.5" x14ac:dyDescent="0.35">
      <c r="A173" s="20">
        <v>172</v>
      </c>
      <c r="B173" s="21" t="s">
        <v>324</v>
      </c>
      <c r="C173" s="21" t="s">
        <v>325</v>
      </c>
      <c r="D173" s="22" t="str">
        <f>_xlfn.TEXTJOIN(" ",TRUE,Employees_Data[[#This Row],[First Name]],Employees_Data[[#This Row],[Last Name]])</f>
        <v>Lilas Balatah</v>
      </c>
      <c r="E173" s="21" t="s">
        <v>44</v>
      </c>
      <c r="F173" s="23">
        <v>43787</v>
      </c>
      <c r="G173" s="24">
        <f ca="1">DATEDIF(Employees!$F173,TODAY(),"Y")</f>
        <v>6</v>
      </c>
      <c r="H173" s="21" t="s">
        <v>73</v>
      </c>
      <c r="I173" s="21" t="s">
        <v>27</v>
      </c>
      <c r="J173" s="21" t="s">
        <v>54</v>
      </c>
      <c r="K173" s="25">
        <v>2401</v>
      </c>
      <c r="L173" s="25">
        <v>28812</v>
      </c>
      <c r="M173" s="21">
        <v>5</v>
      </c>
      <c r="N173" s="21">
        <v>0</v>
      </c>
      <c r="O173" s="21">
        <v>0</v>
      </c>
      <c r="P173" s="21">
        <v>9</v>
      </c>
      <c r="Q173" s="21" t="str">
        <f t="shared" ca="1" si="0"/>
        <v>Not Eligible</v>
      </c>
    </row>
    <row r="174" spans="1:17" ht="15.5" x14ac:dyDescent="0.35">
      <c r="A174" s="20">
        <v>173</v>
      </c>
      <c r="B174" s="21" t="s">
        <v>326</v>
      </c>
      <c r="C174" s="21" t="s">
        <v>327</v>
      </c>
      <c r="D174" s="22" t="str">
        <f>_xlfn.TEXTJOIN(" ",TRUE,Employees_Data[[#This Row],[First Name]],Employees_Data[[#This Row],[Last Name]])</f>
        <v>Ruaa Mukiin</v>
      </c>
      <c r="E174" s="21" t="s">
        <v>44</v>
      </c>
      <c r="F174" s="23">
        <v>42994</v>
      </c>
      <c r="G174" s="24">
        <f ca="1">DATEDIF(Employees!$F174,TODAY(),"Y")</f>
        <v>9</v>
      </c>
      <c r="H174" s="21" t="s">
        <v>52</v>
      </c>
      <c r="I174" s="21" t="s">
        <v>40</v>
      </c>
      <c r="J174" s="21" t="s">
        <v>54</v>
      </c>
      <c r="K174" s="25">
        <v>3168</v>
      </c>
      <c r="L174" s="25">
        <v>38016</v>
      </c>
      <c r="M174" s="21">
        <v>5</v>
      </c>
      <c r="N174" s="21">
        <v>0</v>
      </c>
      <c r="O174" s="21">
        <v>0</v>
      </c>
      <c r="P174" s="21">
        <v>18</v>
      </c>
      <c r="Q174" s="21" t="str">
        <f t="shared" ca="1" si="0"/>
        <v>Not Eligible</v>
      </c>
    </row>
    <row r="175" spans="1:17" ht="15.5" x14ac:dyDescent="0.35">
      <c r="A175" s="20">
        <v>174</v>
      </c>
      <c r="B175" s="21" t="s">
        <v>104</v>
      </c>
      <c r="C175" s="21" t="s">
        <v>328</v>
      </c>
      <c r="D175" s="22" t="str">
        <f>_xlfn.TEXTJOIN(" ",TRUE,Employees_Data[[#This Row],[First Name]],Employees_Data[[#This Row],[Last Name]])</f>
        <v>Rana Shaeban</v>
      </c>
      <c r="E175" s="21" t="s">
        <v>44</v>
      </c>
      <c r="F175" s="23">
        <v>43148</v>
      </c>
      <c r="G175" s="24">
        <f ca="1">DATEDIF(Employees!$F175,TODAY(),"Y")</f>
        <v>8</v>
      </c>
      <c r="H175" s="21" t="s">
        <v>99</v>
      </c>
      <c r="I175" s="21" t="s">
        <v>27</v>
      </c>
      <c r="J175" s="21" t="s">
        <v>54</v>
      </c>
      <c r="K175" s="25">
        <v>1620</v>
      </c>
      <c r="L175" s="25">
        <v>19440</v>
      </c>
      <c r="M175" s="21">
        <v>5</v>
      </c>
      <c r="N175" s="21">
        <v>5</v>
      </c>
      <c r="O175" s="21">
        <v>0</v>
      </c>
      <c r="P175" s="21">
        <v>10</v>
      </c>
      <c r="Q175" s="21" t="str">
        <f t="shared" ca="1" si="0"/>
        <v>Not Eligible</v>
      </c>
    </row>
    <row r="176" spans="1:17" ht="15.5" x14ac:dyDescent="0.35">
      <c r="A176" s="20">
        <v>175</v>
      </c>
      <c r="B176" s="21" t="s">
        <v>173</v>
      </c>
      <c r="C176" s="21" t="s">
        <v>329</v>
      </c>
      <c r="D176" s="22" t="str">
        <f>_xlfn.TEXTJOIN(" ",TRUE,Employees_Data[[#This Row],[First Name]],Employees_Data[[#This Row],[Last Name]])</f>
        <v>Muwmin Ewad</v>
      </c>
      <c r="E176" s="21" t="s">
        <v>25</v>
      </c>
      <c r="F176" s="23">
        <v>42892</v>
      </c>
      <c r="G176" s="24">
        <f ca="1">DATEDIF(Employees!$F176,TODAY(),"Y")</f>
        <v>9</v>
      </c>
      <c r="H176" s="21" t="s">
        <v>26</v>
      </c>
      <c r="I176" s="21" t="s">
        <v>53</v>
      </c>
      <c r="J176" s="21" t="s">
        <v>54</v>
      </c>
      <c r="K176" s="25">
        <v>1482</v>
      </c>
      <c r="L176" s="25">
        <v>17784</v>
      </c>
      <c r="M176" s="21">
        <v>5</v>
      </c>
      <c r="N176" s="21">
        <v>0</v>
      </c>
      <c r="O176" s="21">
        <v>0</v>
      </c>
      <c r="P176" s="21">
        <v>3</v>
      </c>
      <c r="Q176" s="21" t="str">
        <f t="shared" ca="1" si="0"/>
        <v>Not Eligible</v>
      </c>
    </row>
    <row r="177" spans="1:17" ht="15.5" x14ac:dyDescent="0.35">
      <c r="A177" s="20">
        <v>176</v>
      </c>
      <c r="B177" s="21" t="s">
        <v>330</v>
      </c>
      <c r="C177" s="21" t="s">
        <v>331</v>
      </c>
      <c r="D177" s="22" t="str">
        <f>_xlfn.TEXTJOIN(" ",TRUE,Employees_Data[[#This Row],[First Name]],Employees_Data[[#This Row],[Last Name]])</f>
        <v>Rahaf Alaleppoy</v>
      </c>
      <c r="E177" s="21" t="s">
        <v>44</v>
      </c>
      <c r="F177" s="23">
        <v>43939</v>
      </c>
      <c r="G177" s="24">
        <f ca="1">DATEDIF(Employees!$F177,TODAY(),"Y")</f>
        <v>6</v>
      </c>
      <c r="H177" s="21" t="s">
        <v>65</v>
      </c>
      <c r="I177" s="21" t="s">
        <v>27</v>
      </c>
      <c r="J177" s="21" t="s">
        <v>54</v>
      </c>
      <c r="K177" s="25">
        <v>1967</v>
      </c>
      <c r="L177" s="25">
        <v>23604</v>
      </c>
      <c r="M177" s="21">
        <v>4.5</v>
      </c>
      <c r="N177" s="21">
        <v>6</v>
      </c>
      <c r="O177" s="21">
        <v>0</v>
      </c>
      <c r="P177" s="21">
        <v>6</v>
      </c>
      <c r="Q177" s="21" t="str">
        <f t="shared" ca="1" si="0"/>
        <v>Not Eligible</v>
      </c>
    </row>
    <row r="178" spans="1:17" ht="15.5" x14ac:dyDescent="0.35">
      <c r="A178" s="20">
        <v>177</v>
      </c>
      <c r="B178" s="21" t="s">
        <v>332</v>
      </c>
      <c r="C178" s="21" t="s">
        <v>333</v>
      </c>
      <c r="D178" s="22" t="str">
        <f>_xlfn.TEXTJOIN(" ",TRUE,Employees_Data[[#This Row],[First Name]],Employees_Data[[#This Row],[Last Name]])</f>
        <v>Samiah Alsaedi</v>
      </c>
      <c r="E178" s="21" t="s">
        <v>44</v>
      </c>
      <c r="F178" s="23">
        <v>43175</v>
      </c>
      <c r="G178" s="24">
        <f ca="1">DATEDIF(Employees!$F178,TODAY(),"Y")</f>
        <v>8</v>
      </c>
      <c r="H178" s="21" t="s">
        <v>52</v>
      </c>
      <c r="I178" s="21" t="s">
        <v>27</v>
      </c>
      <c r="J178" s="21" t="s">
        <v>54</v>
      </c>
      <c r="K178" s="25">
        <v>1696</v>
      </c>
      <c r="L178" s="25">
        <v>20352</v>
      </c>
      <c r="M178" s="21">
        <v>5</v>
      </c>
      <c r="N178" s="21">
        <v>0</v>
      </c>
      <c r="O178" s="21">
        <v>0</v>
      </c>
      <c r="P178" s="21">
        <v>5</v>
      </c>
      <c r="Q178" s="21" t="str">
        <f t="shared" ca="1" si="0"/>
        <v>Not Eligible</v>
      </c>
    </row>
    <row r="179" spans="1:17" ht="15.5" x14ac:dyDescent="0.35">
      <c r="A179" s="20">
        <v>178</v>
      </c>
      <c r="B179" s="21" t="s">
        <v>143</v>
      </c>
      <c r="C179" s="21" t="s">
        <v>334</v>
      </c>
      <c r="D179" s="22" t="str">
        <f>_xlfn.TEXTJOIN(" ",TRUE,Employees_Data[[#This Row],[First Name]],Employees_Data[[#This Row],[Last Name]])</f>
        <v>Rim Hamdu</v>
      </c>
      <c r="E179" s="21" t="s">
        <v>44</v>
      </c>
      <c r="F179" s="23">
        <v>43458</v>
      </c>
      <c r="G179" s="24">
        <f ca="1">DATEDIF(Employees!$F179,TODAY(),"Y")</f>
        <v>7</v>
      </c>
      <c r="H179" s="21" t="s">
        <v>76</v>
      </c>
      <c r="I179" s="21" t="s">
        <v>27</v>
      </c>
      <c r="J179" s="21" t="s">
        <v>83</v>
      </c>
      <c r="K179" s="25">
        <v>2913</v>
      </c>
      <c r="L179" s="25">
        <v>34956</v>
      </c>
      <c r="M179" s="21">
        <v>4.5</v>
      </c>
      <c r="N179" s="21">
        <v>0</v>
      </c>
      <c r="O179" s="21">
        <v>0</v>
      </c>
      <c r="P179" s="21">
        <v>3</v>
      </c>
      <c r="Q179" s="21" t="str">
        <f t="shared" ca="1" si="0"/>
        <v>Not Eligible</v>
      </c>
    </row>
    <row r="180" spans="1:17" ht="15.5" x14ac:dyDescent="0.35">
      <c r="A180" s="20">
        <v>179</v>
      </c>
      <c r="B180" s="21" t="s">
        <v>335</v>
      </c>
      <c r="C180" s="21" t="s">
        <v>336</v>
      </c>
      <c r="D180" s="22" t="str">
        <f>_xlfn.TEXTJOIN(" ",TRUE,Employees_Data[[#This Row],[First Name]],Employees_Data[[#This Row],[Last Name]])</f>
        <v>Aishah Alquatliu</v>
      </c>
      <c r="E180" s="21" t="s">
        <v>44</v>
      </c>
      <c r="F180" s="23">
        <v>43897</v>
      </c>
      <c r="G180" s="24">
        <f ca="1">DATEDIF(Employees!$F180,TODAY(),"Y")</f>
        <v>6</v>
      </c>
      <c r="H180" s="21" t="s">
        <v>99</v>
      </c>
      <c r="I180" s="21" t="s">
        <v>315</v>
      </c>
      <c r="J180" s="21" t="s">
        <v>83</v>
      </c>
      <c r="K180" s="25">
        <v>2068</v>
      </c>
      <c r="L180" s="25">
        <v>24816</v>
      </c>
      <c r="M180" s="21">
        <v>1</v>
      </c>
      <c r="N180" s="21">
        <v>0</v>
      </c>
      <c r="O180" s="21">
        <v>1</v>
      </c>
      <c r="P180" s="21">
        <v>0</v>
      </c>
      <c r="Q180" s="21" t="str">
        <f t="shared" ca="1" si="0"/>
        <v>Not Eligible</v>
      </c>
    </row>
    <row r="181" spans="1:17" ht="15.5" x14ac:dyDescent="0.35">
      <c r="A181" s="20">
        <v>180</v>
      </c>
      <c r="B181" s="21" t="s">
        <v>337</v>
      </c>
      <c r="C181" s="21" t="s">
        <v>338</v>
      </c>
      <c r="D181" s="22" t="str">
        <f>_xlfn.TEXTJOIN(" ",TRUE,Employees_Data[[#This Row],[First Name]],Employees_Data[[#This Row],[Last Name]])</f>
        <v>Dany Albaba</v>
      </c>
      <c r="E181" s="21" t="s">
        <v>25</v>
      </c>
      <c r="F181" s="23">
        <v>43398</v>
      </c>
      <c r="G181" s="24">
        <f ca="1">DATEDIF(Employees!$F181,TODAY(),"Y")</f>
        <v>8</v>
      </c>
      <c r="H181" s="21" t="s">
        <v>184</v>
      </c>
      <c r="I181" s="21" t="s">
        <v>53</v>
      </c>
      <c r="J181" s="21" t="s">
        <v>60</v>
      </c>
      <c r="K181" s="25">
        <v>1430</v>
      </c>
      <c r="L181" s="25">
        <v>17160</v>
      </c>
      <c r="M181" s="21">
        <v>3</v>
      </c>
      <c r="N181" s="21">
        <v>6</v>
      </c>
      <c r="O181" s="21">
        <v>0</v>
      </c>
      <c r="P181" s="21">
        <v>0</v>
      </c>
      <c r="Q181" s="21" t="str">
        <f t="shared" ca="1" si="0"/>
        <v>Not Eligible</v>
      </c>
    </row>
    <row r="182" spans="1:17" ht="15.5" x14ac:dyDescent="0.35">
      <c r="A182" s="20">
        <v>181</v>
      </c>
      <c r="B182" s="21" t="s">
        <v>57</v>
      </c>
      <c r="C182" s="21" t="s">
        <v>339</v>
      </c>
      <c r="D182" s="22" t="str">
        <f>_xlfn.TEXTJOIN(" ",TRUE,Employees_Data[[#This Row],[First Name]],Employees_Data[[#This Row],[Last Name]])</f>
        <v>Muhamad Rinkusi</v>
      </c>
      <c r="E182" s="21" t="s">
        <v>25</v>
      </c>
      <c r="F182" s="23">
        <v>43250</v>
      </c>
      <c r="G182" s="24">
        <f ca="1">DATEDIF(Employees!$F182,TODAY(),"Y")</f>
        <v>8</v>
      </c>
      <c r="H182" s="21" t="s">
        <v>65</v>
      </c>
      <c r="I182" s="21" t="s">
        <v>40</v>
      </c>
      <c r="J182" s="21" t="s">
        <v>60</v>
      </c>
      <c r="K182" s="25">
        <v>3138</v>
      </c>
      <c r="L182" s="25">
        <v>37656</v>
      </c>
      <c r="M182" s="21">
        <v>1</v>
      </c>
      <c r="N182" s="21">
        <v>0</v>
      </c>
      <c r="O182" s="21">
        <v>5</v>
      </c>
      <c r="P182" s="21">
        <v>9</v>
      </c>
      <c r="Q182" s="21" t="str">
        <f t="shared" ca="1" si="0"/>
        <v>Not Eligible</v>
      </c>
    </row>
    <row r="183" spans="1:17" ht="15.5" x14ac:dyDescent="0.35">
      <c r="A183" s="20">
        <v>182</v>
      </c>
      <c r="B183" s="21" t="s">
        <v>340</v>
      </c>
      <c r="C183" s="21" t="s">
        <v>341</v>
      </c>
      <c r="D183" s="22" t="str">
        <f>_xlfn.TEXTJOIN(" ",TRUE,Employees_Data[[#This Row],[First Name]],Employees_Data[[#This Row],[Last Name]])</f>
        <v>Isam Jadid</v>
      </c>
      <c r="E183" s="21" t="s">
        <v>25</v>
      </c>
      <c r="F183" s="23">
        <v>44169</v>
      </c>
      <c r="G183" s="24">
        <f ca="1">DATEDIF(Employees!$F183,TODAY(),"Y")</f>
        <v>5</v>
      </c>
      <c r="H183" s="21" t="s">
        <v>52</v>
      </c>
      <c r="I183" s="21" t="s">
        <v>27</v>
      </c>
      <c r="J183" s="21" t="s">
        <v>54</v>
      </c>
      <c r="K183" s="25">
        <v>2051</v>
      </c>
      <c r="L183" s="25">
        <v>24612</v>
      </c>
      <c r="M183" s="21">
        <v>3</v>
      </c>
      <c r="N183" s="21">
        <v>0</v>
      </c>
      <c r="O183" s="21">
        <v>0</v>
      </c>
      <c r="P183" s="21">
        <v>2</v>
      </c>
      <c r="Q183" s="21" t="str">
        <f t="shared" ca="1" si="0"/>
        <v>Not Eligible</v>
      </c>
    </row>
    <row r="184" spans="1:17" ht="15.5" x14ac:dyDescent="0.35">
      <c r="A184" s="20">
        <v>183</v>
      </c>
      <c r="B184" s="21" t="s">
        <v>35</v>
      </c>
      <c r="C184" s="21" t="s">
        <v>342</v>
      </c>
      <c r="D184" s="22" t="str">
        <f>_xlfn.TEXTJOIN(" ",TRUE,Employees_Data[[#This Row],[First Name]],Employees_Data[[#This Row],[Last Name]])</f>
        <v>Bushraa Drwysh</v>
      </c>
      <c r="E184" s="21" t="s">
        <v>44</v>
      </c>
      <c r="F184" s="23">
        <v>43351</v>
      </c>
      <c r="G184" s="24">
        <f ca="1">DATEDIF(Employees!$F184,TODAY(),"Y")</f>
        <v>8</v>
      </c>
      <c r="H184" s="21" t="s">
        <v>76</v>
      </c>
      <c r="I184" s="21" t="s">
        <v>27</v>
      </c>
      <c r="J184" s="21" t="s">
        <v>60</v>
      </c>
      <c r="K184" s="25">
        <v>2986</v>
      </c>
      <c r="L184" s="25">
        <v>35832</v>
      </c>
      <c r="M184" s="21">
        <v>1</v>
      </c>
      <c r="N184" s="21">
        <v>3</v>
      </c>
      <c r="O184" s="21">
        <v>0</v>
      </c>
      <c r="P184" s="21">
        <v>8</v>
      </c>
      <c r="Q184" s="21" t="str">
        <f t="shared" ca="1" si="0"/>
        <v>Not Eligible</v>
      </c>
    </row>
    <row r="185" spans="1:17" ht="15.5" x14ac:dyDescent="0.35">
      <c r="A185" s="20">
        <v>184</v>
      </c>
      <c r="B185" s="21" t="s">
        <v>343</v>
      </c>
      <c r="C185" s="21" t="s">
        <v>344</v>
      </c>
      <c r="D185" s="22" t="str">
        <f>_xlfn.TEXTJOIN(" ",TRUE,Employees_Data[[#This Row],[First Name]],Employees_Data[[#This Row],[Last Name]])</f>
        <v>Zakarian Rashwani</v>
      </c>
      <c r="E185" s="21" t="s">
        <v>25</v>
      </c>
      <c r="F185" s="23">
        <v>43524</v>
      </c>
      <c r="G185" s="24">
        <f ca="1">DATEDIF(Employees!$F185,TODAY(),"Y")</f>
        <v>7</v>
      </c>
      <c r="H185" s="21" t="s">
        <v>52</v>
      </c>
      <c r="I185" s="21" t="s">
        <v>71</v>
      </c>
      <c r="J185" s="21" t="s">
        <v>54</v>
      </c>
      <c r="K185" s="25">
        <v>2790</v>
      </c>
      <c r="L185" s="25">
        <v>33480</v>
      </c>
      <c r="M185" s="21">
        <v>5</v>
      </c>
      <c r="N185" s="21">
        <v>6</v>
      </c>
      <c r="O185" s="21">
        <v>0</v>
      </c>
      <c r="P185" s="21">
        <v>3</v>
      </c>
      <c r="Q185" s="21" t="str">
        <f t="shared" ca="1" si="0"/>
        <v>Not Eligible</v>
      </c>
    </row>
    <row r="186" spans="1:17" ht="15.5" x14ac:dyDescent="0.35">
      <c r="A186" s="20">
        <v>185</v>
      </c>
      <c r="B186" s="21" t="s">
        <v>218</v>
      </c>
      <c r="C186" s="21" t="s">
        <v>345</v>
      </c>
      <c r="D186" s="22" t="str">
        <f>_xlfn.TEXTJOIN(" ",TRUE,Employees_Data[[#This Row],[First Name]],Employees_Data[[#This Row],[Last Name]])</f>
        <v>Fadi Alqadi</v>
      </c>
      <c r="E186" s="21" t="s">
        <v>25</v>
      </c>
      <c r="F186" s="23">
        <v>44182</v>
      </c>
      <c r="G186" s="24">
        <f ca="1">DATEDIF(Employees!$F186,TODAY(),"Y")</f>
        <v>5</v>
      </c>
      <c r="H186" s="21" t="s">
        <v>76</v>
      </c>
      <c r="I186" s="21" t="s">
        <v>27</v>
      </c>
      <c r="J186" s="21" t="s">
        <v>54</v>
      </c>
      <c r="K186" s="25">
        <v>1075</v>
      </c>
      <c r="L186" s="25">
        <v>12900</v>
      </c>
      <c r="M186" s="21">
        <v>4.5</v>
      </c>
      <c r="N186" s="21">
        <v>6</v>
      </c>
      <c r="O186" s="21">
        <v>0</v>
      </c>
      <c r="P186" s="21">
        <v>7</v>
      </c>
      <c r="Q186" s="21" t="str">
        <f t="shared" ca="1" si="0"/>
        <v>Not Eligible</v>
      </c>
    </row>
    <row r="187" spans="1:17" ht="15.5" x14ac:dyDescent="0.35">
      <c r="A187" s="20">
        <v>186</v>
      </c>
      <c r="B187" s="21" t="s">
        <v>346</v>
      </c>
      <c r="C187" s="21" t="s">
        <v>347</v>
      </c>
      <c r="D187" s="22" t="str">
        <f>_xlfn.TEXTJOIN(" ",TRUE,Employees_Data[[#This Row],[First Name]],Employees_Data[[#This Row],[Last Name]])</f>
        <v>Diea Almarstani</v>
      </c>
      <c r="E187" s="21" t="s">
        <v>25</v>
      </c>
      <c r="F187" s="23">
        <v>43592</v>
      </c>
      <c r="G187" s="24">
        <f ca="1">DATEDIF(Employees!$F187,TODAY(),"Y")</f>
        <v>7</v>
      </c>
      <c r="H187" s="21" t="s">
        <v>63</v>
      </c>
      <c r="I187" s="21" t="s">
        <v>71</v>
      </c>
      <c r="J187" s="21" t="s">
        <v>54</v>
      </c>
      <c r="K187" s="25">
        <v>2009</v>
      </c>
      <c r="L187" s="25">
        <v>24108</v>
      </c>
      <c r="M187" s="21">
        <v>1</v>
      </c>
      <c r="N187" s="21">
        <v>5</v>
      </c>
      <c r="O187" s="21">
        <v>0</v>
      </c>
      <c r="P187" s="21">
        <v>0</v>
      </c>
      <c r="Q187" s="21" t="str">
        <f t="shared" ca="1" si="0"/>
        <v>Not Eligible</v>
      </c>
    </row>
    <row r="188" spans="1:17" ht="15.5" x14ac:dyDescent="0.35">
      <c r="A188" s="20">
        <v>187</v>
      </c>
      <c r="B188" s="21" t="s">
        <v>57</v>
      </c>
      <c r="C188" s="21" t="s">
        <v>348</v>
      </c>
      <c r="D188" s="22" t="str">
        <f>_xlfn.TEXTJOIN(" ",TRUE,Employees_Data[[#This Row],[First Name]],Employees_Data[[#This Row],[Last Name]])</f>
        <v>Muhamad Siedih</v>
      </c>
      <c r="E188" s="21" t="s">
        <v>25</v>
      </c>
      <c r="F188" s="23">
        <v>43315</v>
      </c>
      <c r="G188" s="24">
        <f ca="1">DATEDIF(Employees!$F188,TODAY(),"Y")</f>
        <v>8</v>
      </c>
      <c r="H188" s="21" t="s">
        <v>98</v>
      </c>
      <c r="I188" s="21" t="s">
        <v>27</v>
      </c>
      <c r="J188" s="21" t="s">
        <v>54</v>
      </c>
      <c r="K188" s="25">
        <v>3254</v>
      </c>
      <c r="L188" s="25">
        <v>39048</v>
      </c>
      <c r="M188" s="21">
        <v>3</v>
      </c>
      <c r="N188" s="21">
        <v>4</v>
      </c>
      <c r="O188" s="21">
        <v>6</v>
      </c>
      <c r="P188" s="21">
        <v>5</v>
      </c>
      <c r="Q188" s="21" t="str">
        <f t="shared" ca="1" si="0"/>
        <v>Not Eligible</v>
      </c>
    </row>
    <row r="189" spans="1:17" ht="15.5" x14ac:dyDescent="0.35">
      <c r="A189" s="20">
        <v>188</v>
      </c>
      <c r="B189" s="21" t="s">
        <v>349</v>
      </c>
      <c r="C189" s="21" t="s">
        <v>164</v>
      </c>
      <c r="D189" s="22" t="str">
        <f>_xlfn.TEXTJOIN(" ",TRUE,Employees_Data[[#This Row],[First Name]],Employees_Data[[#This Row],[Last Name]])</f>
        <v>Bisam Almisri</v>
      </c>
      <c r="E189" s="21" t="s">
        <v>44</v>
      </c>
      <c r="F189" s="23">
        <v>43755</v>
      </c>
      <c r="G189" s="24">
        <f ca="1">DATEDIF(Employees!$F189,TODAY(),"Y")</f>
        <v>7</v>
      </c>
      <c r="H189" s="21" t="s">
        <v>140</v>
      </c>
      <c r="I189" s="21" t="s">
        <v>53</v>
      </c>
      <c r="J189" s="21" t="s">
        <v>54</v>
      </c>
      <c r="K189" s="25">
        <v>2367</v>
      </c>
      <c r="L189" s="25">
        <v>28404</v>
      </c>
      <c r="M189" s="21">
        <v>3</v>
      </c>
      <c r="N189" s="21">
        <v>0</v>
      </c>
      <c r="O189" s="21">
        <v>0</v>
      </c>
      <c r="P189" s="21">
        <v>1</v>
      </c>
      <c r="Q189" s="21" t="str">
        <f t="shared" ca="1" si="0"/>
        <v>Not Eligible</v>
      </c>
    </row>
    <row r="190" spans="1:17" ht="15.5" x14ac:dyDescent="0.35">
      <c r="A190" s="20">
        <v>189</v>
      </c>
      <c r="B190" s="21" t="s">
        <v>57</v>
      </c>
      <c r="C190" s="21" t="s">
        <v>188</v>
      </c>
      <c r="D190" s="22" t="str">
        <f>_xlfn.TEXTJOIN(" ",TRUE,Employees_Data[[#This Row],[First Name]],Employees_Data[[#This Row],[Last Name]])</f>
        <v>Muhamad Alkhatib</v>
      </c>
      <c r="E190" s="21" t="s">
        <v>25</v>
      </c>
      <c r="F190" s="23">
        <v>43133</v>
      </c>
      <c r="G190" s="24">
        <f ca="1">DATEDIF(Employees!$F190,TODAY(),"Y")</f>
        <v>8</v>
      </c>
      <c r="H190" s="21" t="s">
        <v>52</v>
      </c>
      <c r="I190" s="21" t="s">
        <v>53</v>
      </c>
      <c r="J190" s="21" t="s">
        <v>54</v>
      </c>
      <c r="K190" s="25">
        <v>3158</v>
      </c>
      <c r="L190" s="25">
        <v>37896</v>
      </c>
      <c r="M190" s="21">
        <v>3</v>
      </c>
      <c r="N190" s="21">
        <v>2</v>
      </c>
      <c r="O190" s="21">
        <v>5</v>
      </c>
      <c r="P190" s="21">
        <v>10</v>
      </c>
      <c r="Q190" s="21" t="str">
        <f t="shared" ca="1" si="0"/>
        <v>Not Eligible</v>
      </c>
    </row>
    <row r="191" spans="1:17" ht="15.5" x14ac:dyDescent="0.35">
      <c r="A191" s="20">
        <v>190</v>
      </c>
      <c r="B191" s="21" t="s">
        <v>57</v>
      </c>
      <c r="C191" s="21" t="s">
        <v>350</v>
      </c>
      <c r="D191" s="22" t="str">
        <f>_xlfn.TEXTJOIN(" ",TRUE,Employees_Data[[#This Row],[First Name]],Employees_Data[[#This Row],[Last Name]])</f>
        <v>Muhamad Rghid</v>
      </c>
      <c r="E191" s="21" t="s">
        <v>25</v>
      </c>
      <c r="F191" s="23">
        <v>43826</v>
      </c>
      <c r="G191" s="24">
        <f ca="1">DATEDIF(Employees!$F191,TODAY(),"Y")</f>
        <v>6</v>
      </c>
      <c r="H191" s="21" t="s">
        <v>52</v>
      </c>
      <c r="I191" s="21" t="s">
        <v>53</v>
      </c>
      <c r="J191" s="21" t="s">
        <v>54</v>
      </c>
      <c r="K191" s="25">
        <v>1980</v>
      </c>
      <c r="L191" s="25">
        <v>23760</v>
      </c>
      <c r="M191" s="21">
        <v>2</v>
      </c>
      <c r="N191" s="21">
        <v>0</v>
      </c>
      <c r="O191" s="21">
        <v>0</v>
      </c>
      <c r="P191" s="21">
        <v>2</v>
      </c>
      <c r="Q191" s="21" t="str">
        <f t="shared" ca="1" si="0"/>
        <v>Not Eligible</v>
      </c>
    </row>
    <row r="192" spans="1:17" ht="15.5" x14ac:dyDescent="0.35">
      <c r="A192" s="20">
        <v>191</v>
      </c>
      <c r="B192" s="21" t="s">
        <v>36</v>
      </c>
      <c r="C192" s="21" t="s">
        <v>252</v>
      </c>
      <c r="D192" s="22" t="str">
        <f>_xlfn.TEXTJOIN(" ",TRUE,Employees_Data[[#This Row],[First Name]],Employees_Data[[#This Row],[Last Name]])</f>
        <v>Omar Shakir</v>
      </c>
      <c r="E192" s="21" t="s">
        <v>25</v>
      </c>
      <c r="F192" s="23">
        <v>43562</v>
      </c>
      <c r="G192" s="24">
        <f ca="1">DATEDIF(Employees!$F192,TODAY(),"Y")</f>
        <v>7</v>
      </c>
      <c r="H192" s="21" t="s">
        <v>65</v>
      </c>
      <c r="I192" s="21" t="s">
        <v>27</v>
      </c>
      <c r="J192" s="21" t="s">
        <v>54</v>
      </c>
      <c r="K192" s="25">
        <v>2049</v>
      </c>
      <c r="L192" s="25">
        <v>24588</v>
      </c>
      <c r="M192" s="21">
        <v>3</v>
      </c>
      <c r="N192" s="21">
        <v>6</v>
      </c>
      <c r="O192" s="21">
        <v>0</v>
      </c>
      <c r="P192" s="21">
        <v>23</v>
      </c>
      <c r="Q192" s="21" t="str">
        <f t="shared" ca="1" si="0"/>
        <v>Not Eligible</v>
      </c>
    </row>
    <row r="193" spans="1:17" ht="15.5" x14ac:dyDescent="0.35">
      <c r="A193" s="20">
        <v>192</v>
      </c>
      <c r="B193" s="21" t="s">
        <v>351</v>
      </c>
      <c r="C193" s="21" t="s">
        <v>352</v>
      </c>
      <c r="D193" s="22" t="str">
        <f>_xlfn.TEXTJOIN(" ",TRUE,Employees_Data[[#This Row],[First Name]],Employees_Data[[#This Row],[Last Name]])</f>
        <v>Aryj Hamada</v>
      </c>
      <c r="E193" s="21" t="s">
        <v>44</v>
      </c>
      <c r="F193" s="23">
        <v>43978</v>
      </c>
      <c r="G193" s="24">
        <f ca="1">DATEDIF(Employees!$F193,TODAY(),"Y")</f>
        <v>6</v>
      </c>
      <c r="H193" s="21" t="s">
        <v>99</v>
      </c>
      <c r="I193" s="21" t="s">
        <v>27</v>
      </c>
      <c r="J193" s="21" t="s">
        <v>60</v>
      </c>
      <c r="K193" s="25">
        <v>2727</v>
      </c>
      <c r="L193" s="25">
        <v>32724</v>
      </c>
      <c r="M193" s="21">
        <v>2</v>
      </c>
      <c r="N193" s="21">
        <v>0</v>
      </c>
      <c r="O193" s="21">
        <v>0</v>
      </c>
      <c r="P193" s="21">
        <v>8</v>
      </c>
      <c r="Q193" s="21" t="str">
        <f t="shared" ca="1" si="0"/>
        <v>Not Eligible</v>
      </c>
    </row>
    <row r="194" spans="1:17" ht="15.5" x14ac:dyDescent="0.35">
      <c r="A194" s="20">
        <v>193</v>
      </c>
      <c r="B194" s="21" t="s">
        <v>353</v>
      </c>
      <c r="C194" s="21" t="s">
        <v>354</v>
      </c>
      <c r="D194" s="22" t="str">
        <f>_xlfn.TEXTJOIN(" ",TRUE,Employees_Data[[#This Row],[First Name]],Employees_Data[[#This Row],[Last Name]])</f>
        <v>Madlin Saeid</v>
      </c>
      <c r="E194" s="21" t="s">
        <v>44</v>
      </c>
      <c r="F194" s="23">
        <v>43806</v>
      </c>
      <c r="G194" s="24">
        <f ca="1">DATEDIF(Employees!$F194,TODAY(),"Y")</f>
        <v>6</v>
      </c>
      <c r="H194" s="21" t="s">
        <v>52</v>
      </c>
      <c r="I194" s="21" t="s">
        <v>53</v>
      </c>
      <c r="J194" s="21" t="s">
        <v>83</v>
      </c>
      <c r="K194" s="25">
        <v>974</v>
      </c>
      <c r="L194" s="25">
        <v>11688</v>
      </c>
      <c r="M194" s="21">
        <v>5</v>
      </c>
      <c r="N194" s="21">
        <v>0</v>
      </c>
      <c r="O194" s="21">
        <v>0</v>
      </c>
      <c r="P194" s="21">
        <v>9</v>
      </c>
      <c r="Q194" s="21" t="str">
        <f t="shared" ca="1" si="0"/>
        <v>Not Eligible</v>
      </c>
    </row>
    <row r="195" spans="1:17" ht="15.5" x14ac:dyDescent="0.35">
      <c r="A195" s="20">
        <v>194</v>
      </c>
      <c r="B195" s="21" t="s">
        <v>355</v>
      </c>
      <c r="C195" s="21" t="s">
        <v>356</v>
      </c>
      <c r="D195" s="22" t="str">
        <f>_xlfn.TEXTJOIN(" ",TRUE,Employees_Data[[#This Row],[First Name]],Employees_Data[[#This Row],[Last Name]])</f>
        <v>Rybal Sabagh</v>
      </c>
      <c r="E195" s="21" t="s">
        <v>25</v>
      </c>
      <c r="F195" s="23">
        <v>43775</v>
      </c>
      <c r="G195" s="24">
        <f ca="1">DATEDIF(Employees!$F195,TODAY(),"Y")</f>
        <v>6</v>
      </c>
      <c r="H195" s="21" t="s">
        <v>59</v>
      </c>
      <c r="I195" s="21" t="s">
        <v>53</v>
      </c>
      <c r="J195" s="21" t="s">
        <v>60</v>
      </c>
      <c r="K195" s="25">
        <v>992</v>
      </c>
      <c r="L195" s="25">
        <v>11904</v>
      </c>
      <c r="M195" s="21">
        <v>5</v>
      </c>
      <c r="N195" s="21">
        <v>0</v>
      </c>
      <c r="O195" s="21">
        <v>0</v>
      </c>
      <c r="P195" s="21">
        <v>3</v>
      </c>
      <c r="Q195" s="21" t="str">
        <f t="shared" ca="1" si="0"/>
        <v>Not Eligible</v>
      </c>
    </row>
    <row r="196" spans="1:17" ht="15.5" x14ac:dyDescent="0.35">
      <c r="A196" s="20">
        <v>195</v>
      </c>
      <c r="B196" s="21" t="s">
        <v>357</v>
      </c>
      <c r="C196" s="21" t="s">
        <v>358</v>
      </c>
      <c r="D196" s="22" t="str">
        <f>_xlfn.TEXTJOIN(" ",TRUE,Employees_Data[[#This Row],[First Name]],Employees_Data[[#This Row],[Last Name]])</f>
        <v>Samar Alqutb</v>
      </c>
      <c r="E196" s="21" t="s">
        <v>44</v>
      </c>
      <c r="F196" s="23">
        <v>43329</v>
      </c>
      <c r="G196" s="24">
        <f ca="1">DATEDIF(Employees!$F196,TODAY(),"Y")</f>
        <v>8</v>
      </c>
      <c r="H196" s="21" t="s">
        <v>65</v>
      </c>
      <c r="I196" s="21" t="s">
        <v>27</v>
      </c>
      <c r="J196" s="21" t="s">
        <v>29</v>
      </c>
      <c r="K196" s="25">
        <v>2730</v>
      </c>
      <c r="L196" s="25">
        <v>32760</v>
      </c>
      <c r="M196" s="21">
        <v>1</v>
      </c>
      <c r="N196" s="21">
        <v>4</v>
      </c>
      <c r="O196" s="21">
        <v>6</v>
      </c>
      <c r="P196" s="21">
        <v>9</v>
      </c>
      <c r="Q196" s="21" t="str">
        <f t="shared" ca="1" si="0"/>
        <v>Not Eligible</v>
      </c>
    </row>
    <row r="197" spans="1:17" ht="15.5" x14ac:dyDescent="0.35">
      <c r="A197" s="20">
        <v>196</v>
      </c>
      <c r="B197" s="21" t="s">
        <v>111</v>
      </c>
      <c r="C197" s="21" t="s">
        <v>359</v>
      </c>
      <c r="D197" s="22" t="str">
        <f>_xlfn.TEXTJOIN(" ",TRUE,Employees_Data[[#This Row],[First Name]],Employees_Data[[#This Row],[Last Name]])</f>
        <v>Eala Murad</v>
      </c>
      <c r="E197" s="21" t="s">
        <v>44</v>
      </c>
      <c r="F197" s="23">
        <v>42387</v>
      </c>
      <c r="G197" s="24">
        <f ca="1">DATEDIF(Employees!$F197,TODAY(),"Y")</f>
        <v>10</v>
      </c>
      <c r="H197" s="21" t="s">
        <v>76</v>
      </c>
      <c r="I197" s="21" t="s">
        <v>27</v>
      </c>
      <c r="J197" s="21" t="s">
        <v>29</v>
      </c>
      <c r="K197" s="25">
        <v>2804</v>
      </c>
      <c r="L197" s="25">
        <v>33648</v>
      </c>
      <c r="M197" s="21">
        <v>4.5</v>
      </c>
      <c r="N197" s="21">
        <v>0</v>
      </c>
      <c r="O197" s="21">
        <v>0</v>
      </c>
      <c r="P197" s="21">
        <v>4</v>
      </c>
      <c r="Q197" s="21" t="str">
        <f t="shared" ca="1" si="0"/>
        <v>Not Eligible</v>
      </c>
    </row>
    <row r="198" spans="1:17" ht="15.5" x14ac:dyDescent="0.35">
      <c r="A198" s="20">
        <v>197</v>
      </c>
      <c r="B198" s="21" t="s">
        <v>55</v>
      </c>
      <c r="C198" s="21" t="s">
        <v>360</v>
      </c>
      <c r="D198" s="22" t="str">
        <f>_xlfn.TEXTJOIN(" ",TRUE,Employees_Data[[#This Row],[First Name]],Employees_Data[[#This Row],[Last Name]])</f>
        <v>Ahmad Salih</v>
      </c>
      <c r="E198" s="21" t="s">
        <v>25</v>
      </c>
      <c r="F198" s="23">
        <v>43558</v>
      </c>
      <c r="G198" s="24">
        <f ca="1">DATEDIF(Employees!$F198,TODAY(),"Y")</f>
        <v>7</v>
      </c>
      <c r="H198" s="21" t="s">
        <v>26</v>
      </c>
      <c r="I198" s="21" t="s">
        <v>27</v>
      </c>
      <c r="J198" s="21" t="s">
        <v>54</v>
      </c>
      <c r="K198" s="25">
        <v>1467</v>
      </c>
      <c r="L198" s="25">
        <v>17604</v>
      </c>
      <c r="M198" s="21">
        <v>5</v>
      </c>
      <c r="N198" s="21">
        <v>6</v>
      </c>
      <c r="O198" s="21">
        <v>0</v>
      </c>
      <c r="P198" s="21">
        <v>0</v>
      </c>
      <c r="Q198" s="21" t="str">
        <f t="shared" ca="1" si="0"/>
        <v>Not Eligible</v>
      </c>
    </row>
    <row r="199" spans="1:17" ht="15.5" x14ac:dyDescent="0.35">
      <c r="A199" s="20">
        <v>198</v>
      </c>
      <c r="B199" s="21" t="s">
        <v>168</v>
      </c>
      <c r="C199" s="21" t="s">
        <v>242</v>
      </c>
      <c r="D199" s="22" t="str">
        <f>_xlfn.TEXTJOIN(" ",TRUE,Employees_Data[[#This Row],[First Name]],Employees_Data[[#This Row],[Last Name]])</f>
        <v>Ibrahim Alhamid</v>
      </c>
      <c r="E199" s="21" t="s">
        <v>25</v>
      </c>
      <c r="F199" s="23">
        <v>44141</v>
      </c>
      <c r="G199" s="24">
        <f ca="1">DATEDIF(Employees!$F199,TODAY(),"Y")</f>
        <v>5</v>
      </c>
      <c r="H199" s="21" t="s">
        <v>47</v>
      </c>
      <c r="I199" s="21" t="s">
        <v>315</v>
      </c>
      <c r="J199" s="21" t="s">
        <v>29</v>
      </c>
      <c r="K199" s="25">
        <v>997</v>
      </c>
      <c r="L199" s="25">
        <v>11964</v>
      </c>
      <c r="M199" s="21">
        <v>5</v>
      </c>
      <c r="N199" s="21">
        <v>1</v>
      </c>
      <c r="O199" s="21">
        <v>0</v>
      </c>
      <c r="P199" s="21">
        <v>68</v>
      </c>
      <c r="Q199" s="21" t="str">
        <f t="shared" ca="1" si="0"/>
        <v>Eligible</v>
      </c>
    </row>
    <row r="200" spans="1:17" ht="15.5" x14ac:dyDescent="0.35">
      <c r="A200" s="20">
        <v>199</v>
      </c>
      <c r="B200" s="21" t="s">
        <v>57</v>
      </c>
      <c r="C200" s="21" t="s">
        <v>361</v>
      </c>
      <c r="D200" s="22" t="str">
        <f>_xlfn.TEXTJOIN(" ",TRUE,Employees_Data[[#This Row],[First Name]],Employees_Data[[#This Row],[Last Name]])</f>
        <v>Muhamad Alziyat</v>
      </c>
      <c r="E200" s="21" t="s">
        <v>25</v>
      </c>
      <c r="F200" s="23">
        <v>43705</v>
      </c>
      <c r="G200" s="24">
        <f ca="1">DATEDIF(Employees!$F200,TODAY(),"Y")</f>
        <v>7</v>
      </c>
      <c r="H200" s="21" t="s">
        <v>65</v>
      </c>
      <c r="I200" s="21" t="s">
        <v>40</v>
      </c>
      <c r="J200" s="21" t="s">
        <v>29</v>
      </c>
      <c r="K200" s="25">
        <v>1859</v>
      </c>
      <c r="L200" s="25">
        <v>22308</v>
      </c>
      <c r="M200" s="21">
        <v>5</v>
      </c>
      <c r="N200" s="21">
        <v>5</v>
      </c>
      <c r="O200" s="21">
        <v>0</v>
      </c>
      <c r="P200" s="21">
        <v>1</v>
      </c>
      <c r="Q200" s="21" t="str">
        <f t="shared" ca="1" si="0"/>
        <v>Not Eligible</v>
      </c>
    </row>
    <row r="201" spans="1:17" ht="15.5" x14ac:dyDescent="0.35">
      <c r="A201" s="20">
        <v>200</v>
      </c>
      <c r="B201" s="21" t="s">
        <v>207</v>
      </c>
      <c r="C201" s="21" t="s">
        <v>362</v>
      </c>
      <c r="D201" s="22" t="str">
        <f>_xlfn.TEXTJOIN(" ",TRUE,Employees_Data[[#This Row],[First Name]],Employees_Data[[#This Row],[Last Name]])</f>
        <v>Ali Nhl</v>
      </c>
      <c r="E201" s="21" t="s">
        <v>25</v>
      </c>
      <c r="F201" s="23">
        <v>43711</v>
      </c>
      <c r="G201" s="24">
        <f ca="1">DATEDIF(Employees!$F201,TODAY(),"Y")</f>
        <v>7</v>
      </c>
      <c r="H201" s="21" t="s">
        <v>99</v>
      </c>
      <c r="I201" s="21" t="s">
        <v>27</v>
      </c>
      <c r="J201" s="21" t="s">
        <v>60</v>
      </c>
      <c r="K201" s="25">
        <v>1231</v>
      </c>
      <c r="L201" s="25">
        <v>14772</v>
      </c>
      <c r="M201" s="21">
        <v>1</v>
      </c>
      <c r="N201" s="21">
        <v>1</v>
      </c>
      <c r="O201" s="21">
        <v>5</v>
      </c>
      <c r="P201" s="21">
        <v>7</v>
      </c>
      <c r="Q201" s="21" t="str">
        <f t="shared" ca="1" si="0"/>
        <v>Not Eligible</v>
      </c>
    </row>
    <row r="202" spans="1:17" ht="15.5" x14ac:dyDescent="0.35">
      <c r="A202" s="20">
        <v>201</v>
      </c>
      <c r="B202" s="21" t="s">
        <v>363</v>
      </c>
      <c r="C202" s="21" t="s">
        <v>364</v>
      </c>
      <c r="D202" s="22" t="str">
        <f>_xlfn.TEXTJOIN(" ",TRUE,Employees_Data[[#This Row],[First Name]],Employees_Data[[#This Row],[Last Name]])</f>
        <v>Saed Alsiyah</v>
      </c>
      <c r="E202" s="21" t="s">
        <v>25</v>
      </c>
      <c r="F202" s="23">
        <v>43665</v>
      </c>
      <c r="G202" s="24">
        <f ca="1">DATEDIF(Employees!$F202,TODAY(),"Y")</f>
        <v>7</v>
      </c>
      <c r="H202" s="21" t="s">
        <v>52</v>
      </c>
      <c r="I202" s="21" t="s">
        <v>27</v>
      </c>
      <c r="J202" s="21" t="s">
        <v>54</v>
      </c>
      <c r="K202" s="25">
        <v>719</v>
      </c>
      <c r="L202" s="25">
        <v>8628</v>
      </c>
      <c r="M202" s="21">
        <v>5</v>
      </c>
      <c r="N202" s="21">
        <v>0</v>
      </c>
      <c r="O202" s="21">
        <v>0</v>
      </c>
      <c r="P202" s="21">
        <v>8</v>
      </c>
      <c r="Q202" s="21" t="str">
        <f t="shared" ca="1" si="0"/>
        <v>Not Eligible</v>
      </c>
    </row>
    <row r="203" spans="1:17" ht="15.5" x14ac:dyDescent="0.35">
      <c r="A203" s="20">
        <v>202</v>
      </c>
      <c r="B203" s="21" t="s">
        <v>365</v>
      </c>
      <c r="C203" s="21" t="s">
        <v>366</v>
      </c>
      <c r="D203" s="22" t="str">
        <f>_xlfn.TEXTJOIN(" ",TRUE,Employees_Data[[#This Row],[First Name]],Employees_Data[[#This Row],[Last Name]])</f>
        <v>Majdy Rafaea</v>
      </c>
      <c r="E203" s="21" t="s">
        <v>25</v>
      </c>
      <c r="F203" s="23">
        <v>43982</v>
      </c>
      <c r="G203" s="24">
        <f ca="1">DATEDIF(Employees!$F203,TODAY(),"Y")</f>
        <v>6</v>
      </c>
      <c r="H203" s="21" t="s">
        <v>115</v>
      </c>
      <c r="I203" s="21" t="s">
        <v>53</v>
      </c>
      <c r="J203" s="21" t="s">
        <v>54</v>
      </c>
      <c r="K203" s="25">
        <v>2186</v>
      </c>
      <c r="L203" s="25">
        <v>26232</v>
      </c>
      <c r="M203" s="21">
        <v>1</v>
      </c>
      <c r="N203" s="21">
        <v>2</v>
      </c>
      <c r="O203" s="21">
        <v>0</v>
      </c>
      <c r="P203" s="21">
        <v>10</v>
      </c>
      <c r="Q203" s="21" t="str">
        <f t="shared" ca="1" si="0"/>
        <v>Not Eligible</v>
      </c>
    </row>
    <row r="204" spans="1:17" ht="15.5" x14ac:dyDescent="0.35">
      <c r="A204" s="20">
        <v>203</v>
      </c>
      <c r="B204" s="21" t="s">
        <v>367</v>
      </c>
      <c r="C204" s="21" t="s">
        <v>368</v>
      </c>
      <c r="D204" s="22" t="str">
        <f>_xlfn.TEXTJOIN(" ",TRUE,Employees_Data[[#This Row],[First Name]],Employees_Data[[#This Row],[Last Name]])</f>
        <v>Ihsan Eazu</v>
      </c>
      <c r="E204" s="21" t="s">
        <v>25</v>
      </c>
      <c r="F204" s="23">
        <v>43603</v>
      </c>
      <c r="G204" s="24">
        <f ca="1">DATEDIF(Employees!$F204,TODAY(),"Y")</f>
        <v>7</v>
      </c>
      <c r="H204" s="21" t="s">
        <v>110</v>
      </c>
      <c r="I204" s="21" t="s">
        <v>27</v>
      </c>
      <c r="J204" s="21" t="s">
        <v>29</v>
      </c>
      <c r="K204" s="25">
        <v>1605</v>
      </c>
      <c r="L204" s="25">
        <v>19260</v>
      </c>
      <c r="M204" s="21">
        <v>4.5</v>
      </c>
      <c r="N204" s="21">
        <v>5</v>
      </c>
      <c r="O204" s="21">
        <v>4</v>
      </c>
      <c r="P204" s="21">
        <v>9</v>
      </c>
      <c r="Q204" s="21" t="str">
        <f t="shared" ca="1" si="0"/>
        <v>Not Eligible</v>
      </c>
    </row>
    <row r="205" spans="1:17" ht="15.5" x14ac:dyDescent="0.35">
      <c r="A205" s="20">
        <v>204</v>
      </c>
      <c r="B205" s="21" t="s">
        <v>72</v>
      </c>
      <c r="C205" s="21" t="s">
        <v>369</v>
      </c>
      <c r="D205" s="22" t="str">
        <f>_xlfn.TEXTJOIN(" ",TRUE,Employees_Data[[#This Row],[First Name]],Employees_Data[[#This Row],[Last Name]])</f>
        <v>Iad Alshaykh</v>
      </c>
      <c r="E205" s="21" t="s">
        <v>25</v>
      </c>
      <c r="F205" s="23">
        <v>43237</v>
      </c>
      <c r="G205" s="24">
        <f ca="1">DATEDIF(Employees!$F205,TODAY(),"Y")</f>
        <v>8</v>
      </c>
      <c r="H205" s="21" t="s">
        <v>76</v>
      </c>
      <c r="I205" s="21" t="s">
        <v>27</v>
      </c>
      <c r="J205" s="21" t="s">
        <v>54</v>
      </c>
      <c r="K205" s="25">
        <v>2365</v>
      </c>
      <c r="L205" s="25">
        <v>28380</v>
      </c>
      <c r="M205" s="21">
        <v>1</v>
      </c>
      <c r="N205" s="21">
        <v>0</v>
      </c>
      <c r="O205" s="21">
        <v>0</v>
      </c>
      <c r="P205" s="21">
        <v>73</v>
      </c>
      <c r="Q205" s="21" t="str">
        <f t="shared" ca="1" si="0"/>
        <v>Not Eligible</v>
      </c>
    </row>
    <row r="206" spans="1:17" ht="15.5" x14ac:dyDescent="0.35">
      <c r="A206" s="20">
        <v>205</v>
      </c>
      <c r="B206" s="21" t="s">
        <v>370</v>
      </c>
      <c r="C206" s="21" t="s">
        <v>371</v>
      </c>
      <c r="D206" s="22" t="str">
        <f>_xlfn.TEXTJOIN(" ",TRUE,Employees_Data[[#This Row],[First Name]],Employees_Data[[#This Row],[Last Name]])</f>
        <v>Bara Alrrashid</v>
      </c>
      <c r="E206" s="21" t="s">
        <v>25</v>
      </c>
      <c r="F206" s="23">
        <v>42842</v>
      </c>
      <c r="G206" s="24">
        <f ca="1">DATEDIF(Employees!$F206,TODAY(),"Y")</f>
        <v>9</v>
      </c>
      <c r="H206" s="21" t="s">
        <v>372</v>
      </c>
      <c r="I206" s="21" t="s">
        <v>71</v>
      </c>
      <c r="J206" s="21" t="s">
        <v>54</v>
      </c>
      <c r="K206" s="25">
        <v>1096</v>
      </c>
      <c r="L206" s="25">
        <v>13152</v>
      </c>
      <c r="M206" s="21">
        <v>4.5</v>
      </c>
      <c r="N206" s="21">
        <v>4</v>
      </c>
      <c r="O206" s="21">
        <v>0</v>
      </c>
      <c r="P206" s="21">
        <v>8</v>
      </c>
      <c r="Q206" s="21" t="str">
        <f t="shared" ca="1" si="0"/>
        <v>Not Eligible</v>
      </c>
    </row>
    <row r="207" spans="1:17" ht="15.5" x14ac:dyDescent="0.35">
      <c r="A207" s="20">
        <v>206</v>
      </c>
      <c r="B207" s="21" t="s">
        <v>218</v>
      </c>
      <c r="C207" s="21" t="s">
        <v>373</v>
      </c>
      <c r="D207" s="22" t="str">
        <f>_xlfn.TEXTJOIN(" ",TRUE,Employees_Data[[#This Row],[First Name]],Employees_Data[[#This Row],[Last Name]])</f>
        <v>Fadi Nuna</v>
      </c>
      <c r="E207" s="21" t="s">
        <v>25</v>
      </c>
      <c r="F207" s="23">
        <v>43654</v>
      </c>
      <c r="G207" s="24">
        <f ca="1">DATEDIF(Employees!$F207,TODAY(),"Y")</f>
        <v>7</v>
      </c>
      <c r="H207" s="21" t="s">
        <v>76</v>
      </c>
      <c r="I207" s="21" t="s">
        <v>27</v>
      </c>
      <c r="J207" s="21" t="s">
        <v>60</v>
      </c>
      <c r="K207" s="25">
        <v>1037</v>
      </c>
      <c r="L207" s="25">
        <v>12444</v>
      </c>
      <c r="M207" s="21">
        <v>3</v>
      </c>
      <c r="N207" s="21">
        <v>6</v>
      </c>
      <c r="O207" s="21">
        <v>0</v>
      </c>
      <c r="P207" s="21">
        <v>5</v>
      </c>
      <c r="Q207" s="21" t="str">
        <f t="shared" ca="1" si="0"/>
        <v>Not Eligible</v>
      </c>
    </row>
    <row r="208" spans="1:17" ht="15.5" x14ac:dyDescent="0.35">
      <c r="A208" s="20">
        <v>207</v>
      </c>
      <c r="B208" s="21" t="s">
        <v>57</v>
      </c>
      <c r="C208" s="21" t="s">
        <v>182</v>
      </c>
      <c r="D208" s="22" t="str">
        <f>_xlfn.TEXTJOIN(" ",TRUE,Employees_Data[[#This Row],[First Name]],Employees_Data[[#This Row],[Last Name]])</f>
        <v>Muhamad Salah</v>
      </c>
      <c r="E208" s="21" t="s">
        <v>25</v>
      </c>
      <c r="F208" s="23">
        <v>44168</v>
      </c>
      <c r="G208" s="24">
        <f ca="1">DATEDIF(Employees!$F208,TODAY(),"Y")</f>
        <v>5</v>
      </c>
      <c r="H208" s="21" t="s">
        <v>76</v>
      </c>
      <c r="I208" s="21" t="s">
        <v>71</v>
      </c>
      <c r="J208" s="21" t="s">
        <v>29</v>
      </c>
      <c r="K208" s="25">
        <v>1757</v>
      </c>
      <c r="L208" s="25">
        <v>21084</v>
      </c>
      <c r="M208" s="21">
        <v>2</v>
      </c>
      <c r="N208" s="21">
        <v>6</v>
      </c>
      <c r="O208" s="21">
        <v>0</v>
      </c>
      <c r="P208" s="21">
        <v>13</v>
      </c>
      <c r="Q208" s="21" t="str">
        <f t="shared" ca="1" si="0"/>
        <v>Not Eligible</v>
      </c>
    </row>
    <row r="209" spans="1:17" ht="15.5" x14ac:dyDescent="0.35">
      <c r="A209" s="20">
        <v>208</v>
      </c>
      <c r="B209" s="21" t="s">
        <v>374</v>
      </c>
      <c r="C209" s="21" t="s">
        <v>375</v>
      </c>
      <c r="D209" s="22" t="str">
        <f>_xlfn.TEXTJOIN(" ",TRUE,Employees_Data[[#This Row],[First Name]],Employees_Data[[#This Row],[Last Name]])</f>
        <v>Bima Mustafaa</v>
      </c>
      <c r="E209" s="21" t="s">
        <v>44</v>
      </c>
      <c r="F209" s="23">
        <v>44138</v>
      </c>
      <c r="G209" s="24">
        <f ca="1">DATEDIF(Employees!$F209,TODAY(),"Y")</f>
        <v>5</v>
      </c>
      <c r="H209" s="21" t="s">
        <v>99</v>
      </c>
      <c r="I209" s="21" t="s">
        <v>27</v>
      </c>
      <c r="J209" s="21" t="s">
        <v>54</v>
      </c>
      <c r="K209" s="25">
        <v>3405</v>
      </c>
      <c r="L209" s="25">
        <v>40860</v>
      </c>
      <c r="M209" s="21">
        <v>5</v>
      </c>
      <c r="N209" s="21">
        <v>0</v>
      </c>
      <c r="O209" s="21">
        <v>0</v>
      </c>
      <c r="P209" s="21">
        <v>1</v>
      </c>
      <c r="Q209" s="21" t="str">
        <f t="shared" ca="1" si="0"/>
        <v>Not Eligible</v>
      </c>
    </row>
    <row r="210" spans="1:17" ht="15.5" x14ac:dyDescent="0.35">
      <c r="A210" s="20">
        <v>209</v>
      </c>
      <c r="B210" s="21" t="s">
        <v>376</v>
      </c>
      <c r="C210" s="21" t="s">
        <v>377</v>
      </c>
      <c r="D210" s="22" t="str">
        <f>_xlfn.TEXTJOIN(" ",TRUE,Employees_Data[[#This Row],[First Name]],Employees_Data[[#This Row],[Last Name]])</f>
        <v>Husam Abu Shwmr</v>
      </c>
      <c r="E210" s="21" t="s">
        <v>25</v>
      </c>
      <c r="F210" s="23">
        <v>43262</v>
      </c>
      <c r="G210" s="24">
        <f ca="1">DATEDIF(Employees!$F210,TODAY(),"Y")</f>
        <v>8</v>
      </c>
      <c r="H210" s="21" t="s">
        <v>65</v>
      </c>
      <c r="I210" s="21" t="s">
        <v>53</v>
      </c>
      <c r="J210" s="21" t="s">
        <v>29</v>
      </c>
      <c r="K210" s="25">
        <v>2154</v>
      </c>
      <c r="L210" s="25">
        <v>25848</v>
      </c>
      <c r="M210" s="21">
        <v>5</v>
      </c>
      <c r="N210" s="21">
        <v>0</v>
      </c>
      <c r="O210" s="21">
        <v>0</v>
      </c>
      <c r="P210" s="21">
        <v>0</v>
      </c>
      <c r="Q210" s="21" t="str">
        <f t="shared" ca="1" si="0"/>
        <v>Not Eligible</v>
      </c>
    </row>
    <row r="211" spans="1:17" ht="15.5" x14ac:dyDescent="0.35">
      <c r="A211" s="20">
        <v>210</v>
      </c>
      <c r="B211" s="21" t="s">
        <v>378</v>
      </c>
      <c r="C211" s="21" t="s">
        <v>379</v>
      </c>
      <c r="D211" s="22" t="str">
        <f>_xlfn.TEXTJOIN(" ",TRUE,Employees_Data[[#This Row],[First Name]],Employees_Data[[#This Row],[Last Name]])</f>
        <v>Abdalrahmin Turkmany</v>
      </c>
      <c r="E211" s="21" t="s">
        <v>25</v>
      </c>
      <c r="F211" s="23">
        <v>43508</v>
      </c>
      <c r="G211" s="24">
        <f ca="1">DATEDIF(Employees!$F211,TODAY(),"Y")</f>
        <v>7</v>
      </c>
      <c r="H211" s="21" t="s">
        <v>81</v>
      </c>
      <c r="I211" s="21" t="s">
        <v>27</v>
      </c>
      <c r="J211" s="21" t="s">
        <v>54</v>
      </c>
      <c r="K211" s="25">
        <v>805</v>
      </c>
      <c r="L211" s="25">
        <v>9660</v>
      </c>
      <c r="M211" s="21">
        <v>2</v>
      </c>
      <c r="N211" s="21">
        <v>0</v>
      </c>
      <c r="O211" s="21">
        <v>0</v>
      </c>
      <c r="P211" s="21">
        <v>6</v>
      </c>
      <c r="Q211" s="21" t="str">
        <f t="shared" ca="1" si="0"/>
        <v>Not Eligible</v>
      </c>
    </row>
    <row r="212" spans="1:17" ht="15.5" x14ac:dyDescent="0.35">
      <c r="A212" s="20">
        <v>211</v>
      </c>
      <c r="B212" s="21" t="s">
        <v>380</v>
      </c>
      <c r="C212" s="21" t="s">
        <v>381</v>
      </c>
      <c r="D212" s="22" t="str">
        <f>_xlfn.TEXTJOIN(" ",TRUE,Employees_Data[[#This Row],[First Name]],Employees_Data[[#This Row],[Last Name]])</f>
        <v>Majdulyn Alhakim</v>
      </c>
      <c r="E212" s="21" t="s">
        <v>44</v>
      </c>
      <c r="F212" s="23">
        <v>43376</v>
      </c>
      <c r="G212" s="24">
        <f ca="1">DATEDIF(Employees!$F212,TODAY(),"Y")</f>
        <v>8</v>
      </c>
      <c r="H212" s="21" t="s">
        <v>221</v>
      </c>
      <c r="I212" s="21" t="s">
        <v>27</v>
      </c>
      <c r="J212" s="21" t="s">
        <v>54</v>
      </c>
      <c r="K212" s="25">
        <v>3093</v>
      </c>
      <c r="L212" s="25">
        <v>37116</v>
      </c>
      <c r="M212" s="21">
        <v>4.5</v>
      </c>
      <c r="N212" s="21">
        <v>0</v>
      </c>
      <c r="O212" s="21">
        <v>0</v>
      </c>
      <c r="P212" s="21">
        <v>10</v>
      </c>
      <c r="Q212" s="21" t="str">
        <f t="shared" ca="1" si="0"/>
        <v>Not Eligible</v>
      </c>
    </row>
    <row r="213" spans="1:17" ht="15.5" x14ac:dyDescent="0.35">
      <c r="A213" s="20">
        <v>212</v>
      </c>
      <c r="B213" s="21" t="s">
        <v>55</v>
      </c>
      <c r="C213" s="21" t="s">
        <v>382</v>
      </c>
      <c r="D213" s="22" t="str">
        <f>_xlfn.TEXTJOIN(" ",TRUE,Employees_Data[[#This Row],[First Name]],Employees_Data[[#This Row],[Last Name]])</f>
        <v>Ahmad Abu Jaysh</v>
      </c>
      <c r="E213" s="21" t="s">
        <v>25</v>
      </c>
      <c r="F213" s="23">
        <v>42957</v>
      </c>
      <c r="G213" s="24">
        <f ca="1">DATEDIF(Employees!$F213,TODAY(),"Y")</f>
        <v>9</v>
      </c>
      <c r="H213" s="21" t="s">
        <v>140</v>
      </c>
      <c r="I213" s="21" t="s">
        <v>40</v>
      </c>
      <c r="J213" s="21" t="s">
        <v>29</v>
      </c>
      <c r="K213" s="25">
        <v>1039</v>
      </c>
      <c r="L213" s="25">
        <v>12468</v>
      </c>
      <c r="M213" s="21">
        <v>3</v>
      </c>
      <c r="N213" s="21">
        <v>2</v>
      </c>
      <c r="O213" s="21">
        <v>0</v>
      </c>
      <c r="P213" s="21">
        <v>87</v>
      </c>
      <c r="Q213" s="21" t="str">
        <f t="shared" ca="1" si="0"/>
        <v>Eligible</v>
      </c>
    </row>
    <row r="214" spans="1:17" ht="15.5" x14ac:dyDescent="0.35">
      <c r="A214" s="20">
        <v>213</v>
      </c>
      <c r="B214" s="21" t="s">
        <v>383</v>
      </c>
      <c r="C214" s="21" t="s">
        <v>384</v>
      </c>
      <c r="D214" s="22" t="str">
        <f>_xlfn.TEXTJOIN(" ",TRUE,Employees_Data[[#This Row],[First Name]],Employees_Data[[#This Row],[Last Name]])</f>
        <v>Majid Aleusud</v>
      </c>
      <c r="E214" s="21" t="s">
        <v>25</v>
      </c>
      <c r="F214" s="23">
        <v>43792</v>
      </c>
      <c r="G214" s="24">
        <f ca="1">DATEDIF(Employees!$F214,TODAY(),"Y")</f>
        <v>6</v>
      </c>
      <c r="H214" s="21" t="s">
        <v>65</v>
      </c>
      <c r="I214" s="21" t="s">
        <v>27</v>
      </c>
      <c r="J214" s="21" t="s">
        <v>29</v>
      </c>
      <c r="K214" s="25">
        <v>1012</v>
      </c>
      <c r="L214" s="25">
        <v>12144</v>
      </c>
      <c r="M214" s="21">
        <v>3</v>
      </c>
      <c r="N214" s="21">
        <v>1</v>
      </c>
      <c r="O214" s="21">
        <v>0</v>
      </c>
      <c r="P214" s="21">
        <v>7</v>
      </c>
      <c r="Q214" s="21" t="str">
        <f t="shared" ca="1" si="0"/>
        <v>Not Eligible</v>
      </c>
    </row>
    <row r="215" spans="1:17" ht="15.5" x14ac:dyDescent="0.35">
      <c r="A215" s="20">
        <v>214</v>
      </c>
      <c r="B215" s="21" t="s">
        <v>244</v>
      </c>
      <c r="C215" s="21" t="s">
        <v>385</v>
      </c>
      <c r="D215" s="22" t="str">
        <f>_xlfn.TEXTJOIN(" ",TRUE,Employees_Data[[#This Row],[First Name]],Employees_Data[[#This Row],[Last Name]])</f>
        <v>Bashshar Shakhashiru</v>
      </c>
      <c r="E215" s="21" t="s">
        <v>25</v>
      </c>
      <c r="F215" s="23">
        <v>42899</v>
      </c>
      <c r="G215" s="24">
        <f ca="1">DATEDIF(Employees!$F215,TODAY(),"Y")</f>
        <v>9</v>
      </c>
      <c r="H215" s="21" t="s">
        <v>63</v>
      </c>
      <c r="I215" s="21" t="s">
        <v>27</v>
      </c>
      <c r="J215" s="21" t="s">
        <v>54</v>
      </c>
      <c r="K215" s="25">
        <v>2216</v>
      </c>
      <c r="L215" s="25">
        <v>26592</v>
      </c>
      <c r="M215" s="21">
        <v>2</v>
      </c>
      <c r="N215" s="21">
        <v>0</v>
      </c>
      <c r="O215" s="21">
        <v>0</v>
      </c>
      <c r="P215" s="21">
        <v>11</v>
      </c>
      <c r="Q215" s="21" t="str">
        <f t="shared" ca="1" si="0"/>
        <v>Not Eligible</v>
      </c>
    </row>
    <row r="216" spans="1:17" ht="15.5" x14ac:dyDescent="0.35">
      <c r="A216" s="20">
        <v>215</v>
      </c>
      <c r="B216" s="21" t="s">
        <v>386</v>
      </c>
      <c r="C216" s="21" t="s">
        <v>369</v>
      </c>
      <c r="D216" s="22" t="str">
        <f>_xlfn.TEXTJOIN(" ",TRUE,Employees_Data[[#This Row],[First Name]],Employees_Data[[#This Row],[Last Name]])</f>
        <v>Malik Alshaykh</v>
      </c>
      <c r="E216" s="21" t="s">
        <v>25</v>
      </c>
      <c r="F216" s="23">
        <v>44163</v>
      </c>
      <c r="G216" s="24">
        <f ca="1">DATEDIF(Employees!$F216,TODAY(),"Y")</f>
        <v>5</v>
      </c>
      <c r="H216" s="21" t="s">
        <v>99</v>
      </c>
      <c r="I216" s="21" t="s">
        <v>27</v>
      </c>
      <c r="J216" s="21" t="s">
        <v>83</v>
      </c>
      <c r="K216" s="25">
        <v>2020</v>
      </c>
      <c r="L216" s="25">
        <v>24240</v>
      </c>
      <c r="M216" s="21">
        <v>4.5</v>
      </c>
      <c r="N216" s="21">
        <v>0</v>
      </c>
      <c r="O216" s="21">
        <v>5</v>
      </c>
      <c r="P216" s="21">
        <v>0</v>
      </c>
      <c r="Q216" s="21" t="str">
        <f t="shared" ca="1" si="0"/>
        <v>Not Eligible</v>
      </c>
    </row>
    <row r="217" spans="1:17" ht="15.5" x14ac:dyDescent="0.35">
      <c r="A217" s="20">
        <v>216</v>
      </c>
      <c r="B217" s="21" t="s">
        <v>36</v>
      </c>
      <c r="C217" s="21" t="s">
        <v>387</v>
      </c>
      <c r="D217" s="22" t="str">
        <f>_xlfn.TEXTJOIN(" ",TRUE,Employees_Data[[#This Row],[First Name]],Employees_Data[[#This Row],[Last Name]])</f>
        <v>Omar Zarzur</v>
      </c>
      <c r="E217" s="21" t="s">
        <v>25</v>
      </c>
      <c r="F217" s="23">
        <v>42680</v>
      </c>
      <c r="G217" s="24">
        <f ca="1">DATEDIF(Employees!$F217,TODAY(),"Y")</f>
        <v>9</v>
      </c>
      <c r="H217" s="21" t="s">
        <v>59</v>
      </c>
      <c r="I217" s="21" t="s">
        <v>53</v>
      </c>
      <c r="J217" s="21" t="s">
        <v>60</v>
      </c>
      <c r="K217" s="25">
        <v>3309</v>
      </c>
      <c r="L217" s="25">
        <v>39708</v>
      </c>
      <c r="M217" s="21">
        <v>4.5</v>
      </c>
      <c r="N217" s="21">
        <v>1</v>
      </c>
      <c r="O217" s="21">
        <v>0</v>
      </c>
      <c r="P217" s="21">
        <v>7</v>
      </c>
      <c r="Q217" s="21" t="str">
        <f t="shared" ca="1" si="0"/>
        <v>Not Eligible</v>
      </c>
    </row>
    <row r="218" spans="1:17" ht="15.5" x14ac:dyDescent="0.35">
      <c r="A218" s="20">
        <v>217</v>
      </c>
      <c r="B218" s="21" t="s">
        <v>388</v>
      </c>
      <c r="C218" s="21" t="s">
        <v>389</v>
      </c>
      <c r="D218" s="22" t="str">
        <f>_xlfn.TEXTJOIN(" ",TRUE,Employees_Data[[#This Row],[First Name]],Employees_Data[[#This Row],[Last Name]])</f>
        <v>Hasan Iismaeil</v>
      </c>
      <c r="E218" s="21" t="s">
        <v>25</v>
      </c>
      <c r="F218" s="23">
        <v>43956</v>
      </c>
      <c r="G218" s="24">
        <f ca="1">DATEDIF(Employees!$F218,TODAY(),"Y")</f>
        <v>6</v>
      </c>
      <c r="H218" s="21" t="s">
        <v>65</v>
      </c>
      <c r="I218" s="21" t="s">
        <v>53</v>
      </c>
      <c r="J218" s="21" t="s">
        <v>60</v>
      </c>
      <c r="K218" s="25">
        <v>983</v>
      </c>
      <c r="L218" s="25">
        <v>11796</v>
      </c>
      <c r="M218" s="21">
        <v>2</v>
      </c>
      <c r="N218" s="21">
        <v>6</v>
      </c>
      <c r="O218" s="21">
        <v>0</v>
      </c>
      <c r="P218" s="21">
        <v>0</v>
      </c>
      <c r="Q218" s="21" t="str">
        <f t="shared" ca="1" si="0"/>
        <v>Not Eligible</v>
      </c>
    </row>
    <row r="219" spans="1:17" ht="15.5" x14ac:dyDescent="0.35">
      <c r="A219" s="20">
        <v>218</v>
      </c>
      <c r="B219" s="21" t="s">
        <v>86</v>
      </c>
      <c r="C219" s="21" t="s">
        <v>390</v>
      </c>
      <c r="D219" s="22" t="str">
        <f>_xlfn.TEXTJOIN(" ",TRUE,Employees_Data[[#This Row],[First Name]],Employees_Data[[#This Row],[Last Name]])</f>
        <v>Husayn Abu Nasir</v>
      </c>
      <c r="E219" s="21" t="s">
        <v>25</v>
      </c>
      <c r="F219" s="23">
        <v>43184</v>
      </c>
      <c r="G219" s="24">
        <f ca="1">DATEDIF(Employees!$F219,TODAY(),"Y")</f>
        <v>8</v>
      </c>
      <c r="H219" s="21" t="s">
        <v>52</v>
      </c>
      <c r="I219" s="21" t="s">
        <v>27</v>
      </c>
      <c r="J219" s="21" t="s">
        <v>54</v>
      </c>
      <c r="K219" s="25">
        <v>741</v>
      </c>
      <c r="L219" s="25">
        <v>8892</v>
      </c>
      <c r="M219" s="21">
        <v>3</v>
      </c>
      <c r="N219" s="21">
        <v>0</v>
      </c>
      <c r="O219" s="21">
        <v>0</v>
      </c>
      <c r="P219" s="21">
        <v>1</v>
      </c>
      <c r="Q219" s="21" t="str">
        <f t="shared" ca="1" si="0"/>
        <v>Not Eligible</v>
      </c>
    </row>
    <row r="220" spans="1:17" ht="15.5" x14ac:dyDescent="0.35">
      <c r="A220" s="20">
        <v>219</v>
      </c>
      <c r="B220" s="21" t="s">
        <v>191</v>
      </c>
      <c r="C220" s="21" t="s">
        <v>391</v>
      </c>
      <c r="D220" s="22" t="str">
        <f>_xlfn.TEXTJOIN(" ",TRUE,Employees_Data[[#This Row],[First Name]],Employees_Data[[#This Row],[Last Name]])</f>
        <v>Mazin Earabi</v>
      </c>
      <c r="E220" s="21" t="s">
        <v>25</v>
      </c>
      <c r="F220" s="23">
        <v>42626</v>
      </c>
      <c r="G220" s="24">
        <f ca="1">DATEDIF(Employees!$F220,TODAY(),"Y")</f>
        <v>10</v>
      </c>
      <c r="H220" s="21" t="s">
        <v>65</v>
      </c>
      <c r="I220" s="21" t="s">
        <v>53</v>
      </c>
      <c r="J220" s="21" t="s">
        <v>54</v>
      </c>
      <c r="K220" s="25">
        <v>1171</v>
      </c>
      <c r="L220" s="25">
        <v>14052</v>
      </c>
      <c r="M220" s="21">
        <v>4.5</v>
      </c>
      <c r="N220" s="21">
        <v>0</v>
      </c>
      <c r="O220" s="21">
        <v>0</v>
      </c>
      <c r="P220" s="21">
        <v>0</v>
      </c>
      <c r="Q220" s="21" t="str">
        <f t="shared" ca="1" si="0"/>
        <v>Not Eligible</v>
      </c>
    </row>
    <row r="221" spans="1:17" ht="15.5" x14ac:dyDescent="0.35">
      <c r="A221" s="20">
        <v>220</v>
      </c>
      <c r="B221" s="21" t="s">
        <v>392</v>
      </c>
      <c r="C221" s="21" t="s">
        <v>393</v>
      </c>
      <c r="D221" s="22" t="str">
        <f>_xlfn.TEXTJOIN(" ",TRUE,Employees_Data[[#This Row],[First Name]],Employees_Data[[#This Row],[Last Name]])</f>
        <v>Zahir Eisaa</v>
      </c>
      <c r="E221" s="21" t="s">
        <v>25</v>
      </c>
      <c r="F221" s="23">
        <v>43817</v>
      </c>
      <c r="G221" s="24">
        <f ca="1">DATEDIF(Employees!$F221,TODAY(),"Y")</f>
        <v>6</v>
      </c>
      <c r="H221" s="21" t="s">
        <v>99</v>
      </c>
      <c r="I221" s="21" t="s">
        <v>27</v>
      </c>
      <c r="J221" s="21" t="s">
        <v>60</v>
      </c>
      <c r="K221" s="25">
        <v>2512</v>
      </c>
      <c r="L221" s="25">
        <v>30144</v>
      </c>
      <c r="M221" s="21">
        <v>5</v>
      </c>
      <c r="N221" s="21">
        <v>6</v>
      </c>
      <c r="O221" s="21">
        <v>0</v>
      </c>
      <c r="P221" s="21">
        <v>10</v>
      </c>
      <c r="Q221" s="21" t="str">
        <f t="shared" ca="1" si="0"/>
        <v>Not Eligible</v>
      </c>
    </row>
    <row r="222" spans="1:17" ht="15.5" x14ac:dyDescent="0.35">
      <c r="A222" s="20">
        <v>221</v>
      </c>
      <c r="B222" s="21" t="s">
        <v>394</v>
      </c>
      <c r="C222" s="21" t="s">
        <v>395</v>
      </c>
      <c r="D222" s="22" t="str">
        <f>_xlfn.TEXTJOIN(" ",TRUE,Employees_Data[[#This Row],[First Name]],Employees_Data[[#This Row],[Last Name]])</f>
        <v>Lama Sabiq</v>
      </c>
      <c r="E222" s="21" t="s">
        <v>44</v>
      </c>
      <c r="F222" s="23">
        <v>43553</v>
      </c>
      <c r="G222" s="24">
        <f ca="1">DATEDIF(Employees!$F222,TODAY(),"Y")</f>
        <v>7</v>
      </c>
      <c r="H222" s="21" t="s">
        <v>26</v>
      </c>
      <c r="I222" s="21" t="s">
        <v>27</v>
      </c>
      <c r="J222" s="21" t="s">
        <v>29</v>
      </c>
      <c r="K222" s="25">
        <v>1608</v>
      </c>
      <c r="L222" s="25">
        <v>19296</v>
      </c>
      <c r="M222" s="21">
        <v>1</v>
      </c>
      <c r="N222" s="21">
        <v>0</v>
      </c>
      <c r="O222" s="21">
        <v>3</v>
      </c>
      <c r="P222" s="21">
        <v>4</v>
      </c>
      <c r="Q222" s="21" t="str">
        <f t="shared" ca="1" si="0"/>
        <v>Not Eligible</v>
      </c>
    </row>
    <row r="223" spans="1:17" ht="15.5" x14ac:dyDescent="0.35">
      <c r="A223" s="20">
        <v>222</v>
      </c>
      <c r="B223" s="21" t="s">
        <v>216</v>
      </c>
      <c r="C223" s="21" t="s">
        <v>396</v>
      </c>
      <c r="D223" s="22" t="str">
        <f>_xlfn.TEXTJOIN(" ",TRUE,Employees_Data[[#This Row],[First Name]],Employees_Data[[#This Row],[Last Name]])</f>
        <v>Tariq Dw</v>
      </c>
      <c r="E223" s="21" t="s">
        <v>25</v>
      </c>
      <c r="F223" s="23">
        <v>43945</v>
      </c>
      <c r="G223" s="24">
        <f ca="1">DATEDIF(Employees!$F223,TODAY(),"Y")</f>
        <v>6</v>
      </c>
      <c r="H223" s="21" t="s">
        <v>99</v>
      </c>
      <c r="I223" s="21" t="s">
        <v>53</v>
      </c>
      <c r="J223" s="21" t="s">
        <v>60</v>
      </c>
      <c r="K223" s="25">
        <v>1677</v>
      </c>
      <c r="L223" s="25">
        <v>20124</v>
      </c>
      <c r="M223" s="21">
        <v>1</v>
      </c>
      <c r="N223" s="21">
        <v>0</v>
      </c>
      <c r="O223" s="21">
        <v>0</v>
      </c>
      <c r="P223" s="21">
        <v>12</v>
      </c>
      <c r="Q223" s="21" t="str">
        <f t="shared" ca="1" si="0"/>
        <v>Not Eligible</v>
      </c>
    </row>
    <row r="224" spans="1:17" ht="15.5" x14ac:dyDescent="0.35">
      <c r="A224" s="20">
        <v>223</v>
      </c>
      <c r="B224" s="21" t="s">
        <v>30</v>
      </c>
      <c r="C224" s="21" t="s">
        <v>397</v>
      </c>
      <c r="D224" s="22" t="str">
        <f>_xlfn.TEXTJOIN(" ",TRUE,Employees_Data[[#This Row],[First Name]],Employees_Data[[#This Row],[Last Name]])</f>
        <v>Jawaher Shaykhus</v>
      </c>
      <c r="E224" s="21" t="s">
        <v>44</v>
      </c>
      <c r="F224" s="23">
        <v>43215</v>
      </c>
      <c r="G224" s="24">
        <f ca="1">DATEDIF(Employees!$F224,TODAY(),"Y")</f>
        <v>8</v>
      </c>
      <c r="H224" s="21" t="s">
        <v>99</v>
      </c>
      <c r="I224" s="21" t="s">
        <v>27</v>
      </c>
      <c r="J224" s="21" t="s">
        <v>29</v>
      </c>
      <c r="K224" s="25">
        <v>3414</v>
      </c>
      <c r="L224" s="25">
        <v>40968</v>
      </c>
      <c r="M224" s="21">
        <v>5</v>
      </c>
      <c r="N224" s="21">
        <v>0</v>
      </c>
      <c r="O224" s="21">
        <v>0</v>
      </c>
      <c r="P224" s="21">
        <v>2</v>
      </c>
      <c r="Q224" s="21" t="str">
        <f t="shared" ca="1" si="0"/>
        <v>Not Eligible</v>
      </c>
    </row>
    <row r="225" spans="1:17" ht="15.5" x14ac:dyDescent="0.35">
      <c r="A225" s="20">
        <v>224</v>
      </c>
      <c r="B225" s="21" t="s">
        <v>398</v>
      </c>
      <c r="C225" s="21" t="s">
        <v>399</v>
      </c>
      <c r="D225" s="22" t="str">
        <f>_xlfn.TEXTJOIN(" ",TRUE,Employees_Data[[#This Row],[First Name]],Employees_Data[[#This Row],[Last Name]])</f>
        <v>Emam Mansur</v>
      </c>
      <c r="E225" s="21" t="s">
        <v>25</v>
      </c>
      <c r="F225" s="23">
        <v>43553</v>
      </c>
      <c r="G225" s="24">
        <f ca="1">DATEDIF(Employees!$F225,TODAY(),"Y")</f>
        <v>7</v>
      </c>
      <c r="H225" s="21" t="s">
        <v>99</v>
      </c>
      <c r="I225" s="21" t="s">
        <v>315</v>
      </c>
      <c r="J225" s="21" t="s">
        <v>54</v>
      </c>
      <c r="K225" s="25">
        <v>1358</v>
      </c>
      <c r="L225" s="25">
        <v>16296</v>
      </c>
      <c r="M225" s="21">
        <v>5</v>
      </c>
      <c r="N225" s="21">
        <v>0</v>
      </c>
      <c r="O225" s="21">
        <v>0</v>
      </c>
      <c r="P225" s="21">
        <v>10</v>
      </c>
      <c r="Q225" s="21" t="str">
        <f t="shared" ca="1" si="0"/>
        <v>Not Eligible</v>
      </c>
    </row>
    <row r="226" spans="1:17" ht="15.5" x14ac:dyDescent="0.35">
      <c r="A226" s="20">
        <v>225</v>
      </c>
      <c r="B226" s="21" t="s">
        <v>57</v>
      </c>
      <c r="C226" s="21" t="s">
        <v>400</v>
      </c>
      <c r="D226" s="22" t="str">
        <f>_xlfn.TEXTJOIN(" ",TRUE,Employees_Data[[#This Row],[First Name]],Employees_Data[[#This Row],[Last Name]])</f>
        <v>Muhamad Bulta</v>
      </c>
      <c r="E226" s="21" t="s">
        <v>25</v>
      </c>
      <c r="F226" s="23">
        <v>43694</v>
      </c>
      <c r="G226" s="24">
        <f ca="1">DATEDIF(Employees!$F226,TODAY(),"Y")</f>
        <v>7</v>
      </c>
      <c r="H226" s="21" t="s">
        <v>65</v>
      </c>
      <c r="I226" s="21" t="s">
        <v>27</v>
      </c>
      <c r="J226" s="21" t="s">
        <v>83</v>
      </c>
      <c r="K226" s="25">
        <v>703</v>
      </c>
      <c r="L226" s="25">
        <v>8436</v>
      </c>
      <c r="M226" s="21">
        <v>4.5</v>
      </c>
      <c r="N226" s="21">
        <v>0</v>
      </c>
      <c r="O226" s="21">
        <v>0</v>
      </c>
      <c r="P226" s="21">
        <v>64</v>
      </c>
      <c r="Q226" s="21" t="str">
        <f t="shared" ca="1" si="0"/>
        <v>Eligible</v>
      </c>
    </row>
    <row r="227" spans="1:17" ht="15.5" x14ac:dyDescent="0.35">
      <c r="A227" s="20">
        <v>226</v>
      </c>
      <c r="B227" s="21" t="s">
        <v>401</v>
      </c>
      <c r="C227" s="21" t="s">
        <v>402</v>
      </c>
      <c r="D227" s="22" t="str">
        <f>_xlfn.TEXTJOIN(" ",TRUE,Employees_Data[[#This Row],[First Name]],Employees_Data[[#This Row],[Last Name]])</f>
        <v>Fatin Hamshu</v>
      </c>
      <c r="E227" s="21" t="s">
        <v>44</v>
      </c>
      <c r="F227" s="23">
        <v>43443</v>
      </c>
      <c r="G227" s="24">
        <f ca="1">DATEDIF(Employees!$F227,TODAY(),"Y")</f>
        <v>7</v>
      </c>
      <c r="H227" s="21" t="s">
        <v>59</v>
      </c>
      <c r="I227" s="21" t="s">
        <v>27</v>
      </c>
      <c r="J227" s="21" t="s">
        <v>54</v>
      </c>
      <c r="K227" s="25">
        <v>2017</v>
      </c>
      <c r="L227" s="25">
        <v>24204</v>
      </c>
      <c r="M227" s="21">
        <v>2</v>
      </c>
      <c r="N227" s="21">
        <v>0</v>
      </c>
      <c r="O227" s="21">
        <v>1</v>
      </c>
      <c r="P227" s="21">
        <v>8</v>
      </c>
      <c r="Q227" s="21" t="str">
        <f t="shared" ca="1" si="0"/>
        <v>Not Eligible</v>
      </c>
    </row>
    <row r="228" spans="1:17" ht="15.5" x14ac:dyDescent="0.35">
      <c r="A228" s="20">
        <v>227</v>
      </c>
      <c r="B228" s="21" t="s">
        <v>284</v>
      </c>
      <c r="C228" s="21" t="s">
        <v>403</v>
      </c>
      <c r="D228" s="22" t="str">
        <f>_xlfn.TEXTJOIN(" ",TRUE,Employees_Data[[#This Row],[First Name]],Employees_Data[[#This Row],[Last Name]])</f>
        <v>Abd Alruhmin Alnasar</v>
      </c>
      <c r="E228" s="21" t="s">
        <v>25</v>
      </c>
      <c r="F228" s="23">
        <v>43687</v>
      </c>
      <c r="G228" s="24">
        <f ca="1">DATEDIF(Employees!$F228,TODAY(),"Y")</f>
        <v>7</v>
      </c>
      <c r="H228" s="21" t="s">
        <v>59</v>
      </c>
      <c r="I228" s="21" t="s">
        <v>27</v>
      </c>
      <c r="J228" s="21" t="s">
        <v>54</v>
      </c>
      <c r="K228" s="25">
        <v>1806</v>
      </c>
      <c r="L228" s="25">
        <v>21672</v>
      </c>
      <c r="M228" s="21">
        <v>5</v>
      </c>
      <c r="N228" s="21">
        <v>0</v>
      </c>
      <c r="O228" s="21">
        <v>0</v>
      </c>
      <c r="P228" s="21">
        <v>7</v>
      </c>
      <c r="Q228" s="21" t="str">
        <f t="shared" ca="1" si="0"/>
        <v>Not Eligible</v>
      </c>
    </row>
    <row r="229" spans="1:17" ht="15.5" x14ac:dyDescent="0.35">
      <c r="A229" s="20">
        <v>228</v>
      </c>
      <c r="B229" s="21" t="s">
        <v>401</v>
      </c>
      <c r="C229" s="21" t="s">
        <v>404</v>
      </c>
      <c r="D229" s="22" t="str">
        <f>_xlfn.TEXTJOIN(" ",TRUE,Employees_Data[[#This Row],[First Name]],Employees_Data[[#This Row],[Last Name]])</f>
        <v>Fatin Red</v>
      </c>
      <c r="E229" s="21" t="s">
        <v>44</v>
      </c>
      <c r="F229" s="23">
        <v>43663</v>
      </c>
      <c r="G229" s="24">
        <f ca="1">DATEDIF(Employees!$F229,TODAY(),"Y")</f>
        <v>7</v>
      </c>
      <c r="H229" s="21" t="s">
        <v>140</v>
      </c>
      <c r="I229" s="21" t="s">
        <v>27</v>
      </c>
      <c r="J229" s="21" t="s">
        <v>60</v>
      </c>
      <c r="K229" s="25">
        <v>2421</v>
      </c>
      <c r="L229" s="25">
        <v>29052</v>
      </c>
      <c r="M229" s="21">
        <v>3</v>
      </c>
      <c r="N229" s="21">
        <v>6</v>
      </c>
      <c r="O229" s="21">
        <v>0</v>
      </c>
      <c r="P229" s="21">
        <v>16</v>
      </c>
      <c r="Q229" s="21" t="str">
        <f t="shared" ca="1" si="0"/>
        <v>Not Eligible</v>
      </c>
    </row>
    <row r="230" spans="1:17" ht="15.5" x14ac:dyDescent="0.35">
      <c r="A230" s="20">
        <v>229</v>
      </c>
      <c r="B230" s="21" t="s">
        <v>207</v>
      </c>
      <c r="C230" s="21" t="s">
        <v>57</v>
      </c>
      <c r="D230" s="22" t="str">
        <f>_xlfn.TEXTJOIN(" ",TRUE,Employees_Data[[#This Row],[First Name]],Employees_Data[[#This Row],[Last Name]])</f>
        <v>Ali Muhamad</v>
      </c>
      <c r="E230" s="21" t="s">
        <v>25</v>
      </c>
      <c r="F230" s="23">
        <v>43256</v>
      </c>
      <c r="G230" s="24">
        <f ca="1">DATEDIF(Employees!$F230,TODAY(),"Y")</f>
        <v>8</v>
      </c>
      <c r="H230" s="21" t="s">
        <v>81</v>
      </c>
      <c r="I230" s="21" t="s">
        <v>53</v>
      </c>
      <c r="J230" s="21" t="s">
        <v>60</v>
      </c>
      <c r="K230" s="25">
        <v>1461</v>
      </c>
      <c r="L230" s="25">
        <v>17532</v>
      </c>
      <c r="M230" s="21">
        <v>5</v>
      </c>
      <c r="N230" s="21">
        <v>1</v>
      </c>
      <c r="O230" s="21">
        <v>0</v>
      </c>
      <c r="P230" s="21">
        <v>7</v>
      </c>
      <c r="Q230" s="21" t="str">
        <f t="shared" ca="1" si="0"/>
        <v>Not Eligible</v>
      </c>
    </row>
    <row r="231" spans="1:17" ht="15.5" x14ac:dyDescent="0.35">
      <c r="A231" s="20">
        <v>230</v>
      </c>
      <c r="B231" s="21" t="s">
        <v>121</v>
      </c>
      <c r="C231" s="21" t="s">
        <v>405</v>
      </c>
      <c r="D231" s="22" t="str">
        <f>_xlfn.TEXTJOIN(" ",TRUE,Employees_Data[[#This Row],[First Name]],Employees_Data[[#This Row],[Last Name]])</f>
        <v>Rima Dwalyby</v>
      </c>
      <c r="E231" s="21" t="s">
        <v>44</v>
      </c>
      <c r="F231" s="23">
        <v>44106</v>
      </c>
      <c r="G231" s="24">
        <f ca="1">DATEDIF(Employees!$F231,TODAY(),"Y")</f>
        <v>6</v>
      </c>
      <c r="H231" s="21" t="s">
        <v>52</v>
      </c>
      <c r="I231" s="21" t="s">
        <v>27</v>
      </c>
      <c r="J231" s="21" t="s">
        <v>83</v>
      </c>
      <c r="K231" s="25">
        <v>1287</v>
      </c>
      <c r="L231" s="25">
        <v>15444</v>
      </c>
      <c r="M231" s="21">
        <v>1</v>
      </c>
      <c r="N231" s="21">
        <v>0</v>
      </c>
      <c r="O231" s="21">
        <v>0</v>
      </c>
      <c r="P231" s="21">
        <v>7</v>
      </c>
      <c r="Q231" s="21" t="str">
        <f t="shared" ca="1" si="0"/>
        <v>Not Eligible</v>
      </c>
    </row>
    <row r="232" spans="1:17" ht="15.5" x14ac:dyDescent="0.35">
      <c r="A232" s="20">
        <v>231</v>
      </c>
      <c r="B232" s="21" t="s">
        <v>406</v>
      </c>
      <c r="C232" s="21" t="s">
        <v>407</v>
      </c>
      <c r="D232" s="22" t="str">
        <f>_xlfn.TEXTJOIN(" ",TRUE,Employees_Data[[#This Row],[First Name]],Employees_Data[[#This Row],[Last Name]])</f>
        <v>Basil Musaa</v>
      </c>
      <c r="E232" s="21" t="s">
        <v>25</v>
      </c>
      <c r="F232" s="23">
        <v>43244</v>
      </c>
      <c r="G232" s="24">
        <f ca="1">DATEDIF(Employees!$F232,TODAY(),"Y")</f>
        <v>8</v>
      </c>
      <c r="H232" s="21" t="s">
        <v>52</v>
      </c>
      <c r="I232" s="21" t="s">
        <v>27</v>
      </c>
      <c r="J232" s="21" t="s">
        <v>54</v>
      </c>
      <c r="K232" s="25">
        <v>2756</v>
      </c>
      <c r="L232" s="25">
        <v>33072</v>
      </c>
      <c r="M232" s="21">
        <v>3</v>
      </c>
      <c r="N232" s="21">
        <v>2</v>
      </c>
      <c r="O232" s="21">
        <v>0</v>
      </c>
      <c r="P232" s="21">
        <v>4</v>
      </c>
      <c r="Q232" s="21" t="str">
        <f t="shared" ca="1" si="0"/>
        <v>Not Eligible</v>
      </c>
    </row>
    <row r="233" spans="1:17" ht="15.5" x14ac:dyDescent="0.35">
      <c r="A233" s="20">
        <v>232</v>
      </c>
      <c r="B233" s="21" t="s">
        <v>408</v>
      </c>
      <c r="C233" s="21" t="s">
        <v>409</v>
      </c>
      <c r="D233" s="22" t="str">
        <f>_xlfn.TEXTJOIN(" ",TRUE,Employees_Data[[#This Row],[First Name]],Employees_Data[[#This Row],[Last Name]])</f>
        <v>Antuan Litansdurfr</v>
      </c>
      <c r="E233" s="21" t="s">
        <v>25</v>
      </c>
      <c r="F233" s="23">
        <v>43474</v>
      </c>
      <c r="G233" s="24">
        <f ca="1">DATEDIF(Employees!$F233,TODAY(),"Y")</f>
        <v>7</v>
      </c>
      <c r="H233" s="21" t="s">
        <v>26</v>
      </c>
      <c r="I233" s="21" t="s">
        <v>27</v>
      </c>
      <c r="J233" s="21" t="s">
        <v>54</v>
      </c>
      <c r="K233" s="25">
        <v>2332</v>
      </c>
      <c r="L233" s="25">
        <v>27984</v>
      </c>
      <c r="M233" s="21">
        <v>5</v>
      </c>
      <c r="N233" s="21">
        <v>0</v>
      </c>
      <c r="O233" s="21">
        <v>0</v>
      </c>
      <c r="P233" s="21">
        <v>2</v>
      </c>
      <c r="Q233" s="21" t="str">
        <f t="shared" ca="1" si="0"/>
        <v>Not Eligible</v>
      </c>
    </row>
    <row r="234" spans="1:17" ht="15.5" x14ac:dyDescent="0.35">
      <c r="A234" s="20">
        <v>233</v>
      </c>
      <c r="B234" s="21" t="s">
        <v>410</v>
      </c>
      <c r="C234" s="21" t="s">
        <v>411</v>
      </c>
      <c r="D234" s="22" t="str">
        <f>_xlfn.TEXTJOIN(" ",TRUE,Employees_Data[[#This Row],[First Name]],Employees_Data[[#This Row],[Last Name]])</f>
        <v>Rashad Iidris</v>
      </c>
      <c r="E234" s="21" t="s">
        <v>25</v>
      </c>
      <c r="F234" s="23">
        <v>43795</v>
      </c>
      <c r="G234" s="24">
        <f ca="1">DATEDIF(Employees!$F234,TODAY(),"Y")</f>
        <v>6</v>
      </c>
      <c r="H234" s="21" t="s">
        <v>98</v>
      </c>
      <c r="I234" s="21" t="s">
        <v>27</v>
      </c>
      <c r="J234" s="21" t="s">
        <v>54</v>
      </c>
      <c r="K234" s="25">
        <v>812</v>
      </c>
      <c r="L234" s="25">
        <v>9744</v>
      </c>
      <c r="M234" s="21">
        <v>3</v>
      </c>
      <c r="N234" s="21">
        <v>0</v>
      </c>
      <c r="O234" s="21">
        <v>0</v>
      </c>
      <c r="P234" s="21">
        <v>10</v>
      </c>
      <c r="Q234" s="21" t="str">
        <f t="shared" ca="1" si="0"/>
        <v>Not Eligible</v>
      </c>
    </row>
    <row r="235" spans="1:17" ht="15.5" x14ac:dyDescent="0.35">
      <c r="A235" s="20">
        <v>234</v>
      </c>
      <c r="B235" s="21" t="s">
        <v>412</v>
      </c>
      <c r="C235" s="21" t="s">
        <v>413</v>
      </c>
      <c r="D235" s="22" t="str">
        <f>_xlfn.TEXTJOIN(" ",TRUE,Employees_Data[[#This Row],[First Name]],Employees_Data[[#This Row],[Last Name]])</f>
        <v>Bidralidin Ahmdghrybw</v>
      </c>
      <c r="E235" s="21" t="s">
        <v>25</v>
      </c>
      <c r="F235" s="23">
        <v>44103</v>
      </c>
      <c r="G235" s="24">
        <f ca="1">DATEDIF(Employees!$F235,TODAY(),"Y")</f>
        <v>6</v>
      </c>
      <c r="H235" s="21" t="s">
        <v>52</v>
      </c>
      <c r="I235" s="21" t="s">
        <v>27</v>
      </c>
      <c r="J235" s="21" t="s">
        <v>60</v>
      </c>
      <c r="K235" s="25">
        <v>2651</v>
      </c>
      <c r="L235" s="25">
        <v>31812</v>
      </c>
      <c r="M235" s="21">
        <v>1</v>
      </c>
      <c r="N235" s="21">
        <v>0</v>
      </c>
      <c r="O235" s="21">
        <v>0</v>
      </c>
      <c r="P235" s="21">
        <v>12</v>
      </c>
      <c r="Q235" s="21" t="str">
        <f t="shared" ca="1" si="0"/>
        <v>Not Eligible</v>
      </c>
    </row>
    <row r="236" spans="1:17" ht="15.5" x14ac:dyDescent="0.35">
      <c r="A236" s="20">
        <v>235</v>
      </c>
      <c r="B236" s="21" t="s">
        <v>149</v>
      </c>
      <c r="C236" s="21" t="s">
        <v>414</v>
      </c>
      <c r="D236" s="22" t="str">
        <f>_xlfn.TEXTJOIN(" ",TRUE,Employees_Data[[#This Row],[First Name]],Employees_Data[[#This Row],[Last Name]])</f>
        <v>Faras Shaykh</v>
      </c>
      <c r="E236" s="21" t="s">
        <v>25</v>
      </c>
      <c r="F236" s="23">
        <v>43547</v>
      </c>
      <c r="G236" s="24">
        <f ca="1">DATEDIF(Employees!$F236,TODAY(),"Y")</f>
        <v>7</v>
      </c>
      <c r="H236" s="21" t="s">
        <v>63</v>
      </c>
      <c r="I236" s="21" t="s">
        <v>53</v>
      </c>
      <c r="J236" s="21" t="s">
        <v>29</v>
      </c>
      <c r="K236" s="25">
        <v>2331</v>
      </c>
      <c r="L236" s="25">
        <v>27972</v>
      </c>
      <c r="M236" s="21">
        <v>4.5</v>
      </c>
      <c r="N236" s="21">
        <v>0</v>
      </c>
      <c r="O236" s="21">
        <v>0</v>
      </c>
      <c r="P236" s="21">
        <v>9</v>
      </c>
      <c r="Q236" s="21" t="str">
        <f t="shared" ca="1" si="0"/>
        <v>Not Eligible</v>
      </c>
    </row>
    <row r="237" spans="1:17" ht="15.5" x14ac:dyDescent="0.35">
      <c r="A237" s="20">
        <v>236</v>
      </c>
      <c r="B237" s="21" t="s">
        <v>57</v>
      </c>
      <c r="C237" s="21" t="s">
        <v>415</v>
      </c>
      <c r="D237" s="22" t="str">
        <f>_xlfn.TEXTJOIN(" ",TRUE,Employees_Data[[#This Row],[First Name]],Employees_Data[[#This Row],[Last Name]])</f>
        <v>Muhamad Eala Aldiyn</v>
      </c>
      <c r="E237" s="21" t="s">
        <v>25</v>
      </c>
      <c r="F237" s="23">
        <v>43826</v>
      </c>
      <c r="G237" s="24">
        <f ca="1">DATEDIF(Employees!$F237,TODAY(),"Y")</f>
        <v>6</v>
      </c>
      <c r="H237" s="21" t="s">
        <v>63</v>
      </c>
      <c r="I237" s="21" t="s">
        <v>40</v>
      </c>
      <c r="J237" s="21" t="s">
        <v>60</v>
      </c>
      <c r="K237" s="25">
        <v>2162</v>
      </c>
      <c r="L237" s="25">
        <v>25944</v>
      </c>
      <c r="M237" s="21">
        <v>5</v>
      </c>
      <c r="N237" s="21">
        <v>0</v>
      </c>
      <c r="O237" s="21">
        <v>0</v>
      </c>
      <c r="P237" s="21">
        <v>13</v>
      </c>
      <c r="Q237" s="21" t="str">
        <f t="shared" ca="1" si="0"/>
        <v>Not Eligible</v>
      </c>
    </row>
    <row r="238" spans="1:17" ht="15.5" x14ac:dyDescent="0.35">
      <c r="A238" s="20">
        <v>237</v>
      </c>
      <c r="B238" s="21" t="s">
        <v>416</v>
      </c>
      <c r="C238" s="21" t="s">
        <v>417</v>
      </c>
      <c r="D238" s="22" t="str">
        <f>_xlfn.TEXTJOIN(" ",TRUE,Employees_Data[[#This Row],[First Name]],Employees_Data[[#This Row],[Last Name]])</f>
        <v>Khaldun Suqbani</v>
      </c>
      <c r="E238" s="21" t="s">
        <v>25</v>
      </c>
      <c r="F238" s="23">
        <v>43991</v>
      </c>
      <c r="G238" s="24">
        <f ca="1">DATEDIF(Employees!$F238,TODAY(),"Y")</f>
        <v>6</v>
      </c>
      <c r="H238" s="21" t="s">
        <v>52</v>
      </c>
      <c r="I238" s="21" t="s">
        <v>27</v>
      </c>
      <c r="J238" s="21" t="s">
        <v>60</v>
      </c>
      <c r="K238" s="25">
        <v>1952</v>
      </c>
      <c r="L238" s="25">
        <v>23424</v>
      </c>
      <c r="M238" s="21">
        <v>3</v>
      </c>
      <c r="N238" s="21">
        <v>1</v>
      </c>
      <c r="O238" s="21">
        <v>1</v>
      </c>
      <c r="P238" s="21">
        <v>34</v>
      </c>
      <c r="Q238" s="21" t="str">
        <f t="shared" ca="1" si="0"/>
        <v>Not Eligible</v>
      </c>
    </row>
    <row r="239" spans="1:17" ht="15.5" x14ac:dyDescent="0.35">
      <c r="A239" s="20">
        <v>238</v>
      </c>
      <c r="B239" s="21" t="s">
        <v>101</v>
      </c>
      <c r="C239" s="21" t="s">
        <v>418</v>
      </c>
      <c r="D239" s="22" t="str">
        <f>_xlfn.TEXTJOIN(" ",TRUE,Employees_Data[[#This Row],[First Name]],Employees_Data[[#This Row],[Last Name]])</f>
        <v>Lwna Albahra</v>
      </c>
      <c r="E239" s="21" t="s">
        <v>44</v>
      </c>
      <c r="F239" s="23">
        <v>43931</v>
      </c>
      <c r="G239" s="24">
        <f ca="1">DATEDIF(Employees!$F239,TODAY(),"Y")</f>
        <v>6</v>
      </c>
      <c r="H239" s="21" t="s">
        <v>59</v>
      </c>
      <c r="I239" s="21" t="s">
        <v>27</v>
      </c>
      <c r="J239" s="21" t="s">
        <v>60</v>
      </c>
      <c r="K239" s="25">
        <v>2976</v>
      </c>
      <c r="L239" s="25">
        <v>35712</v>
      </c>
      <c r="M239" s="21">
        <v>4.5</v>
      </c>
      <c r="N239" s="21">
        <v>0</v>
      </c>
      <c r="O239" s="21">
        <v>2</v>
      </c>
      <c r="P239" s="21">
        <v>6</v>
      </c>
      <c r="Q239" s="21" t="str">
        <f t="shared" ca="1" si="0"/>
        <v>Not Eligible</v>
      </c>
    </row>
    <row r="240" spans="1:17" ht="15.5" x14ac:dyDescent="0.35">
      <c r="A240" s="20">
        <v>239</v>
      </c>
      <c r="B240" s="21" t="s">
        <v>55</v>
      </c>
      <c r="C240" s="21" t="s">
        <v>419</v>
      </c>
      <c r="D240" s="22" t="str">
        <f>_xlfn.TEXTJOIN(" ",TRUE,Employees_Data[[#This Row],[First Name]],Employees_Data[[#This Row],[Last Name]])</f>
        <v>Ahmad Ezqul</v>
      </c>
      <c r="E240" s="21" t="s">
        <v>25</v>
      </c>
      <c r="F240" s="23">
        <v>43272</v>
      </c>
      <c r="G240" s="24">
        <f ca="1">DATEDIF(Employees!$F240,TODAY(),"Y")</f>
        <v>8</v>
      </c>
      <c r="H240" s="21" t="s">
        <v>52</v>
      </c>
      <c r="I240" s="21" t="s">
        <v>40</v>
      </c>
      <c r="J240" s="21" t="s">
        <v>54</v>
      </c>
      <c r="K240" s="25">
        <v>2080</v>
      </c>
      <c r="L240" s="25">
        <v>24960</v>
      </c>
      <c r="M240" s="21">
        <v>5</v>
      </c>
      <c r="N240" s="21">
        <v>0</v>
      </c>
      <c r="O240" s="21">
        <v>5</v>
      </c>
      <c r="P240" s="21">
        <v>13</v>
      </c>
      <c r="Q240" s="21" t="str">
        <f t="shared" ca="1" si="0"/>
        <v>Not Eligible</v>
      </c>
    </row>
    <row r="241" spans="1:17" ht="15.5" x14ac:dyDescent="0.35">
      <c r="A241" s="20">
        <v>240</v>
      </c>
      <c r="B241" s="21" t="s">
        <v>360</v>
      </c>
      <c r="C241" s="21" t="s">
        <v>420</v>
      </c>
      <c r="D241" s="22" t="str">
        <f>_xlfn.TEXTJOIN(" ",TRUE,Employees_Data[[#This Row],[First Name]],Employees_Data[[#This Row],[Last Name]])</f>
        <v>Salih Alhamuwd</v>
      </c>
      <c r="E241" s="21" t="s">
        <v>25</v>
      </c>
      <c r="F241" s="23">
        <v>43431</v>
      </c>
      <c r="G241" s="24">
        <f ca="1">DATEDIF(Employees!$F241,TODAY(),"Y")</f>
        <v>7</v>
      </c>
      <c r="H241" s="21" t="s">
        <v>81</v>
      </c>
      <c r="I241" s="21" t="s">
        <v>27</v>
      </c>
      <c r="J241" s="21" t="s">
        <v>54</v>
      </c>
      <c r="K241" s="25">
        <v>1668</v>
      </c>
      <c r="L241" s="25">
        <v>20016</v>
      </c>
      <c r="M241" s="21">
        <v>4.5</v>
      </c>
      <c r="N241" s="21">
        <v>0</v>
      </c>
      <c r="O241" s="21">
        <v>3</v>
      </c>
      <c r="P241" s="21">
        <v>3</v>
      </c>
      <c r="Q241" s="21" t="str">
        <f t="shared" ca="1" si="0"/>
        <v>Not Eligible</v>
      </c>
    </row>
    <row r="242" spans="1:17" ht="15.5" x14ac:dyDescent="0.35">
      <c r="A242" s="20">
        <v>241</v>
      </c>
      <c r="B242" s="21" t="s">
        <v>57</v>
      </c>
      <c r="C242" s="21" t="s">
        <v>421</v>
      </c>
      <c r="D242" s="22" t="str">
        <f>_xlfn.TEXTJOIN(" ",TRUE,Employees_Data[[#This Row],[First Name]],Employees_Data[[#This Row],[Last Name]])</f>
        <v>Muhamad Abu Zamil</v>
      </c>
      <c r="E242" s="21" t="s">
        <v>25</v>
      </c>
      <c r="F242" s="23">
        <v>42556</v>
      </c>
      <c r="G242" s="24">
        <f ca="1">DATEDIF(Employees!$F242,TODAY(),"Y")</f>
        <v>10</v>
      </c>
      <c r="H242" s="21" t="s">
        <v>81</v>
      </c>
      <c r="I242" s="21" t="s">
        <v>27</v>
      </c>
      <c r="J242" s="21" t="s">
        <v>54</v>
      </c>
      <c r="K242" s="25">
        <v>2234</v>
      </c>
      <c r="L242" s="25">
        <v>26808</v>
      </c>
      <c r="M242" s="21">
        <v>5</v>
      </c>
      <c r="N242" s="21">
        <v>3</v>
      </c>
      <c r="O242" s="21">
        <v>0</v>
      </c>
      <c r="P242" s="21">
        <v>7</v>
      </c>
      <c r="Q242" s="21" t="str">
        <f t="shared" ca="1" si="0"/>
        <v>Not Eligible</v>
      </c>
    </row>
    <row r="243" spans="1:17" ht="15.5" x14ac:dyDescent="0.35">
      <c r="A243" s="20">
        <v>242</v>
      </c>
      <c r="B243" s="21" t="s">
        <v>422</v>
      </c>
      <c r="C243" s="21" t="s">
        <v>423</v>
      </c>
      <c r="D243" s="22" t="str">
        <f>_xlfn.TEXTJOIN(" ",TRUE,Employees_Data[[#This Row],[First Name]],Employees_Data[[#This Row],[Last Name]])</f>
        <v>Fuad Alsyqly</v>
      </c>
      <c r="E243" s="21" t="s">
        <v>25</v>
      </c>
      <c r="F243" s="23">
        <v>43765</v>
      </c>
      <c r="G243" s="24">
        <f ca="1">DATEDIF(Employees!$F243,TODAY(),"Y")</f>
        <v>7</v>
      </c>
      <c r="H243" s="21" t="s">
        <v>65</v>
      </c>
      <c r="I243" s="21" t="s">
        <v>71</v>
      </c>
      <c r="J243" s="21" t="s">
        <v>83</v>
      </c>
      <c r="K243" s="25">
        <v>2096</v>
      </c>
      <c r="L243" s="25">
        <v>25152</v>
      </c>
      <c r="M243" s="21">
        <v>3</v>
      </c>
      <c r="N243" s="21">
        <v>5</v>
      </c>
      <c r="O243" s="21">
        <v>2</v>
      </c>
      <c r="P243" s="21">
        <v>0</v>
      </c>
      <c r="Q243" s="21" t="str">
        <f t="shared" ca="1" si="0"/>
        <v>Not Eligible</v>
      </c>
    </row>
    <row r="244" spans="1:17" ht="15.5" x14ac:dyDescent="0.35">
      <c r="A244" s="20">
        <v>243</v>
      </c>
      <c r="B244" s="21" t="s">
        <v>57</v>
      </c>
      <c r="C244" s="21" t="s">
        <v>424</v>
      </c>
      <c r="D244" s="22" t="str">
        <f>_xlfn.TEXTJOIN(" ",TRUE,Employees_Data[[#This Row],[First Name]],Employees_Data[[#This Row],[Last Name]])</f>
        <v>Muhamad Aldamshqi</v>
      </c>
      <c r="E244" s="21" t="s">
        <v>25</v>
      </c>
      <c r="F244" s="23">
        <v>43612</v>
      </c>
      <c r="G244" s="24">
        <f ca="1">DATEDIF(Employees!$F244,TODAY(),"Y")</f>
        <v>7</v>
      </c>
      <c r="H244" s="21" t="s">
        <v>52</v>
      </c>
      <c r="I244" s="21" t="s">
        <v>40</v>
      </c>
      <c r="J244" s="21" t="s">
        <v>54</v>
      </c>
      <c r="K244" s="25">
        <v>2129</v>
      </c>
      <c r="L244" s="25">
        <v>25548</v>
      </c>
      <c r="M244" s="21">
        <v>3</v>
      </c>
      <c r="N244" s="21">
        <v>1</v>
      </c>
      <c r="O244" s="21">
        <v>1</v>
      </c>
      <c r="P244" s="21">
        <v>3</v>
      </c>
      <c r="Q244" s="21" t="str">
        <f t="shared" ca="1" si="0"/>
        <v>Not Eligible</v>
      </c>
    </row>
    <row r="245" spans="1:17" ht="15.5" x14ac:dyDescent="0.35">
      <c r="A245" s="20">
        <v>244</v>
      </c>
      <c r="B245" s="21" t="s">
        <v>425</v>
      </c>
      <c r="C245" s="21" t="s">
        <v>426</v>
      </c>
      <c r="D245" s="22" t="str">
        <f>_xlfn.TEXTJOIN(" ",TRUE,Employees_Data[[#This Row],[First Name]],Employees_Data[[#This Row],[Last Name]])</f>
        <v>Sayf Aldiyn Alkmshh</v>
      </c>
      <c r="E245" s="21" t="s">
        <v>25</v>
      </c>
      <c r="F245" s="23">
        <v>43508</v>
      </c>
      <c r="G245" s="24">
        <f ca="1">DATEDIF(Employees!$F245,TODAY(),"Y")</f>
        <v>7</v>
      </c>
      <c r="H245" s="21" t="s">
        <v>52</v>
      </c>
      <c r="I245" s="21" t="s">
        <v>40</v>
      </c>
      <c r="J245" s="21" t="s">
        <v>54</v>
      </c>
      <c r="K245" s="25">
        <v>1429</v>
      </c>
      <c r="L245" s="25">
        <v>17148</v>
      </c>
      <c r="M245" s="21">
        <v>3</v>
      </c>
      <c r="N245" s="21">
        <v>0</v>
      </c>
      <c r="O245" s="21">
        <v>5</v>
      </c>
      <c r="P245" s="21">
        <v>8</v>
      </c>
      <c r="Q245" s="21" t="str">
        <f t="shared" ca="1" si="0"/>
        <v>Not Eligible</v>
      </c>
    </row>
    <row r="246" spans="1:17" ht="15.5" x14ac:dyDescent="0.35">
      <c r="A246" s="20">
        <v>245</v>
      </c>
      <c r="B246" s="21" t="s">
        <v>57</v>
      </c>
      <c r="C246" s="21" t="s">
        <v>427</v>
      </c>
      <c r="D246" s="22" t="str">
        <f>_xlfn.TEXTJOIN(" ",TRUE,Employees_Data[[#This Row],[First Name]],Employees_Data[[#This Row],[Last Name]])</f>
        <v>Muhamad Alssati</v>
      </c>
      <c r="E246" s="21" t="s">
        <v>25</v>
      </c>
      <c r="F246" s="23">
        <v>44126</v>
      </c>
      <c r="G246" s="24">
        <f ca="1">DATEDIF(Employees!$F246,TODAY(),"Y")</f>
        <v>6</v>
      </c>
      <c r="H246" s="21" t="s">
        <v>52</v>
      </c>
      <c r="I246" s="21" t="s">
        <v>53</v>
      </c>
      <c r="J246" s="21" t="s">
        <v>60</v>
      </c>
      <c r="K246" s="25">
        <v>1479</v>
      </c>
      <c r="L246" s="25">
        <v>17748</v>
      </c>
      <c r="M246" s="21">
        <v>3</v>
      </c>
      <c r="N246" s="21">
        <v>5</v>
      </c>
      <c r="O246" s="21">
        <v>4</v>
      </c>
      <c r="P246" s="21">
        <v>8</v>
      </c>
      <c r="Q246" s="21" t="str">
        <f t="shared" ca="1" si="0"/>
        <v>Not Eligible</v>
      </c>
    </row>
    <row r="247" spans="1:17" ht="15.5" x14ac:dyDescent="0.35">
      <c r="A247" s="20">
        <v>246</v>
      </c>
      <c r="B247" s="21" t="s">
        <v>186</v>
      </c>
      <c r="C247" s="21" t="s">
        <v>428</v>
      </c>
      <c r="D247" s="22" t="str">
        <f>_xlfn.TEXTJOIN(" ",TRUE,Employees_Data[[#This Row],[First Name]],Employees_Data[[#This Row],[Last Name]])</f>
        <v>Khalid Alem</v>
      </c>
      <c r="E247" s="21" t="s">
        <v>25</v>
      </c>
      <c r="F247" s="23">
        <v>44181</v>
      </c>
      <c r="G247" s="24">
        <f ca="1">DATEDIF(Employees!$F247,TODAY(),"Y")</f>
        <v>5</v>
      </c>
      <c r="H247" s="21" t="s">
        <v>26</v>
      </c>
      <c r="I247" s="21" t="s">
        <v>53</v>
      </c>
      <c r="J247" s="21" t="s">
        <v>60</v>
      </c>
      <c r="K247" s="25">
        <v>2884</v>
      </c>
      <c r="L247" s="25">
        <v>34608</v>
      </c>
      <c r="M247" s="21">
        <v>5</v>
      </c>
      <c r="N247" s="21">
        <v>1</v>
      </c>
      <c r="O247" s="21">
        <v>6</v>
      </c>
      <c r="P247" s="21">
        <v>3</v>
      </c>
      <c r="Q247" s="21" t="str">
        <f t="shared" ca="1" si="0"/>
        <v>Not Eligible</v>
      </c>
    </row>
    <row r="248" spans="1:17" ht="15.5" x14ac:dyDescent="0.35">
      <c r="A248" s="20">
        <v>247</v>
      </c>
      <c r="B248" s="21" t="s">
        <v>89</v>
      </c>
      <c r="C248" s="21" t="s">
        <v>429</v>
      </c>
      <c r="D248" s="22" t="str">
        <f>_xlfn.TEXTJOIN(" ",TRUE,Employees_Data[[#This Row],[First Name]],Employees_Data[[#This Row],[Last Name]])</f>
        <v>Ayham Aleisaa</v>
      </c>
      <c r="E248" s="21" t="s">
        <v>25</v>
      </c>
      <c r="F248" s="23">
        <v>44167</v>
      </c>
      <c r="G248" s="24">
        <f ca="1">DATEDIF(Employees!$F248,TODAY(),"Y")</f>
        <v>5</v>
      </c>
      <c r="H248" s="21" t="s">
        <v>98</v>
      </c>
      <c r="I248" s="21" t="s">
        <v>71</v>
      </c>
      <c r="J248" s="21" t="s">
        <v>54</v>
      </c>
      <c r="K248" s="25">
        <v>2947</v>
      </c>
      <c r="L248" s="25">
        <v>35364</v>
      </c>
      <c r="M248" s="21">
        <v>3</v>
      </c>
      <c r="N248" s="21">
        <v>5</v>
      </c>
      <c r="O248" s="21">
        <v>0</v>
      </c>
      <c r="P248" s="21">
        <v>1</v>
      </c>
      <c r="Q248" s="21" t="str">
        <f t="shared" ca="1" si="0"/>
        <v>Not Eligible</v>
      </c>
    </row>
    <row r="249" spans="1:17" ht="15.5" x14ac:dyDescent="0.35">
      <c r="A249" s="20">
        <v>248</v>
      </c>
      <c r="B249" s="21" t="s">
        <v>284</v>
      </c>
      <c r="C249" s="21" t="s">
        <v>430</v>
      </c>
      <c r="D249" s="22" t="str">
        <f>_xlfn.TEXTJOIN(" ",TRUE,Employees_Data[[#This Row],[First Name]],Employees_Data[[#This Row],[Last Name]])</f>
        <v>Abd Alruhmin Dulul</v>
      </c>
      <c r="E249" s="21" t="s">
        <v>25</v>
      </c>
      <c r="F249" s="23">
        <v>43275</v>
      </c>
      <c r="G249" s="24">
        <f ca="1">DATEDIF(Employees!$F249,TODAY(),"Y")</f>
        <v>8</v>
      </c>
      <c r="H249" s="21" t="s">
        <v>26</v>
      </c>
      <c r="I249" s="21" t="s">
        <v>27</v>
      </c>
      <c r="J249" s="21" t="s">
        <v>60</v>
      </c>
      <c r="K249" s="25">
        <v>1795</v>
      </c>
      <c r="L249" s="25">
        <v>21540</v>
      </c>
      <c r="M249" s="21">
        <v>1</v>
      </c>
      <c r="N249" s="21">
        <v>0</v>
      </c>
      <c r="O249" s="21">
        <v>0</v>
      </c>
      <c r="P249" s="21">
        <v>4</v>
      </c>
      <c r="Q249" s="21" t="str">
        <f t="shared" ca="1" si="0"/>
        <v>Not Eligible</v>
      </c>
    </row>
    <row r="250" spans="1:17" ht="15.5" x14ac:dyDescent="0.35">
      <c r="A250" s="20">
        <v>249</v>
      </c>
      <c r="B250" s="21" t="s">
        <v>431</v>
      </c>
      <c r="C250" s="21" t="s">
        <v>219</v>
      </c>
      <c r="D250" s="22" t="str">
        <f>_xlfn.TEXTJOIN(" ",TRUE,Employees_Data[[#This Row],[First Name]],Employees_Data[[#This Row],[Last Name]])</f>
        <v>Ruba Aleid</v>
      </c>
      <c r="E250" s="21" t="s">
        <v>44</v>
      </c>
      <c r="F250" s="23">
        <v>43137</v>
      </c>
      <c r="G250" s="24">
        <f ca="1">DATEDIF(Employees!$F250,TODAY(),"Y")</f>
        <v>8</v>
      </c>
      <c r="H250" s="21" t="s">
        <v>65</v>
      </c>
      <c r="I250" s="21" t="s">
        <v>27</v>
      </c>
      <c r="J250" s="21" t="s">
        <v>29</v>
      </c>
      <c r="K250" s="25">
        <v>1982</v>
      </c>
      <c r="L250" s="25">
        <v>23784</v>
      </c>
      <c r="M250" s="21">
        <v>5</v>
      </c>
      <c r="N250" s="21">
        <v>1</v>
      </c>
      <c r="O250" s="21">
        <v>0</v>
      </c>
      <c r="P250" s="21">
        <v>7</v>
      </c>
      <c r="Q250" s="21" t="str">
        <f t="shared" ca="1" si="0"/>
        <v>Not Eligible</v>
      </c>
    </row>
    <row r="251" spans="1:17" ht="15.5" x14ac:dyDescent="0.35">
      <c r="A251" s="20">
        <v>250</v>
      </c>
      <c r="B251" s="21" t="s">
        <v>57</v>
      </c>
      <c r="C251" s="21" t="s">
        <v>432</v>
      </c>
      <c r="D251" s="22" t="str">
        <f>_xlfn.TEXTJOIN(" ",TRUE,Employees_Data[[#This Row],[First Name]],Employees_Data[[#This Row],[Last Name]])</f>
        <v>Muhamad Badawiin</v>
      </c>
      <c r="E251" s="21" t="s">
        <v>25</v>
      </c>
      <c r="F251" s="23">
        <v>44162</v>
      </c>
      <c r="G251" s="24">
        <f ca="1">DATEDIF(Employees!$F251,TODAY(),"Y")</f>
        <v>5</v>
      </c>
      <c r="H251" s="21" t="s">
        <v>65</v>
      </c>
      <c r="I251" s="21" t="s">
        <v>27</v>
      </c>
      <c r="J251" s="21" t="s">
        <v>83</v>
      </c>
      <c r="K251" s="25">
        <v>2543</v>
      </c>
      <c r="L251" s="25">
        <v>30516</v>
      </c>
      <c r="M251" s="21">
        <v>5</v>
      </c>
      <c r="N251" s="21">
        <v>0</v>
      </c>
      <c r="O251" s="21">
        <v>0</v>
      </c>
      <c r="P251" s="21">
        <v>86</v>
      </c>
      <c r="Q251" s="21" t="str">
        <f t="shared" ca="1" si="0"/>
        <v>Eligible</v>
      </c>
    </row>
    <row r="252" spans="1:17" ht="15.5" x14ac:dyDescent="0.35">
      <c r="A252" s="20">
        <v>251</v>
      </c>
      <c r="B252" s="21" t="s">
        <v>433</v>
      </c>
      <c r="C252" s="21" t="s">
        <v>434</v>
      </c>
      <c r="D252" s="22" t="str">
        <f>_xlfn.TEXTJOIN(" ",TRUE,Employees_Data[[#This Row],[First Name]],Employees_Data[[#This Row],[Last Name]])</f>
        <v>Sharihan Rihan</v>
      </c>
      <c r="E252" s="21" t="s">
        <v>44</v>
      </c>
      <c r="F252" s="23">
        <v>43869</v>
      </c>
      <c r="G252" s="24">
        <f ca="1">DATEDIF(Employees!$F252,TODAY(),"Y")</f>
        <v>6</v>
      </c>
      <c r="H252" s="21" t="s">
        <v>52</v>
      </c>
      <c r="I252" s="21" t="s">
        <v>27</v>
      </c>
      <c r="J252" s="21" t="s">
        <v>54</v>
      </c>
      <c r="K252" s="25">
        <v>2787</v>
      </c>
      <c r="L252" s="25">
        <v>33444</v>
      </c>
      <c r="M252" s="21">
        <v>3</v>
      </c>
      <c r="N252" s="21">
        <v>3</v>
      </c>
      <c r="O252" s="21">
        <v>0</v>
      </c>
      <c r="P252" s="21">
        <v>12</v>
      </c>
      <c r="Q252" s="21" t="str">
        <f t="shared" ca="1" si="0"/>
        <v>Not Eligible</v>
      </c>
    </row>
    <row r="253" spans="1:17" ht="15.5" x14ac:dyDescent="0.35">
      <c r="A253" s="20">
        <v>252</v>
      </c>
      <c r="B253" s="21" t="s">
        <v>168</v>
      </c>
      <c r="C253" s="21" t="s">
        <v>435</v>
      </c>
      <c r="D253" s="22" t="str">
        <f>_xlfn.TEXTJOIN(" ",TRUE,Employees_Data[[#This Row],[First Name]],Employees_Data[[#This Row],[Last Name]])</f>
        <v>Ibrahim Alyasin</v>
      </c>
      <c r="E253" s="21" t="s">
        <v>25</v>
      </c>
      <c r="F253" s="23">
        <v>43865</v>
      </c>
      <c r="G253" s="24">
        <f ca="1">DATEDIF(Employees!$F253,TODAY(),"Y")</f>
        <v>6</v>
      </c>
      <c r="H253" s="21" t="s">
        <v>99</v>
      </c>
      <c r="I253" s="21" t="s">
        <v>27</v>
      </c>
      <c r="J253" s="21" t="s">
        <v>60</v>
      </c>
      <c r="K253" s="25">
        <v>1095</v>
      </c>
      <c r="L253" s="25">
        <v>13140</v>
      </c>
      <c r="M253" s="21">
        <v>5</v>
      </c>
      <c r="N253" s="21">
        <v>6</v>
      </c>
      <c r="O253" s="21">
        <v>0</v>
      </c>
      <c r="P253" s="21">
        <v>5</v>
      </c>
      <c r="Q253" s="21" t="str">
        <f t="shared" ca="1" si="0"/>
        <v>Not Eligible</v>
      </c>
    </row>
    <row r="254" spans="1:17" ht="15.5" x14ac:dyDescent="0.35">
      <c r="A254" s="20">
        <v>253</v>
      </c>
      <c r="B254" s="21" t="s">
        <v>61</v>
      </c>
      <c r="C254" s="21" t="s">
        <v>436</v>
      </c>
      <c r="D254" s="22" t="str">
        <f>_xlfn.TEXTJOIN(" ",TRUE,Employees_Data[[#This Row],[First Name]],Employees_Data[[#This Row],[Last Name]])</f>
        <v>Iin Mulaliyun</v>
      </c>
      <c r="E254" s="21" t="s">
        <v>44</v>
      </c>
      <c r="F254" s="23">
        <v>43936</v>
      </c>
      <c r="G254" s="24">
        <f ca="1">DATEDIF(Employees!$F254,TODAY(),"Y")</f>
        <v>6</v>
      </c>
      <c r="H254" s="21" t="s">
        <v>52</v>
      </c>
      <c r="I254" s="21" t="s">
        <v>40</v>
      </c>
      <c r="J254" s="21" t="s">
        <v>54</v>
      </c>
      <c r="K254" s="25">
        <v>2009</v>
      </c>
      <c r="L254" s="25">
        <v>24108</v>
      </c>
      <c r="M254" s="21">
        <v>5</v>
      </c>
      <c r="N254" s="21">
        <v>0</v>
      </c>
      <c r="O254" s="21">
        <v>0</v>
      </c>
      <c r="P254" s="21">
        <v>0</v>
      </c>
      <c r="Q254" s="21" t="str">
        <f t="shared" ca="1" si="0"/>
        <v>Not Eligible</v>
      </c>
    </row>
    <row r="255" spans="1:17" ht="15.5" x14ac:dyDescent="0.35">
      <c r="A255" s="20">
        <v>254</v>
      </c>
      <c r="B255" s="21" t="s">
        <v>437</v>
      </c>
      <c r="C255" s="21" t="s">
        <v>438</v>
      </c>
      <c r="D255" s="22" t="str">
        <f>_xlfn.TEXTJOIN(" ",TRUE,Employees_Data[[#This Row],[First Name]],Employees_Data[[#This Row],[Last Name]])</f>
        <v>Danah Almahdi</v>
      </c>
      <c r="E255" s="21" t="s">
        <v>44</v>
      </c>
      <c r="F255" s="23">
        <v>42557</v>
      </c>
      <c r="G255" s="24">
        <f ca="1">DATEDIF(Employees!$F255,TODAY(),"Y")</f>
        <v>10</v>
      </c>
      <c r="H255" s="21" t="s">
        <v>115</v>
      </c>
      <c r="I255" s="21" t="s">
        <v>27</v>
      </c>
      <c r="J255" s="21" t="s">
        <v>60</v>
      </c>
      <c r="K255" s="25">
        <v>1837</v>
      </c>
      <c r="L255" s="25">
        <v>22044</v>
      </c>
      <c r="M255" s="21">
        <v>3</v>
      </c>
      <c r="N255" s="21">
        <v>1</v>
      </c>
      <c r="O255" s="21">
        <v>0</v>
      </c>
      <c r="P255" s="21">
        <v>2</v>
      </c>
      <c r="Q255" s="21" t="str">
        <f t="shared" ca="1" si="0"/>
        <v>Not Eligible</v>
      </c>
    </row>
    <row r="256" spans="1:17" ht="15.5" x14ac:dyDescent="0.35">
      <c r="A256" s="20">
        <v>255</v>
      </c>
      <c r="B256" s="21" t="s">
        <v>57</v>
      </c>
      <c r="C256" s="21" t="s">
        <v>439</v>
      </c>
      <c r="D256" s="22" t="str">
        <f>_xlfn.TEXTJOIN(" ",TRUE,Employees_Data[[#This Row],[First Name]],Employees_Data[[#This Row],[Last Name]])</f>
        <v>Muhamad Sakar</v>
      </c>
      <c r="E256" s="21" t="s">
        <v>25</v>
      </c>
      <c r="F256" s="23">
        <v>43729</v>
      </c>
      <c r="G256" s="24">
        <f ca="1">DATEDIF(Employees!$F256,TODAY(),"Y")</f>
        <v>7</v>
      </c>
      <c r="H256" s="21" t="s">
        <v>98</v>
      </c>
      <c r="I256" s="21" t="s">
        <v>40</v>
      </c>
      <c r="J256" s="21" t="s">
        <v>54</v>
      </c>
      <c r="K256" s="25">
        <v>3109</v>
      </c>
      <c r="L256" s="25">
        <v>37308</v>
      </c>
      <c r="M256" s="21">
        <v>3</v>
      </c>
      <c r="N256" s="21">
        <v>1</v>
      </c>
      <c r="O256" s="21">
        <v>0</v>
      </c>
      <c r="P256" s="21">
        <v>9</v>
      </c>
      <c r="Q256" s="21" t="str">
        <f t="shared" ca="1" si="0"/>
        <v>Not Eligible</v>
      </c>
    </row>
    <row r="257" spans="1:17" ht="15.5" x14ac:dyDescent="0.35">
      <c r="A257" s="20">
        <v>256</v>
      </c>
      <c r="B257" s="21" t="s">
        <v>394</v>
      </c>
      <c r="C257" s="21" t="s">
        <v>322</v>
      </c>
      <c r="D257" s="22" t="str">
        <f>_xlfn.TEXTJOIN(" ",TRUE,Employees_Data[[#This Row],[First Name]],Employees_Data[[#This Row],[Last Name]])</f>
        <v>Lama Yasin</v>
      </c>
      <c r="E257" s="21" t="s">
        <v>44</v>
      </c>
      <c r="F257" s="23">
        <v>43982</v>
      </c>
      <c r="G257" s="24">
        <f ca="1">DATEDIF(Employees!$F257,TODAY(),"Y")</f>
        <v>6</v>
      </c>
      <c r="H257" s="21" t="s">
        <v>52</v>
      </c>
      <c r="I257" s="21" t="s">
        <v>27</v>
      </c>
      <c r="J257" s="21" t="s">
        <v>54</v>
      </c>
      <c r="K257" s="25">
        <v>2832</v>
      </c>
      <c r="L257" s="25">
        <v>33984</v>
      </c>
      <c r="M257" s="21">
        <v>5</v>
      </c>
      <c r="N257" s="21">
        <v>1</v>
      </c>
      <c r="O257" s="21">
        <v>0</v>
      </c>
      <c r="P257" s="21">
        <v>5</v>
      </c>
      <c r="Q257" s="21" t="str">
        <f t="shared" ref="Q257:Q511" ca="1" si="1">IF(AND(G257&gt;=5,M257&gt;=3,OR(P257&gt;50,K257&gt;7000)),"Eligible","Not Eligible")</f>
        <v>Not Eligible</v>
      </c>
    </row>
    <row r="258" spans="1:17" ht="15.5" x14ac:dyDescent="0.35">
      <c r="A258" s="20">
        <v>257</v>
      </c>
      <c r="B258" s="21" t="s">
        <v>440</v>
      </c>
      <c r="C258" s="21" t="s">
        <v>441</v>
      </c>
      <c r="D258" s="22" t="str">
        <f>_xlfn.TEXTJOIN(" ",TRUE,Employees_Data[[#This Row],[First Name]],Employees_Data[[#This Row],[Last Name]])</f>
        <v>Asf Abultif</v>
      </c>
      <c r="E258" s="21" t="s">
        <v>25</v>
      </c>
      <c r="F258" s="23">
        <v>43466</v>
      </c>
      <c r="G258" s="24">
        <f ca="1">DATEDIF(Employees!$F258,TODAY(),"Y")</f>
        <v>7</v>
      </c>
      <c r="H258" s="21" t="s">
        <v>52</v>
      </c>
      <c r="I258" s="21" t="s">
        <v>27</v>
      </c>
      <c r="J258" s="21" t="s">
        <v>54</v>
      </c>
      <c r="K258" s="25">
        <v>2940</v>
      </c>
      <c r="L258" s="25">
        <v>35280</v>
      </c>
      <c r="M258" s="21">
        <v>1</v>
      </c>
      <c r="N258" s="21">
        <v>6</v>
      </c>
      <c r="O258" s="21">
        <v>4</v>
      </c>
      <c r="P258" s="21">
        <v>7</v>
      </c>
      <c r="Q258" s="21" t="str">
        <f t="shared" ca="1" si="1"/>
        <v>Not Eligible</v>
      </c>
    </row>
    <row r="259" spans="1:17" ht="15.5" x14ac:dyDescent="0.35">
      <c r="A259" s="20">
        <v>258</v>
      </c>
      <c r="B259" s="21" t="s">
        <v>55</v>
      </c>
      <c r="C259" s="21" t="s">
        <v>442</v>
      </c>
      <c r="D259" s="22" t="str">
        <f>_xlfn.TEXTJOIN(" ",TRUE,Employees_Data[[#This Row],[First Name]],Employees_Data[[#This Row],[Last Name]])</f>
        <v>Ahmad Alshalaq</v>
      </c>
      <c r="E259" s="21" t="s">
        <v>25</v>
      </c>
      <c r="F259" s="23">
        <v>43560</v>
      </c>
      <c r="G259" s="24">
        <f ca="1">DATEDIF(Employees!$F259,TODAY(),"Y")</f>
        <v>7</v>
      </c>
      <c r="H259" s="21" t="s">
        <v>59</v>
      </c>
      <c r="I259" s="21" t="s">
        <v>71</v>
      </c>
      <c r="J259" s="21" t="s">
        <v>60</v>
      </c>
      <c r="K259" s="25">
        <v>983</v>
      </c>
      <c r="L259" s="25">
        <v>11796</v>
      </c>
      <c r="M259" s="21">
        <v>5</v>
      </c>
      <c r="N259" s="21">
        <v>0</v>
      </c>
      <c r="O259" s="21">
        <v>0</v>
      </c>
      <c r="P259" s="21">
        <v>13</v>
      </c>
      <c r="Q259" s="21" t="str">
        <f t="shared" ca="1" si="1"/>
        <v>Not Eligible</v>
      </c>
    </row>
    <row r="260" spans="1:17" ht="15.5" x14ac:dyDescent="0.35">
      <c r="A260" s="20">
        <v>259</v>
      </c>
      <c r="B260" s="21" t="s">
        <v>191</v>
      </c>
      <c r="C260" s="21" t="s">
        <v>443</v>
      </c>
      <c r="D260" s="22" t="str">
        <f>_xlfn.TEXTJOIN(" ",TRUE,Employees_Data[[#This Row],[First Name]],Employees_Data[[#This Row],[Last Name]])</f>
        <v>Mazin Zawal</v>
      </c>
      <c r="E260" s="21" t="s">
        <v>25</v>
      </c>
      <c r="F260" s="23">
        <v>43941</v>
      </c>
      <c r="G260" s="24">
        <f ca="1">DATEDIF(Employees!$F260,TODAY(),"Y")</f>
        <v>6</v>
      </c>
      <c r="H260" s="21" t="s">
        <v>73</v>
      </c>
      <c r="I260" s="21" t="s">
        <v>27</v>
      </c>
      <c r="J260" s="21" t="s">
        <v>60</v>
      </c>
      <c r="K260" s="25">
        <v>1223</v>
      </c>
      <c r="L260" s="25">
        <v>14676</v>
      </c>
      <c r="M260" s="21">
        <v>1</v>
      </c>
      <c r="N260" s="21">
        <v>6</v>
      </c>
      <c r="O260" s="21">
        <v>0</v>
      </c>
      <c r="P260" s="21">
        <v>10</v>
      </c>
      <c r="Q260" s="21" t="str">
        <f t="shared" ca="1" si="1"/>
        <v>Not Eligible</v>
      </c>
    </row>
    <row r="261" spans="1:17" ht="15.5" x14ac:dyDescent="0.35">
      <c r="A261" s="20">
        <v>260</v>
      </c>
      <c r="B261" s="21" t="s">
        <v>444</v>
      </c>
      <c r="C261" s="21" t="s">
        <v>445</v>
      </c>
      <c r="D261" s="22" t="str">
        <f>_xlfn.TEXTJOIN(" ",TRUE,Employees_Data[[#This Row],[First Name]],Employees_Data[[#This Row],[Last Name]])</f>
        <v>Diana Aleabd</v>
      </c>
      <c r="E261" s="21" t="s">
        <v>44</v>
      </c>
      <c r="F261" s="23">
        <v>44025</v>
      </c>
      <c r="G261" s="24">
        <f ca="1">DATEDIF(Employees!$F261,TODAY(),"Y")</f>
        <v>6</v>
      </c>
      <c r="H261" s="21" t="s">
        <v>166</v>
      </c>
      <c r="I261" s="21" t="s">
        <v>27</v>
      </c>
      <c r="J261" s="21" t="s">
        <v>60</v>
      </c>
      <c r="K261" s="25">
        <v>833</v>
      </c>
      <c r="L261" s="25">
        <v>9996</v>
      </c>
      <c r="M261" s="21">
        <v>1</v>
      </c>
      <c r="N261" s="21">
        <v>1</v>
      </c>
      <c r="O261" s="21">
        <v>0</v>
      </c>
      <c r="P261" s="21">
        <v>5</v>
      </c>
      <c r="Q261" s="21" t="str">
        <f t="shared" ca="1" si="1"/>
        <v>Not Eligible</v>
      </c>
    </row>
    <row r="262" spans="1:17" ht="15.5" x14ac:dyDescent="0.35">
      <c r="A262" s="20">
        <v>261</v>
      </c>
      <c r="B262" s="21" t="s">
        <v>446</v>
      </c>
      <c r="C262" s="21" t="s">
        <v>447</v>
      </c>
      <c r="D262" s="22" t="str">
        <f>_xlfn.TEXTJOIN(" ",TRUE,Employees_Data[[#This Row],[First Name]],Employees_Data[[#This Row],[Last Name]])</f>
        <v>Kawkab Qarqazan</v>
      </c>
      <c r="E262" s="21" t="s">
        <v>44</v>
      </c>
      <c r="F262" s="23">
        <v>43230</v>
      </c>
      <c r="G262" s="24">
        <f ca="1">DATEDIF(Employees!$F262,TODAY(),"Y")</f>
        <v>8</v>
      </c>
      <c r="H262" s="21" t="s">
        <v>26</v>
      </c>
      <c r="I262" s="21" t="s">
        <v>27</v>
      </c>
      <c r="J262" s="21" t="s">
        <v>29</v>
      </c>
      <c r="K262" s="25">
        <v>2074</v>
      </c>
      <c r="L262" s="25">
        <v>24888</v>
      </c>
      <c r="M262" s="21">
        <v>3</v>
      </c>
      <c r="N262" s="21">
        <v>1</v>
      </c>
      <c r="O262" s="21">
        <v>0</v>
      </c>
      <c r="P262" s="21">
        <v>2</v>
      </c>
      <c r="Q262" s="21" t="str">
        <f t="shared" ca="1" si="1"/>
        <v>Not Eligible</v>
      </c>
    </row>
    <row r="263" spans="1:17" ht="15.5" x14ac:dyDescent="0.35">
      <c r="A263" s="20">
        <v>262</v>
      </c>
      <c r="B263" s="21" t="s">
        <v>448</v>
      </c>
      <c r="C263" s="21" t="s">
        <v>449</v>
      </c>
      <c r="D263" s="22" t="str">
        <f>_xlfn.TEXTJOIN(" ",TRUE,Employees_Data[[#This Row],[First Name]],Employees_Data[[#This Row],[Last Name]])</f>
        <v>Thamir Abu Ghazy</v>
      </c>
      <c r="E263" s="21" t="s">
        <v>25</v>
      </c>
      <c r="F263" s="23">
        <v>43171</v>
      </c>
      <c r="G263" s="24">
        <f ca="1">DATEDIF(Employees!$F263,TODAY(),"Y")</f>
        <v>8</v>
      </c>
      <c r="H263" s="21" t="s">
        <v>26</v>
      </c>
      <c r="I263" s="21" t="s">
        <v>53</v>
      </c>
      <c r="J263" s="21" t="s">
        <v>83</v>
      </c>
      <c r="K263" s="25">
        <v>2811</v>
      </c>
      <c r="L263" s="25">
        <v>33732</v>
      </c>
      <c r="M263" s="21">
        <v>3</v>
      </c>
      <c r="N263" s="21">
        <v>0</v>
      </c>
      <c r="O263" s="21">
        <v>1</v>
      </c>
      <c r="P263" s="21">
        <v>9</v>
      </c>
      <c r="Q263" s="21" t="str">
        <f t="shared" ca="1" si="1"/>
        <v>Not Eligible</v>
      </c>
    </row>
    <row r="264" spans="1:17" ht="15.5" x14ac:dyDescent="0.35">
      <c r="A264" s="20">
        <v>263</v>
      </c>
      <c r="B264" s="21" t="s">
        <v>57</v>
      </c>
      <c r="C264" s="21" t="s">
        <v>450</v>
      </c>
      <c r="D264" s="22" t="str">
        <f>_xlfn.TEXTJOIN(" ",TRUE,Employees_Data[[#This Row],[First Name]],Employees_Data[[#This Row],[Last Name]])</f>
        <v>Muhamad Alabth</v>
      </c>
      <c r="E264" s="21" t="s">
        <v>25</v>
      </c>
      <c r="F264" s="23">
        <v>43731</v>
      </c>
      <c r="G264" s="24">
        <f ca="1">DATEDIF(Employees!$F264,TODAY(),"Y")</f>
        <v>7</v>
      </c>
      <c r="H264" s="21" t="s">
        <v>26</v>
      </c>
      <c r="I264" s="21" t="s">
        <v>40</v>
      </c>
      <c r="J264" s="21" t="s">
        <v>60</v>
      </c>
      <c r="K264" s="25">
        <v>1436</v>
      </c>
      <c r="L264" s="25">
        <v>17232</v>
      </c>
      <c r="M264" s="21">
        <v>4.5</v>
      </c>
      <c r="N264" s="21">
        <v>3</v>
      </c>
      <c r="O264" s="21">
        <v>4</v>
      </c>
      <c r="P264" s="21">
        <v>4</v>
      </c>
      <c r="Q264" s="21" t="str">
        <f t="shared" ca="1" si="1"/>
        <v>Not Eligible</v>
      </c>
    </row>
    <row r="265" spans="1:17" ht="15.5" x14ac:dyDescent="0.35">
      <c r="A265" s="20">
        <v>264</v>
      </c>
      <c r="B265" s="21" t="s">
        <v>451</v>
      </c>
      <c r="C265" s="21" t="s">
        <v>452</v>
      </c>
      <c r="D265" s="22" t="str">
        <f>_xlfn.TEXTJOIN(" ",TRUE,Employees_Data[[#This Row],[First Name]],Employees_Data[[#This Row],[Last Name]])</f>
        <v>Khadijah Abu Taqih</v>
      </c>
      <c r="E265" s="21" t="s">
        <v>44</v>
      </c>
      <c r="F265" s="23">
        <v>43647</v>
      </c>
      <c r="G265" s="24">
        <f ca="1">DATEDIF(Employees!$F265,TODAY(),"Y")</f>
        <v>7</v>
      </c>
      <c r="H265" s="21" t="s">
        <v>52</v>
      </c>
      <c r="I265" s="21" t="s">
        <v>27</v>
      </c>
      <c r="J265" s="21" t="s">
        <v>60</v>
      </c>
      <c r="K265" s="25">
        <v>1041</v>
      </c>
      <c r="L265" s="25">
        <v>12492</v>
      </c>
      <c r="M265" s="21">
        <v>2</v>
      </c>
      <c r="N265" s="21">
        <v>2</v>
      </c>
      <c r="O265" s="21">
        <v>0</v>
      </c>
      <c r="P265" s="21">
        <v>5</v>
      </c>
      <c r="Q265" s="21" t="str">
        <f t="shared" ca="1" si="1"/>
        <v>Not Eligible</v>
      </c>
    </row>
    <row r="266" spans="1:17" ht="15.5" x14ac:dyDescent="0.35">
      <c r="A266" s="20">
        <v>265</v>
      </c>
      <c r="B266" s="21" t="s">
        <v>453</v>
      </c>
      <c r="C266" s="21" t="s">
        <v>454</v>
      </c>
      <c r="D266" s="22" t="str">
        <f>_xlfn.TEXTJOIN(" ",TRUE,Employees_Data[[#This Row],[First Name]],Employees_Data[[#This Row],[Last Name]])</f>
        <v>Salwaa Alsyd</v>
      </c>
      <c r="E266" s="21" t="s">
        <v>44</v>
      </c>
      <c r="F266" s="23">
        <v>43266</v>
      </c>
      <c r="G266" s="24">
        <f ca="1">DATEDIF(Employees!$F266,TODAY(),"Y")</f>
        <v>8</v>
      </c>
      <c r="H266" s="21" t="s">
        <v>26</v>
      </c>
      <c r="I266" s="21" t="s">
        <v>27</v>
      </c>
      <c r="J266" s="21" t="s">
        <v>54</v>
      </c>
      <c r="K266" s="25">
        <v>2231</v>
      </c>
      <c r="L266" s="25">
        <v>26772</v>
      </c>
      <c r="M266" s="21">
        <v>3</v>
      </c>
      <c r="N266" s="21">
        <v>0</v>
      </c>
      <c r="O266" s="21">
        <v>0</v>
      </c>
      <c r="P266" s="21">
        <v>87</v>
      </c>
      <c r="Q266" s="21" t="str">
        <f t="shared" ca="1" si="1"/>
        <v>Eligible</v>
      </c>
    </row>
    <row r="267" spans="1:17" ht="15.5" x14ac:dyDescent="0.35">
      <c r="A267" s="20">
        <v>266</v>
      </c>
      <c r="B267" s="21" t="s">
        <v>455</v>
      </c>
      <c r="C267" s="21" t="s">
        <v>456</v>
      </c>
      <c r="D267" s="22" t="str">
        <f>_xlfn.TEXTJOIN(" ",TRUE,Employees_Data[[#This Row],[First Name]],Employees_Data[[#This Row],[Last Name]])</f>
        <v>Muayid Shbyb</v>
      </c>
      <c r="E267" s="21" t="s">
        <v>25</v>
      </c>
      <c r="F267" s="23">
        <v>43512</v>
      </c>
      <c r="G267" s="24">
        <f ca="1">DATEDIF(Employees!$F267,TODAY(),"Y")</f>
        <v>7</v>
      </c>
      <c r="H267" s="21" t="s">
        <v>81</v>
      </c>
      <c r="I267" s="21" t="s">
        <v>53</v>
      </c>
      <c r="J267" s="21" t="s">
        <v>29</v>
      </c>
      <c r="K267" s="25">
        <v>1036</v>
      </c>
      <c r="L267" s="25">
        <v>12432</v>
      </c>
      <c r="M267" s="21">
        <v>3</v>
      </c>
      <c r="N267" s="21">
        <v>0</v>
      </c>
      <c r="O267" s="21">
        <v>0</v>
      </c>
      <c r="P267" s="21">
        <v>1</v>
      </c>
      <c r="Q267" s="21" t="str">
        <f t="shared" ca="1" si="1"/>
        <v>Not Eligible</v>
      </c>
    </row>
    <row r="268" spans="1:17" ht="15.5" x14ac:dyDescent="0.35">
      <c r="A268" s="20">
        <v>267</v>
      </c>
      <c r="B268" s="21" t="s">
        <v>457</v>
      </c>
      <c r="C268" s="21" t="s">
        <v>458</v>
      </c>
      <c r="D268" s="22" t="str">
        <f>_xlfn.TEXTJOIN(" ",TRUE,Employees_Data[[#This Row],[First Name]],Employees_Data[[#This Row],[Last Name]])</f>
        <v>Rannym Tyru</v>
      </c>
      <c r="E268" s="21" t="s">
        <v>44</v>
      </c>
      <c r="F268" s="23">
        <v>44119</v>
      </c>
      <c r="G268" s="24">
        <f ca="1">DATEDIF(Employees!$F268,TODAY(),"Y")</f>
        <v>6</v>
      </c>
      <c r="H268" s="21" t="s">
        <v>26</v>
      </c>
      <c r="I268" s="21" t="s">
        <v>27</v>
      </c>
      <c r="J268" s="21" t="s">
        <v>60</v>
      </c>
      <c r="K268" s="25">
        <v>2143</v>
      </c>
      <c r="L268" s="25">
        <v>25716</v>
      </c>
      <c r="M268" s="21">
        <v>5</v>
      </c>
      <c r="N268" s="21">
        <v>0</v>
      </c>
      <c r="O268" s="21">
        <v>0</v>
      </c>
      <c r="P268" s="21">
        <v>45</v>
      </c>
      <c r="Q268" s="21" t="str">
        <f t="shared" ca="1" si="1"/>
        <v>Not Eligible</v>
      </c>
    </row>
    <row r="269" spans="1:17" ht="15.5" x14ac:dyDescent="0.35">
      <c r="A269" s="20">
        <v>268</v>
      </c>
      <c r="B269" s="21" t="s">
        <v>61</v>
      </c>
      <c r="C269" s="21" t="s">
        <v>459</v>
      </c>
      <c r="D269" s="22" t="str">
        <f>_xlfn.TEXTJOIN(" ",TRUE,Employees_Data[[#This Row],[First Name]],Employees_Data[[#This Row],[Last Name]])</f>
        <v>Iin Alhaju Bikr</v>
      </c>
      <c r="E269" s="21" t="s">
        <v>44</v>
      </c>
      <c r="F269" s="23">
        <v>43837</v>
      </c>
      <c r="G269" s="24">
        <f ca="1">DATEDIF(Employees!$F269,TODAY(),"Y")</f>
        <v>6</v>
      </c>
      <c r="H269" s="21" t="s">
        <v>99</v>
      </c>
      <c r="I269" s="21" t="s">
        <v>53</v>
      </c>
      <c r="J269" s="21" t="s">
        <v>83</v>
      </c>
      <c r="K269" s="25">
        <v>967</v>
      </c>
      <c r="L269" s="25">
        <v>11604</v>
      </c>
      <c r="M269" s="21">
        <v>5</v>
      </c>
      <c r="N269" s="21">
        <v>0</v>
      </c>
      <c r="O269" s="21">
        <v>4</v>
      </c>
      <c r="P269" s="21">
        <v>9</v>
      </c>
      <c r="Q269" s="21" t="str">
        <f t="shared" ca="1" si="1"/>
        <v>Not Eligible</v>
      </c>
    </row>
    <row r="270" spans="1:17" ht="15.5" x14ac:dyDescent="0.35">
      <c r="A270" s="20">
        <v>269</v>
      </c>
      <c r="B270" s="21" t="s">
        <v>267</v>
      </c>
      <c r="C270" s="21" t="s">
        <v>460</v>
      </c>
      <c r="D270" s="22" t="str">
        <f>_xlfn.TEXTJOIN(" ",TRUE,Employees_Data[[#This Row],[First Name]],Employees_Data[[#This Row],[Last Name]])</f>
        <v>Jihad Aldukifi</v>
      </c>
      <c r="E270" s="21" t="s">
        <v>25</v>
      </c>
      <c r="F270" s="23">
        <v>44028</v>
      </c>
      <c r="G270" s="24">
        <f ca="1">DATEDIF(Employees!$F270,TODAY(),"Y")</f>
        <v>6</v>
      </c>
      <c r="H270" s="21" t="s">
        <v>59</v>
      </c>
      <c r="I270" s="21" t="s">
        <v>27</v>
      </c>
      <c r="J270" s="21" t="s">
        <v>83</v>
      </c>
      <c r="K270" s="25">
        <v>2510</v>
      </c>
      <c r="L270" s="25">
        <v>30120</v>
      </c>
      <c r="M270" s="21">
        <v>1</v>
      </c>
      <c r="N270" s="21">
        <v>0</v>
      </c>
      <c r="O270" s="21">
        <v>0</v>
      </c>
      <c r="P270" s="21">
        <v>3</v>
      </c>
      <c r="Q270" s="21" t="str">
        <f t="shared" ca="1" si="1"/>
        <v>Not Eligible</v>
      </c>
    </row>
    <row r="271" spans="1:17" ht="15.5" x14ac:dyDescent="0.35">
      <c r="A271" s="20">
        <v>270</v>
      </c>
      <c r="B271" s="21" t="s">
        <v>461</v>
      </c>
      <c r="C271" s="21" t="s">
        <v>462</v>
      </c>
      <c r="D271" s="22" t="str">
        <f>_xlfn.TEXTJOIN(" ",TRUE,Employees_Data[[#This Row],[First Name]],Employees_Data[[#This Row],[Last Name]])</f>
        <v>Sandurana Antun</v>
      </c>
      <c r="E271" s="21" t="s">
        <v>44</v>
      </c>
      <c r="F271" s="23">
        <v>43555</v>
      </c>
      <c r="G271" s="24">
        <f ca="1">DATEDIF(Employees!$F271,TODAY(),"Y")</f>
        <v>7</v>
      </c>
      <c r="H271" s="21" t="s">
        <v>81</v>
      </c>
      <c r="I271" s="21" t="s">
        <v>27</v>
      </c>
      <c r="J271" s="21" t="s">
        <v>54</v>
      </c>
      <c r="K271" s="25">
        <v>3364</v>
      </c>
      <c r="L271" s="25">
        <v>40368</v>
      </c>
      <c r="M271" s="21">
        <v>2</v>
      </c>
      <c r="N271" s="21">
        <v>0</v>
      </c>
      <c r="O271" s="21">
        <v>0</v>
      </c>
      <c r="P271" s="21">
        <v>1</v>
      </c>
      <c r="Q271" s="21" t="str">
        <f t="shared" ca="1" si="1"/>
        <v>Not Eligible</v>
      </c>
    </row>
    <row r="272" spans="1:17" ht="15.5" x14ac:dyDescent="0.35">
      <c r="A272" s="20">
        <v>271</v>
      </c>
      <c r="B272" s="21" t="s">
        <v>111</v>
      </c>
      <c r="C272" s="21" t="s">
        <v>463</v>
      </c>
      <c r="D272" s="22" t="str">
        <f>_xlfn.TEXTJOIN(" ",TRUE,Employees_Data[[#This Row],[First Name]],Employees_Data[[#This Row],[Last Name]])</f>
        <v>Eala Darkzifli</v>
      </c>
      <c r="E272" s="21" t="s">
        <v>44</v>
      </c>
      <c r="F272" s="23">
        <v>43471</v>
      </c>
      <c r="G272" s="24">
        <f ca="1">DATEDIF(Employees!$F272,TODAY(),"Y")</f>
        <v>7</v>
      </c>
      <c r="H272" s="21" t="s">
        <v>99</v>
      </c>
      <c r="I272" s="21" t="s">
        <v>27</v>
      </c>
      <c r="J272" s="21" t="s">
        <v>29</v>
      </c>
      <c r="K272" s="25">
        <v>3420</v>
      </c>
      <c r="L272" s="25">
        <v>41040</v>
      </c>
      <c r="M272" s="21">
        <v>5</v>
      </c>
      <c r="N272" s="21">
        <v>6</v>
      </c>
      <c r="O272" s="21">
        <v>0</v>
      </c>
      <c r="P272" s="21">
        <v>10</v>
      </c>
      <c r="Q272" s="21" t="str">
        <f t="shared" ca="1" si="1"/>
        <v>Not Eligible</v>
      </c>
    </row>
    <row r="273" spans="1:17" ht="15.5" x14ac:dyDescent="0.35">
      <c r="A273" s="20">
        <v>272</v>
      </c>
      <c r="B273" s="21" t="s">
        <v>91</v>
      </c>
      <c r="C273" s="21" t="s">
        <v>464</v>
      </c>
      <c r="D273" s="22" t="str">
        <f>_xlfn.TEXTJOIN(" ",TRUE,Employees_Data[[#This Row],[First Name]],Employees_Data[[#This Row],[Last Name]])</f>
        <v>Samir Alsaeid</v>
      </c>
      <c r="E273" s="21" t="s">
        <v>25</v>
      </c>
      <c r="F273" s="23">
        <v>43722</v>
      </c>
      <c r="G273" s="24">
        <f ca="1">DATEDIF(Employees!$F273,TODAY(),"Y")</f>
        <v>7</v>
      </c>
      <c r="H273" s="21" t="s">
        <v>140</v>
      </c>
      <c r="I273" s="21" t="s">
        <v>53</v>
      </c>
      <c r="J273" s="21" t="s">
        <v>83</v>
      </c>
      <c r="K273" s="25">
        <v>2229</v>
      </c>
      <c r="L273" s="25">
        <v>26748</v>
      </c>
      <c r="M273" s="21">
        <v>3</v>
      </c>
      <c r="N273" s="21">
        <v>3</v>
      </c>
      <c r="O273" s="21">
        <v>0</v>
      </c>
      <c r="P273" s="21">
        <v>1</v>
      </c>
      <c r="Q273" s="21" t="str">
        <f t="shared" ca="1" si="1"/>
        <v>Not Eligible</v>
      </c>
    </row>
    <row r="274" spans="1:17" ht="15.5" x14ac:dyDescent="0.35">
      <c r="A274" s="20">
        <v>273</v>
      </c>
      <c r="B274" s="21" t="s">
        <v>323</v>
      </c>
      <c r="C274" s="21" t="s">
        <v>465</v>
      </c>
      <c r="D274" s="22" t="str">
        <f>_xlfn.TEXTJOIN(" ",TRUE,Employees_Data[[#This Row],[First Name]],Employees_Data[[#This Row],[Last Name]])</f>
        <v>Amir Alhifar</v>
      </c>
      <c r="E274" s="21" t="s">
        <v>25</v>
      </c>
      <c r="F274" s="23">
        <v>43978</v>
      </c>
      <c r="G274" s="24">
        <f ca="1">DATEDIF(Employees!$F274,TODAY(),"Y")</f>
        <v>6</v>
      </c>
      <c r="H274" s="21" t="s">
        <v>140</v>
      </c>
      <c r="I274" s="21" t="s">
        <v>27</v>
      </c>
      <c r="J274" s="21" t="s">
        <v>29</v>
      </c>
      <c r="K274" s="25">
        <v>1910</v>
      </c>
      <c r="L274" s="25">
        <v>22920</v>
      </c>
      <c r="M274" s="21">
        <v>5</v>
      </c>
      <c r="N274" s="21">
        <v>2</v>
      </c>
      <c r="O274" s="21">
        <v>0</v>
      </c>
      <c r="P274" s="21">
        <v>5</v>
      </c>
      <c r="Q274" s="21" t="str">
        <f t="shared" ca="1" si="1"/>
        <v>Not Eligible</v>
      </c>
    </row>
    <row r="275" spans="1:17" ht="15.5" x14ac:dyDescent="0.35">
      <c r="A275" s="20">
        <v>274</v>
      </c>
      <c r="B275" s="21" t="s">
        <v>394</v>
      </c>
      <c r="C275" s="21" t="s">
        <v>237</v>
      </c>
      <c r="D275" s="22" t="str">
        <f>_xlfn.TEXTJOIN(" ",TRUE,Employees_Data[[#This Row],[First Name]],Employees_Data[[#This Row],[Last Name]])</f>
        <v>Lama Almala</v>
      </c>
      <c r="E275" s="21" t="s">
        <v>44</v>
      </c>
      <c r="F275" s="23">
        <v>43684</v>
      </c>
      <c r="G275" s="24">
        <f ca="1">DATEDIF(Employees!$F275,TODAY(),"Y")</f>
        <v>7</v>
      </c>
      <c r="H275" s="21" t="s">
        <v>98</v>
      </c>
      <c r="I275" s="21" t="s">
        <v>27</v>
      </c>
      <c r="J275" s="21" t="s">
        <v>60</v>
      </c>
      <c r="K275" s="25">
        <v>1917</v>
      </c>
      <c r="L275" s="25">
        <v>23004</v>
      </c>
      <c r="M275" s="21">
        <v>4.5</v>
      </c>
      <c r="N275" s="21">
        <v>0</v>
      </c>
      <c r="O275" s="21">
        <v>1</v>
      </c>
      <c r="P275" s="21">
        <v>84</v>
      </c>
      <c r="Q275" s="21" t="str">
        <f t="shared" ca="1" si="1"/>
        <v>Eligible</v>
      </c>
    </row>
    <row r="276" spans="1:17" ht="15.5" x14ac:dyDescent="0.35">
      <c r="A276" s="20">
        <v>275</v>
      </c>
      <c r="B276" s="21" t="s">
        <v>388</v>
      </c>
      <c r="C276" s="21" t="s">
        <v>466</v>
      </c>
      <c r="D276" s="22" t="str">
        <f>_xlfn.TEXTJOIN(" ",TRUE,Employees_Data[[#This Row],[First Name]],Employees_Data[[#This Row],[Last Name]])</f>
        <v>Hasan Kalthum</v>
      </c>
      <c r="E276" s="21" t="s">
        <v>25</v>
      </c>
      <c r="F276" s="23">
        <v>43454</v>
      </c>
      <c r="G276" s="24">
        <f ca="1">DATEDIF(Employees!$F276,TODAY(),"Y")</f>
        <v>7</v>
      </c>
      <c r="H276" s="21" t="s">
        <v>26</v>
      </c>
      <c r="I276" s="21" t="s">
        <v>27</v>
      </c>
      <c r="J276" s="21" t="s">
        <v>60</v>
      </c>
      <c r="K276" s="25">
        <v>831</v>
      </c>
      <c r="L276" s="25">
        <v>9972</v>
      </c>
      <c r="M276" s="21">
        <v>1</v>
      </c>
      <c r="N276" s="21">
        <v>1</v>
      </c>
      <c r="O276" s="21">
        <v>2</v>
      </c>
      <c r="P276" s="21">
        <v>7</v>
      </c>
      <c r="Q276" s="21" t="str">
        <f t="shared" ca="1" si="1"/>
        <v>Not Eligible</v>
      </c>
    </row>
    <row r="277" spans="1:17" ht="15.5" x14ac:dyDescent="0.35">
      <c r="A277" s="20">
        <v>276</v>
      </c>
      <c r="B277" s="21" t="s">
        <v>57</v>
      </c>
      <c r="C277" s="21" t="s">
        <v>467</v>
      </c>
      <c r="D277" s="22" t="str">
        <f>_xlfn.TEXTJOIN(" ",TRUE,Employees_Data[[#This Row],[First Name]],Employees_Data[[#This Row],[Last Name]])</f>
        <v>Muhamad Saeadat</v>
      </c>
      <c r="E277" s="21" t="s">
        <v>25</v>
      </c>
      <c r="F277" s="23">
        <v>43652</v>
      </c>
      <c r="G277" s="24">
        <f ca="1">DATEDIF(Employees!$F277,TODAY(),"Y")</f>
        <v>7</v>
      </c>
      <c r="H277" s="21" t="s">
        <v>26</v>
      </c>
      <c r="I277" s="21" t="s">
        <v>53</v>
      </c>
      <c r="J277" s="21" t="s">
        <v>54</v>
      </c>
      <c r="K277" s="25">
        <v>2636</v>
      </c>
      <c r="L277" s="25">
        <v>31632</v>
      </c>
      <c r="M277" s="21">
        <v>4.5</v>
      </c>
      <c r="N277" s="21">
        <v>0</v>
      </c>
      <c r="O277" s="21">
        <v>2</v>
      </c>
      <c r="P277" s="21">
        <v>4</v>
      </c>
      <c r="Q277" s="21" t="str">
        <f t="shared" ca="1" si="1"/>
        <v>Not Eligible</v>
      </c>
    </row>
    <row r="278" spans="1:17" ht="15.5" x14ac:dyDescent="0.35">
      <c r="A278" s="20">
        <v>277</v>
      </c>
      <c r="B278" s="21" t="s">
        <v>104</v>
      </c>
      <c r="C278" s="21" t="s">
        <v>468</v>
      </c>
      <c r="D278" s="22" t="str">
        <f>_xlfn.TEXTJOIN(" ",TRUE,Employees_Data[[#This Row],[First Name]],Employees_Data[[#This Row],[Last Name]])</f>
        <v>Rana Eijrush</v>
      </c>
      <c r="E278" s="21" t="s">
        <v>44</v>
      </c>
      <c r="F278" s="23">
        <v>43348</v>
      </c>
      <c r="G278" s="24">
        <f ca="1">DATEDIF(Employees!$F278,TODAY(),"Y")</f>
        <v>8</v>
      </c>
      <c r="H278" s="21" t="s">
        <v>65</v>
      </c>
      <c r="I278" s="21" t="s">
        <v>71</v>
      </c>
      <c r="J278" s="21" t="s">
        <v>54</v>
      </c>
      <c r="K278" s="25">
        <v>2929</v>
      </c>
      <c r="L278" s="25">
        <v>35148</v>
      </c>
      <c r="M278" s="21">
        <v>2</v>
      </c>
      <c r="N278" s="21">
        <v>0</v>
      </c>
      <c r="O278" s="21">
        <v>1</v>
      </c>
      <c r="P278" s="21">
        <v>4</v>
      </c>
      <c r="Q278" s="21" t="str">
        <f t="shared" ca="1" si="1"/>
        <v>Not Eligible</v>
      </c>
    </row>
    <row r="279" spans="1:17" ht="15.5" x14ac:dyDescent="0.35">
      <c r="A279" s="20">
        <v>278</v>
      </c>
      <c r="B279" s="21" t="s">
        <v>216</v>
      </c>
      <c r="C279" s="21" t="s">
        <v>469</v>
      </c>
      <c r="D279" s="22" t="str">
        <f>_xlfn.TEXTJOIN(" ",TRUE,Employees_Data[[#This Row],[First Name]],Employees_Data[[#This Row],[Last Name]])</f>
        <v>Tariq Alkinaya</v>
      </c>
      <c r="E279" s="21" t="s">
        <v>25</v>
      </c>
      <c r="F279" s="23">
        <v>43764</v>
      </c>
      <c r="G279" s="24">
        <f ca="1">DATEDIF(Employees!$F279,TODAY(),"Y")</f>
        <v>7</v>
      </c>
      <c r="H279" s="21" t="s">
        <v>26</v>
      </c>
      <c r="I279" s="21" t="s">
        <v>27</v>
      </c>
      <c r="J279" s="21" t="s">
        <v>60</v>
      </c>
      <c r="K279" s="25">
        <v>1255</v>
      </c>
      <c r="L279" s="25">
        <v>15060</v>
      </c>
      <c r="M279" s="21">
        <v>1</v>
      </c>
      <c r="N279" s="21">
        <v>6</v>
      </c>
      <c r="O279" s="21">
        <v>0</v>
      </c>
      <c r="P279" s="21">
        <v>15</v>
      </c>
      <c r="Q279" s="21" t="str">
        <f t="shared" ca="1" si="1"/>
        <v>Not Eligible</v>
      </c>
    </row>
    <row r="280" spans="1:17" ht="15.5" x14ac:dyDescent="0.35">
      <c r="A280" s="20">
        <v>279</v>
      </c>
      <c r="B280" s="21" t="s">
        <v>293</v>
      </c>
      <c r="C280" s="21" t="s">
        <v>470</v>
      </c>
      <c r="D280" s="22" t="str">
        <f>_xlfn.TEXTJOIN(" ",TRUE,Employees_Data[[#This Row],[First Name]],Employees_Data[[#This Row],[Last Name]])</f>
        <v>Amjad Alrz</v>
      </c>
      <c r="E280" s="21" t="s">
        <v>25</v>
      </c>
      <c r="F280" s="23">
        <v>43933</v>
      </c>
      <c r="G280" s="24">
        <f ca="1">DATEDIF(Employees!$F280,TODAY(),"Y")</f>
        <v>6</v>
      </c>
      <c r="H280" s="21" t="s">
        <v>26</v>
      </c>
      <c r="I280" s="21" t="s">
        <v>53</v>
      </c>
      <c r="J280" s="21" t="s">
        <v>54</v>
      </c>
      <c r="K280" s="25">
        <v>2210</v>
      </c>
      <c r="L280" s="25">
        <v>26520</v>
      </c>
      <c r="M280" s="21">
        <v>3</v>
      </c>
      <c r="N280" s="21">
        <v>0</v>
      </c>
      <c r="O280" s="21">
        <v>0</v>
      </c>
      <c r="P280" s="21">
        <v>13</v>
      </c>
      <c r="Q280" s="21" t="str">
        <f t="shared" ca="1" si="1"/>
        <v>Not Eligible</v>
      </c>
    </row>
    <row r="281" spans="1:17" ht="15.5" x14ac:dyDescent="0.35">
      <c r="A281" s="20">
        <v>280</v>
      </c>
      <c r="B281" s="21" t="s">
        <v>471</v>
      </c>
      <c r="C281" s="21" t="s">
        <v>472</v>
      </c>
      <c r="D281" s="22" t="str">
        <f>_xlfn.TEXTJOIN(" ",TRUE,Employees_Data[[#This Row],[First Name]],Employees_Data[[#This Row],[Last Name]])</f>
        <v>Daniah Alhariri</v>
      </c>
      <c r="E281" s="21" t="s">
        <v>44</v>
      </c>
      <c r="F281" s="23">
        <v>43753</v>
      </c>
      <c r="G281" s="24">
        <f ca="1">DATEDIF(Employees!$F281,TODAY(),"Y")</f>
        <v>7</v>
      </c>
      <c r="H281" s="21" t="s">
        <v>26</v>
      </c>
      <c r="I281" s="21" t="s">
        <v>27</v>
      </c>
      <c r="J281" s="21" t="s">
        <v>60</v>
      </c>
      <c r="K281" s="25">
        <v>1788</v>
      </c>
      <c r="L281" s="25">
        <v>21456</v>
      </c>
      <c r="M281" s="21">
        <v>5</v>
      </c>
      <c r="N281" s="21">
        <v>1</v>
      </c>
      <c r="O281" s="21">
        <v>0</v>
      </c>
      <c r="P281" s="21">
        <v>9</v>
      </c>
      <c r="Q281" s="21" t="str">
        <f t="shared" ca="1" si="1"/>
        <v>Not Eligible</v>
      </c>
    </row>
    <row r="282" spans="1:17" ht="15.5" x14ac:dyDescent="0.35">
      <c r="A282" s="20">
        <v>281</v>
      </c>
      <c r="B282" s="21" t="s">
        <v>388</v>
      </c>
      <c r="C282" s="21" t="s">
        <v>473</v>
      </c>
      <c r="D282" s="22" t="str">
        <f>_xlfn.TEXTJOIN(" ",TRUE,Employees_Data[[#This Row],[First Name]],Employees_Data[[#This Row],[Last Name]])</f>
        <v>Hasan Quidr</v>
      </c>
      <c r="E282" s="21" t="s">
        <v>25</v>
      </c>
      <c r="F282" s="23">
        <v>43951</v>
      </c>
      <c r="G282" s="24">
        <f ca="1">DATEDIF(Employees!$F282,TODAY(),"Y")</f>
        <v>6</v>
      </c>
      <c r="H282" s="21" t="s">
        <v>26</v>
      </c>
      <c r="I282" s="21" t="s">
        <v>27</v>
      </c>
      <c r="J282" s="21" t="s">
        <v>60</v>
      </c>
      <c r="K282" s="25">
        <v>2488</v>
      </c>
      <c r="L282" s="25">
        <v>29856</v>
      </c>
      <c r="M282" s="21">
        <v>5</v>
      </c>
      <c r="N282" s="21">
        <v>0</v>
      </c>
      <c r="O282" s="21">
        <v>5</v>
      </c>
      <c r="P282" s="21">
        <v>3</v>
      </c>
      <c r="Q282" s="21" t="str">
        <f t="shared" ca="1" si="1"/>
        <v>Not Eligible</v>
      </c>
    </row>
    <row r="283" spans="1:17" ht="15.5" x14ac:dyDescent="0.35">
      <c r="A283" s="20">
        <v>282</v>
      </c>
      <c r="B283" s="21" t="s">
        <v>57</v>
      </c>
      <c r="C283" s="21" t="s">
        <v>474</v>
      </c>
      <c r="D283" s="22" t="str">
        <f>_xlfn.TEXTJOIN(" ",TRUE,Employees_Data[[#This Row],[First Name]],Employees_Data[[#This Row],[Last Name]])</f>
        <v>Muhamad Shaykh Janid</v>
      </c>
      <c r="E283" s="21" t="s">
        <v>25</v>
      </c>
      <c r="F283" s="23">
        <v>43939</v>
      </c>
      <c r="G283" s="24">
        <f ca="1">DATEDIF(Employees!$F283,TODAY(),"Y")</f>
        <v>6</v>
      </c>
      <c r="H283" s="21" t="s">
        <v>52</v>
      </c>
      <c r="I283" s="21" t="s">
        <v>27</v>
      </c>
      <c r="J283" s="21" t="s">
        <v>60</v>
      </c>
      <c r="K283" s="25">
        <v>2187</v>
      </c>
      <c r="L283" s="25">
        <v>26244</v>
      </c>
      <c r="M283" s="21">
        <v>5</v>
      </c>
      <c r="N283" s="21">
        <v>1</v>
      </c>
      <c r="O283" s="21">
        <v>3</v>
      </c>
      <c r="P283" s="21">
        <v>2</v>
      </c>
      <c r="Q283" s="21" t="str">
        <f t="shared" ca="1" si="1"/>
        <v>Not Eligible</v>
      </c>
    </row>
    <row r="284" spans="1:17" ht="15.5" x14ac:dyDescent="0.35">
      <c r="A284" s="20">
        <v>283</v>
      </c>
      <c r="B284" s="21" t="s">
        <v>475</v>
      </c>
      <c r="C284" s="21" t="s">
        <v>476</v>
      </c>
      <c r="D284" s="22" t="str">
        <f>_xlfn.TEXTJOIN(" ",TRUE,Employees_Data[[#This Row],[First Name]],Employees_Data[[#This Row],[Last Name]])</f>
        <v>Esamat Zaza</v>
      </c>
      <c r="E284" s="21" t="s">
        <v>25</v>
      </c>
      <c r="F284" s="23">
        <v>43963</v>
      </c>
      <c r="G284" s="24">
        <f ca="1">DATEDIF(Employees!$F284,TODAY(),"Y")</f>
        <v>6</v>
      </c>
      <c r="H284" s="21" t="s">
        <v>26</v>
      </c>
      <c r="I284" s="21" t="s">
        <v>27</v>
      </c>
      <c r="J284" s="21" t="s">
        <v>54</v>
      </c>
      <c r="K284" s="25">
        <v>1366</v>
      </c>
      <c r="L284" s="25">
        <v>16392</v>
      </c>
      <c r="M284" s="21">
        <v>2</v>
      </c>
      <c r="N284" s="21">
        <v>0</v>
      </c>
      <c r="O284" s="21">
        <v>0</v>
      </c>
      <c r="P284" s="21">
        <v>13</v>
      </c>
      <c r="Q284" s="21" t="str">
        <f t="shared" ca="1" si="1"/>
        <v>Not Eligible</v>
      </c>
    </row>
    <row r="285" spans="1:17" ht="15.5" x14ac:dyDescent="0.35">
      <c r="A285" s="20">
        <v>284</v>
      </c>
      <c r="B285" s="21" t="s">
        <v>218</v>
      </c>
      <c r="C285" s="21" t="s">
        <v>477</v>
      </c>
      <c r="D285" s="22" t="str">
        <f>_xlfn.TEXTJOIN(" ",TRUE,Employees_Data[[#This Row],[First Name]],Employees_Data[[#This Row],[Last Name]])</f>
        <v>Fadi Hububati</v>
      </c>
      <c r="E285" s="21" t="s">
        <v>25</v>
      </c>
      <c r="F285" s="23">
        <v>43591</v>
      </c>
      <c r="G285" s="24">
        <f ca="1">DATEDIF(Employees!$F285,TODAY(),"Y")</f>
        <v>7</v>
      </c>
      <c r="H285" s="21" t="s">
        <v>99</v>
      </c>
      <c r="I285" s="21" t="s">
        <v>27</v>
      </c>
      <c r="J285" s="21" t="s">
        <v>29</v>
      </c>
      <c r="K285" s="25">
        <v>2612</v>
      </c>
      <c r="L285" s="25">
        <v>31344</v>
      </c>
      <c r="M285" s="21">
        <v>5</v>
      </c>
      <c r="N285" s="21">
        <v>0</v>
      </c>
      <c r="O285" s="21">
        <v>0</v>
      </c>
      <c r="P285" s="21">
        <v>8</v>
      </c>
      <c r="Q285" s="21" t="str">
        <f t="shared" ca="1" si="1"/>
        <v>Not Eligible</v>
      </c>
    </row>
    <row r="286" spans="1:17" ht="15.5" x14ac:dyDescent="0.35">
      <c r="A286" s="20">
        <v>285</v>
      </c>
      <c r="B286" s="21" t="s">
        <v>478</v>
      </c>
      <c r="C286" s="21" t="s">
        <v>479</v>
      </c>
      <c r="D286" s="22" t="str">
        <f>_xlfn.TEXTJOIN(" ",TRUE,Employees_Data[[#This Row],[First Name]],Employees_Data[[#This Row],[Last Name]])</f>
        <v>Adnan Alhusayn</v>
      </c>
      <c r="E286" s="21" t="s">
        <v>25</v>
      </c>
      <c r="F286" s="23">
        <v>43199</v>
      </c>
      <c r="G286" s="24">
        <f ca="1">DATEDIF(Employees!$F286,TODAY(),"Y")</f>
        <v>8</v>
      </c>
      <c r="H286" s="21" t="s">
        <v>65</v>
      </c>
      <c r="I286" s="21" t="s">
        <v>53</v>
      </c>
      <c r="J286" s="21" t="s">
        <v>54</v>
      </c>
      <c r="K286" s="25">
        <v>2246</v>
      </c>
      <c r="L286" s="25">
        <v>26952</v>
      </c>
      <c r="M286" s="21">
        <v>5</v>
      </c>
      <c r="N286" s="21">
        <v>0</v>
      </c>
      <c r="O286" s="21">
        <v>0</v>
      </c>
      <c r="P286" s="21">
        <v>8</v>
      </c>
      <c r="Q286" s="21" t="str">
        <f t="shared" ca="1" si="1"/>
        <v>Not Eligible</v>
      </c>
    </row>
    <row r="287" spans="1:17" ht="15.5" x14ac:dyDescent="0.35">
      <c r="A287" s="20">
        <v>286</v>
      </c>
      <c r="B287" s="21" t="s">
        <v>57</v>
      </c>
      <c r="C287" s="21" t="s">
        <v>480</v>
      </c>
      <c r="D287" s="22" t="str">
        <f>_xlfn.TEXTJOIN(" ",TRUE,Employees_Data[[#This Row],[First Name]],Employees_Data[[#This Row],[Last Name]])</f>
        <v>Muhamad Allibad</v>
      </c>
      <c r="E287" s="21" t="s">
        <v>25</v>
      </c>
      <c r="F287" s="23">
        <v>43307</v>
      </c>
      <c r="G287" s="24">
        <f ca="1">DATEDIF(Employees!$F287,TODAY(),"Y")</f>
        <v>8</v>
      </c>
      <c r="H287" s="21" t="s">
        <v>26</v>
      </c>
      <c r="I287" s="21" t="s">
        <v>27</v>
      </c>
      <c r="J287" s="21" t="s">
        <v>54</v>
      </c>
      <c r="K287" s="25">
        <v>2761</v>
      </c>
      <c r="L287" s="25">
        <v>33132</v>
      </c>
      <c r="M287" s="21">
        <v>5</v>
      </c>
      <c r="N287" s="21">
        <v>0</v>
      </c>
      <c r="O287" s="21">
        <v>2</v>
      </c>
      <c r="P287" s="21">
        <v>5</v>
      </c>
      <c r="Q287" s="21" t="str">
        <f t="shared" ca="1" si="1"/>
        <v>Not Eligible</v>
      </c>
    </row>
    <row r="288" spans="1:17" ht="15.5" x14ac:dyDescent="0.35">
      <c r="A288" s="20">
        <v>287</v>
      </c>
      <c r="B288" s="21" t="s">
        <v>481</v>
      </c>
      <c r="C288" s="21" t="s">
        <v>482</v>
      </c>
      <c r="D288" s="22" t="str">
        <f>_xlfn.TEXTJOIN(" ",TRUE,Employees_Data[[#This Row],[First Name]],Employees_Data[[#This Row],[Last Name]])</f>
        <v>Tana Dahruj</v>
      </c>
      <c r="E288" s="21" t="s">
        <v>44</v>
      </c>
      <c r="F288" s="23">
        <v>43800</v>
      </c>
      <c r="G288" s="24">
        <f ca="1">DATEDIF(Employees!$F288,TODAY(),"Y")</f>
        <v>6</v>
      </c>
      <c r="H288" s="21" t="s">
        <v>140</v>
      </c>
      <c r="I288" s="21" t="s">
        <v>27</v>
      </c>
      <c r="J288" s="21" t="s">
        <v>54</v>
      </c>
      <c r="K288" s="25">
        <v>1536</v>
      </c>
      <c r="L288" s="25">
        <v>18432</v>
      </c>
      <c r="M288" s="21">
        <v>4.5</v>
      </c>
      <c r="N288" s="21">
        <v>0</v>
      </c>
      <c r="O288" s="21">
        <v>0</v>
      </c>
      <c r="P288" s="21">
        <v>76</v>
      </c>
      <c r="Q288" s="21" t="str">
        <f t="shared" ca="1" si="1"/>
        <v>Eligible</v>
      </c>
    </row>
    <row r="289" spans="1:17" ht="15.5" x14ac:dyDescent="0.35">
      <c r="A289" s="20">
        <v>288</v>
      </c>
      <c r="B289" s="21" t="s">
        <v>57</v>
      </c>
      <c r="C289" s="21" t="s">
        <v>483</v>
      </c>
      <c r="D289" s="22" t="str">
        <f>_xlfn.TEXTJOIN(" ",TRUE,Employees_Data[[#This Row],[First Name]],Employees_Data[[#This Row],[Last Name]])</f>
        <v>Muhamad Almtlq</v>
      </c>
      <c r="E289" s="21" t="s">
        <v>25</v>
      </c>
      <c r="F289" s="23">
        <v>42684</v>
      </c>
      <c r="G289" s="24">
        <f ca="1">DATEDIF(Employees!$F289,TODAY(),"Y")</f>
        <v>9</v>
      </c>
      <c r="H289" s="21" t="s">
        <v>110</v>
      </c>
      <c r="I289" s="21" t="s">
        <v>40</v>
      </c>
      <c r="J289" s="21" t="s">
        <v>83</v>
      </c>
      <c r="K289" s="25">
        <v>2180</v>
      </c>
      <c r="L289" s="25">
        <v>26160</v>
      </c>
      <c r="M289" s="21">
        <v>4.5</v>
      </c>
      <c r="N289" s="21">
        <v>0</v>
      </c>
      <c r="O289" s="21">
        <v>0</v>
      </c>
      <c r="P289" s="21">
        <v>80</v>
      </c>
      <c r="Q289" s="21" t="str">
        <f t="shared" ca="1" si="1"/>
        <v>Eligible</v>
      </c>
    </row>
    <row r="290" spans="1:17" ht="15.5" x14ac:dyDescent="0.35">
      <c r="A290" s="20">
        <v>289</v>
      </c>
      <c r="B290" s="21" t="s">
        <v>484</v>
      </c>
      <c r="C290" s="21" t="s">
        <v>479</v>
      </c>
      <c r="D290" s="22" t="str">
        <f>_xlfn.TEXTJOIN(" ",TRUE,Employees_Data[[#This Row],[First Name]],Employees_Data[[#This Row],[Last Name]])</f>
        <v>Sana Alhusayn</v>
      </c>
      <c r="E290" s="21" t="s">
        <v>44</v>
      </c>
      <c r="F290" s="23">
        <v>43822</v>
      </c>
      <c r="G290" s="24">
        <f ca="1">DATEDIF(Employees!$F290,TODAY(),"Y")</f>
        <v>6</v>
      </c>
      <c r="H290" s="21" t="s">
        <v>65</v>
      </c>
      <c r="I290" s="21" t="s">
        <v>27</v>
      </c>
      <c r="J290" s="21" t="s">
        <v>54</v>
      </c>
      <c r="K290" s="25">
        <v>3412</v>
      </c>
      <c r="L290" s="25">
        <v>40944</v>
      </c>
      <c r="M290" s="21">
        <v>5</v>
      </c>
      <c r="N290" s="21">
        <v>2</v>
      </c>
      <c r="O290" s="21">
        <v>0</v>
      </c>
      <c r="P290" s="21">
        <v>3</v>
      </c>
      <c r="Q290" s="21" t="str">
        <f t="shared" ca="1" si="1"/>
        <v>Not Eligible</v>
      </c>
    </row>
    <row r="291" spans="1:17" ht="15.5" x14ac:dyDescent="0.35">
      <c r="A291" s="20">
        <v>290</v>
      </c>
      <c r="B291" s="21" t="s">
        <v>57</v>
      </c>
      <c r="C291" s="21" t="s">
        <v>485</v>
      </c>
      <c r="D291" s="22" t="str">
        <f>_xlfn.TEXTJOIN(" ",TRUE,Employees_Data[[#This Row],[First Name]],Employees_Data[[#This Row],[Last Name]])</f>
        <v>Muhamad Bdraldyn</v>
      </c>
      <c r="E291" s="21" t="s">
        <v>25</v>
      </c>
      <c r="F291" s="23">
        <v>43250</v>
      </c>
      <c r="G291" s="24">
        <f ca="1">DATEDIF(Employees!$F291,TODAY(),"Y")</f>
        <v>8</v>
      </c>
      <c r="H291" s="21" t="s">
        <v>76</v>
      </c>
      <c r="I291" s="21" t="s">
        <v>27</v>
      </c>
      <c r="J291" s="21" t="s">
        <v>54</v>
      </c>
      <c r="K291" s="25">
        <v>2546</v>
      </c>
      <c r="L291" s="25">
        <v>30552</v>
      </c>
      <c r="M291" s="21">
        <v>4.5</v>
      </c>
      <c r="N291" s="21">
        <v>0</v>
      </c>
      <c r="O291" s="21">
        <v>0</v>
      </c>
      <c r="P291" s="21">
        <v>6</v>
      </c>
      <c r="Q291" s="21" t="str">
        <f t="shared" ca="1" si="1"/>
        <v>Not Eligible</v>
      </c>
    </row>
    <row r="292" spans="1:17" ht="15.5" x14ac:dyDescent="0.35">
      <c r="A292" s="20">
        <v>291</v>
      </c>
      <c r="B292" s="21" t="s">
        <v>57</v>
      </c>
      <c r="C292" s="21" t="s">
        <v>486</v>
      </c>
      <c r="D292" s="22" t="str">
        <f>_xlfn.TEXTJOIN(" ",TRUE,Employees_Data[[#This Row],[First Name]],Employees_Data[[#This Row],[Last Name]])</f>
        <v>Muhamad Eataya</v>
      </c>
      <c r="E292" s="21" t="s">
        <v>25</v>
      </c>
      <c r="F292" s="23">
        <v>43096</v>
      </c>
      <c r="G292" s="24">
        <f ca="1">DATEDIF(Employees!$F292,TODAY(),"Y")</f>
        <v>8</v>
      </c>
      <c r="H292" s="21" t="s">
        <v>166</v>
      </c>
      <c r="I292" s="21" t="s">
        <v>27</v>
      </c>
      <c r="J292" s="21" t="s">
        <v>60</v>
      </c>
      <c r="K292" s="25">
        <v>1856</v>
      </c>
      <c r="L292" s="25">
        <v>22272</v>
      </c>
      <c r="M292" s="21">
        <v>5</v>
      </c>
      <c r="N292" s="21">
        <v>0</v>
      </c>
      <c r="O292" s="21">
        <v>0</v>
      </c>
      <c r="P292" s="21">
        <v>0</v>
      </c>
      <c r="Q292" s="21" t="str">
        <f t="shared" ca="1" si="1"/>
        <v>Not Eligible</v>
      </c>
    </row>
    <row r="293" spans="1:17" ht="15.5" x14ac:dyDescent="0.35">
      <c r="A293" s="20">
        <v>292</v>
      </c>
      <c r="B293" s="21" t="s">
        <v>218</v>
      </c>
      <c r="C293" s="21" t="s">
        <v>487</v>
      </c>
      <c r="D293" s="22" t="str">
        <f>_xlfn.TEXTJOIN(" ",TRUE,Employees_Data[[#This Row],[First Name]],Employees_Data[[#This Row],[Last Name]])</f>
        <v>Fadi Aljizamati</v>
      </c>
      <c r="E293" s="21" t="s">
        <v>25</v>
      </c>
      <c r="F293" s="23">
        <v>43618</v>
      </c>
      <c r="G293" s="24">
        <f ca="1">DATEDIF(Employees!$F293,TODAY(),"Y")</f>
        <v>7</v>
      </c>
      <c r="H293" s="21" t="s">
        <v>59</v>
      </c>
      <c r="I293" s="21" t="s">
        <v>27</v>
      </c>
      <c r="J293" s="21" t="s">
        <v>54</v>
      </c>
      <c r="K293" s="25">
        <v>3220</v>
      </c>
      <c r="L293" s="25">
        <v>38640</v>
      </c>
      <c r="M293" s="21">
        <v>5</v>
      </c>
      <c r="N293" s="21">
        <v>6</v>
      </c>
      <c r="O293" s="21">
        <v>0</v>
      </c>
      <c r="P293" s="21">
        <v>3</v>
      </c>
      <c r="Q293" s="21" t="str">
        <f t="shared" ca="1" si="1"/>
        <v>Not Eligible</v>
      </c>
    </row>
    <row r="294" spans="1:17" ht="15.5" x14ac:dyDescent="0.35">
      <c r="A294" s="20">
        <v>293</v>
      </c>
      <c r="B294" s="21" t="s">
        <v>82</v>
      </c>
      <c r="C294" s="21" t="s">
        <v>488</v>
      </c>
      <c r="D294" s="22" t="str">
        <f>_xlfn.TEXTJOIN(" ",TRUE,Employees_Data[[#This Row],[First Name]],Employees_Data[[#This Row],[Last Name]])</f>
        <v>Alaa Alqasir</v>
      </c>
      <c r="E294" s="21" t="s">
        <v>25</v>
      </c>
      <c r="F294" s="23">
        <v>42473</v>
      </c>
      <c r="G294" s="24">
        <f ca="1">DATEDIF(Employees!$F294,TODAY(),"Y")</f>
        <v>10</v>
      </c>
      <c r="H294" s="21" t="s">
        <v>52</v>
      </c>
      <c r="I294" s="21" t="s">
        <v>40</v>
      </c>
      <c r="J294" s="21" t="s">
        <v>54</v>
      </c>
      <c r="K294" s="25">
        <v>3061</v>
      </c>
      <c r="L294" s="25">
        <v>36732</v>
      </c>
      <c r="M294" s="21">
        <v>5</v>
      </c>
      <c r="N294" s="21">
        <v>0</v>
      </c>
      <c r="O294" s="21">
        <v>0</v>
      </c>
      <c r="P294" s="21">
        <v>3</v>
      </c>
      <c r="Q294" s="21" t="str">
        <f t="shared" ca="1" si="1"/>
        <v>Not Eligible</v>
      </c>
    </row>
    <row r="295" spans="1:17" ht="15.5" x14ac:dyDescent="0.35">
      <c r="A295" s="20">
        <v>294</v>
      </c>
      <c r="B295" s="21" t="s">
        <v>284</v>
      </c>
      <c r="C295" s="21" t="s">
        <v>360</v>
      </c>
      <c r="D295" s="22" t="str">
        <f>_xlfn.TEXTJOIN(" ",TRUE,Employees_Data[[#This Row],[First Name]],Employees_Data[[#This Row],[Last Name]])</f>
        <v>Abd Alruhmin Salih</v>
      </c>
      <c r="E295" s="21" t="s">
        <v>25</v>
      </c>
      <c r="F295" s="23">
        <v>42973</v>
      </c>
      <c r="G295" s="24">
        <f ca="1">DATEDIF(Employees!$F295,TODAY(),"Y")</f>
        <v>9</v>
      </c>
      <c r="H295" s="21" t="s">
        <v>98</v>
      </c>
      <c r="I295" s="21" t="s">
        <v>40</v>
      </c>
      <c r="J295" s="21" t="s">
        <v>60</v>
      </c>
      <c r="K295" s="25">
        <v>2221</v>
      </c>
      <c r="L295" s="25">
        <v>26652</v>
      </c>
      <c r="M295" s="21">
        <v>2</v>
      </c>
      <c r="N295" s="21">
        <v>0</v>
      </c>
      <c r="O295" s="21">
        <v>0</v>
      </c>
      <c r="P295" s="21">
        <v>1</v>
      </c>
      <c r="Q295" s="21" t="str">
        <f t="shared" ca="1" si="1"/>
        <v>Not Eligible</v>
      </c>
    </row>
    <row r="296" spans="1:17" ht="15.5" x14ac:dyDescent="0.35">
      <c r="A296" s="20">
        <v>295</v>
      </c>
      <c r="B296" s="21" t="s">
        <v>489</v>
      </c>
      <c r="C296" s="21" t="s">
        <v>55</v>
      </c>
      <c r="D296" s="22" t="str">
        <f>_xlfn.TEXTJOIN(" ",TRUE,Employees_Data[[#This Row],[First Name]],Employees_Data[[#This Row],[Last Name]])</f>
        <v>Shilan Ahmad</v>
      </c>
      <c r="E296" s="21" t="s">
        <v>44</v>
      </c>
      <c r="F296" s="23">
        <v>42852</v>
      </c>
      <c r="G296" s="24">
        <f ca="1">DATEDIF(Employees!$F296,TODAY(),"Y")</f>
        <v>9</v>
      </c>
      <c r="H296" s="21" t="s">
        <v>26</v>
      </c>
      <c r="I296" s="21" t="s">
        <v>40</v>
      </c>
      <c r="J296" s="21" t="s">
        <v>83</v>
      </c>
      <c r="K296" s="25">
        <v>1799</v>
      </c>
      <c r="L296" s="25">
        <v>21588</v>
      </c>
      <c r="M296" s="21">
        <v>4.5</v>
      </c>
      <c r="N296" s="21">
        <v>2</v>
      </c>
      <c r="O296" s="21">
        <v>0</v>
      </c>
      <c r="P296" s="21">
        <v>6</v>
      </c>
      <c r="Q296" s="21" t="str">
        <f t="shared" ca="1" si="1"/>
        <v>Not Eligible</v>
      </c>
    </row>
    <row r="297" spans="1:17" ht="15.5" x14ac:dyDescent="0.35">
      <c r="A297" s="20">
        <v>296</v>
      </c>
      <c r="B297" s="21" t="s">
        <v>388</v>
      </c>
      <c r="C297" s="21" t="s">
        <v>490</v>
      </c>
      <c r="D297" s="22" t="str">
        <f>_xlfn.TEXTJOIN(" ",TRUE,Employees_Data[[#This Row],[First Name]],Employees_Data[[#This Row],[Last Name]])</f>
        <v>Hasan Aljasim</v>
      </c>
      <c r="E297" s="21" t="s">
        <v>25</v>
      </c>
      <c r="F297" s="23">
        <v>42879</v>
      </c>
      <c r="G297" s="24">
        <f ca="1">DATEDIF(Employees!$F297,TODAY(),"Y")</f>
        <v>9</v>
      </c>
      <c r="H297" s="21" t="s">
        <v>65</v>
      </c>
      <c r="I297" s="21" t="s">
        <v>27</v>
      </c>
      <c r="J297" s="21" t="s">
        <v>83</v>
      </c>
      <c r="K297" s="25">
        <v>2082</v>
      </c>
      <c r="L297" s="25">
        <v>24984</v>
      </c>
      <c r="M297" s="21">
        <v>3</v>
      </c>
      <c r="N297" s="21">
        <v>0</v>
      </c>
      <c r="O297" s="21">
        <v>0</v>
      </c>
      <c r="P297" s="21">
        <v>1</v>
      </c>
      <c r="Q297" s="21" t="str">
        <f t="shared" ca="1" si="1"/>
        <v>Not Eligible</v>
      </c>
    </row>
    <row r="298" spans="1:17" ht="15.5" x14ac:dyDescent="0.35">
      <c r="A298" s="20">
        <v>297</v>
      </c>
      <c r="B298" s="21" t="s">
        <v>311</v>
      </c>
      <c r="C298" s="21" t="s">
        <v>141</v>
      </c>
      <c r="D298" s="22" t="str">
        <f>_xlfn.TEXTJOIN(" ",TRUE,Employees_Data[[#This Row],[First Name]],Employees_Data[[#This Row],[Last Name]])</f>
        <v>Khalil Salam</v>
      </c>
      <c r="E298" s="21" t="s">
        <v>25</v>
      </c>
      <c r="F298" s="23">
        <v>42605</v>
      </c>
      <c r="G298" s="24">
        <f ca="1">DATEDIF(Employees!$F298,TODAY(),"Y")</f>
        <v>10</v>
      </c>
      <c r="H298" s="21" t="s">
        <v>140</v>
      </c>
      <c r="I298" s="21" t="s">
        <v>53</v>
      </c>
      <c r="J298" s="21" t="s">
        <v>60</v>
      </c>
      <c r="K298" s="25">
        <v>1490</v>
      </c>
      <c r="L298" s="25">
        <v>17880</v>
      </c>
      <c r="M298" s="21">
        <v>4.5</v>
      </c>
      <c r="N298" s="21">
        <v>0</v>
      </c>
      <c r="O298" s="21">
        <v>2</v>
      </c>
      <c r="P298" s="21">
        <v>6</v>
      </c>
      <c r="Q298" s="21" t="str">
        <f t="shared" ca="1" si="1"/>
        <v>Not Eligible</v>
      </c>
    </row>
    <row r="299" spans="1:17" ht="15.5" x14ac:dyDescent="0.35">
      <c r="A299" s="20">
        <v>298</v>
      </c>
      <c r="B299" s="21" t="s">
        <v>321</v>
      </c>
      <c r="C299" s="21" t="s">
        <v>491</v>
      </c>
      <c r="D299" s="22" t="str">
        <f>_xlfn.TEXTJOIN(" ",TRUE,Employees_Data[[#This Row],[First Name]],Employees_Data[[#This Row],[Last Name]])</f>
        <v>Majd Abuhamd</v>
      </c>
      <c r="E299" s="21" t="s">
        <v>44</v>
      </c>
      <c r="F299" s="23">
        <v>43905</v>
      </c>
      <c r="G299" s="24">
        <f ca="1">DATEDIF(Employees!$F299,TODAY(),"Y")</f>
        <v>6</v>
      </c>
      <c r="H299" s="21" t="s">
        <v>65</v>
      </c>
      <c r="I299" s="21" t="s">
        <v>53</v>
      </c>
      <c r="J299" s="21" t="s">
        <v>60</v>
      </c>
      <c r="K299" s="25">
        <v>2042</v>
      </c>
      <c r="L299" s="25">
        <v>24504</v>
      </c>
      <c r="M299" s="21">
        <v>4.5</v>
      </c>
      <c r="N299" s="21">
        <v>0</v>
      </c>
      <c r="O299" s="21">
        <v>0</v>
      </c>
      <c r="P299" s="21">
        <v>10</v>
      </c>
      <c r="Q299" s="21" t="str">
        <f t="shared" ca="1" si="1"/>
        <v>Not Eligible</v>
      </c>
    </row>
    <row r="300" spans="1:17" ht="15.5" x14ac:dyDescent="0.35">
      <c r="A300" s="20">
        <v>299</v>
      </c>
      <c r="B300" s="21" t="s">
        <v>138</v>
      </c>
      <c r="C300" s="21" t="s">
        <v>492</v>
      </c>
      <c r="D300" s="22" t="str">
        <f>_xlfn.TEXTJOIN(" ",TRUE,Employees_Data[[#This Row],[First Name]],Employees_Data[[#This Row],[Last Name]])</f>
        <v>Sami Qareush</v>
      </c>
      <c r="E300" s="21" t="s">
        <v>25</v>
      </c>
      <c r="F300" s="23">
        <v>42492</v>
      </c>
      <c r="G300" s="24">
        <f ca="1">DATEDIF(Employees!$F300,TODAY(),"Y")</f>
        <v>10</v>
      </c>
      <c r="H300" s="21" t="s">
        <v>81</v>
      </c>
      <c r="I300" s="21" t="s">
        <v>71</v>
      </c>
      <c r="J300" s="21" t="s">
        <v>54</v>
      </c>
      <c r="K300" s="25">
        <v>985</v>
      </c>
      <c r="L300" s="25">
        <v>11820</v>
      </c>
      <c r="M300" s="21">
        <v>5</v>
      </c>
      <c r="N300" s="21">
        <v>1</v>
      </c>
      <c r="O300" s="21">
        <v>0</v>
      </c>
      <c r="P300" s="21">
        <v>5</v>
      </c>
      <c r="Q300" s="21" t="str">
        <f t="shared" ca="1" si="1"/>
        <v>Not Eligible</v>
      </c>
    </row>
    <row r="301" spans="1:17" ht="15.5" x14ac:dyDescent="0.35">
      <c r="A301" s="20">
        <v>300</v>
      </c>
      <c r="B301" s="21" t="s">
        <v>121</v>
      </c>
      <c r="C301" s="21" t="s">
        <v>493</v>
      </c>
      <c r="D301" s="22" t="str">
        <f>_xlfn.TEXTJOIN(" ",TRUE,Employees_Data[[#This Row],[First Name]],Employees_Data[[#This Row],[Last Name]])</f>
        <v>Rima Jaridiun</v>
      </c>
      <c r="E301" s="21" t="s">
        <v>44</v>
      </c>
      <c r="F301" s="23">
        <v>42860</v>
      </c>
      <c r="G301" s="24">
        <f ca="1">DATEDIF(Employees!$F301,TODAY(),"Y")</f>
        <v>9</v>
      </c>
      <c r="H301" s="21" t="s">
        <v>63</v>
      </c>
      <c r="I301" s="21" t="s">
        <v>27</v>
      </c>
      <c r="J301" s="21" t="s">
        <v>60</v>
      </c>
      <c r="K301" s="25">
        <v>1988</v>
      </c>
      <c r="L301" s="25">
        <v>23856</v>
      </c>
      <c r="M301" s="21">
        <v>3</v>
      </c>
      <c r="N301" s="21">
        <v>0</v>
      </c>
      <c r="O301" s="21">
        <v>0</v>
      </c>
      <c r="P301" s="21">
        <v>7</v>
      </c>
      <c r="Q301" s="21" t="str">
        <f t="shared" ca="1" si="1"/>
        <v>Not Eligible</v>
      </c>
    </row>
    <row r="302" spans="1:17" ht="15.5" x14ac:dyDescent="0.35">
      <c r="A302" s="20">
        <v>301</v>
      </c>
      <c r="B302" s="21" t="s">
        <v>61</v>
      </c>
      <c r="C302" s="21" t="s">
        <v>494</v>
      </c>
      <c r="D302" s="22" t="str">
        <f>_xlfn.TEXTJOIN(" ",TRUE,Employees_Data[[#This Row],[First Name]],Employees_Data[[#This Row],[Last Name]])</f>
        <v>Iin Alhumwi</v>
      </c>
      <c r="E302" s="21" t="s">
        <v>44</v>
      </c>
      <c r="F302" s="23">
        <v>43286</v>
      </c>
      <c r="G302" s="24">
        <f ca="1">DATEDIF(Employees!$F302,TODAY(),"Y")</f>
        <v>8</v>
      </c>
      <c r="H302" s="21" t="s">
        <v>65</v>
      </c>
      <c r="I302" s="21" t="s">
        <v>40</v>
      </c>
      <c r="J302" s="21" t="s">
        <v>83</v>
      </c>
      <c r="K302" s="25">
        <v>1545</v>
      </c>
      <c r="L302" s="25">
        <v>18540</v>
      </c>
      <c r="M302" s="21">
        <v>5</v>
      </c>
      <c r="N302" s="21">
        <v>1</v>
      </c>
      <c r="O302" s="21">
        <v>0</v>
      </c>
      <c r="P302" s="21">
        <v>1</v>
      </c>
      <c r="Q302" s="21" t="str">
        <f t="shared" ca="1" si="1"/>
        <v>Not Eligible</v>
      </c>
    </row>
    <row r="303" spans="1:17" ht="15.5" x14ac:dyDescent="0.35">
      <c r="A303" s="20">
        <v>302</v>
      </c>
      <c r="B303" s="21" t="s">
        <v>495</v>
      </c>
      <c r="C303" s="21" t="s">
        <v>496</v>
      </c>
      <c r="D303" s="22" t="str">
        <f>_xlfn.TEXTJOIN(" ",TRUE,Employees_Data[[#This Row],[First Name]],Employees_Data[[#This Row],[Last Name]])</f>
        <v>Akthum Eibdalbaqi</v>
      </c>
      <c r="E303" s="21" t="s">
        <v>25</v>
      </c>
      <c r="F303" s="23">
        <v>44016</v>
      </c>
      <c r="G303" s="24">
        <f ca="1">DATEDIF(Employees!$F303,TODAY(),"Y")</f>
        <v>6</v>
      </c>
      <c r="H303" s="21" t="s">
        <v>98</v>
      </c>
      <c r="I303" s="21" t="s">
        <v>27</v>
      </c>
      <c r="J303" s="21" t="s">
        <v>54</v>
      </c>
      <c r="K303" s="25">
        <v>2637</v>
      </c>
      <c r="L303" s="25">
        <v>31644</v>
      </c>
      <c r="M303" s="21">
        <v>5</v>
      </c>
      <c r="N303" s="21">
        <v>0</v>
      </c>
      <c r="O303" s="21">
        <v>0</v>
      </c>
      <c r="P303" s="21">
        <v>50</v>
      </c>
      <c r="Q303" s="21" t="str">
        <f t="shared" ca="1" si="1"/>
        <v>Not Eligible</v>
      </c>
    </row>
    <row r="304" spans="1:17" ht="15.5" x14ac:dyDescent="0.35">
      <c r="A304" s="20">
        <v>303</v>
      </c>
      <c r="B304" s="21" t="s">
        <v>57</v>
      </c>
      <c r="C304" s="21" t="s">
        <v>497</v>
      </c>
      <c r="D304" s="22" t="str">
        <f>_xlfn.TEXTJOIN(" ",TRUE,Employees_Data[[#This Row],[First Name]],Employees_Data[[#This Row],[Last Name]])</f>
        <v>Muhamad Almurashihi</v>
      </c>
      <c r="E304" s="21" t="s">
        <v>25</v>
      </c>
      <c r="F304" s="23">
        <v>43810</v>
      </c>
      <c r="G304" s="24">
        <f ca="1">DATEDIF(Employees!$F304,TODAY(),"Y")</f>
        <v>6</v>
      </c>
      <c r="H304" s="21" t="s">
        <v>52</v>
      </c>
      <c r="I304" s="21" t="s">
        <v>40</v>
      </c>
      <c r="J304" s="21" t="s">
        <v>60</v>
      </c>
      <c r="K304" s="25">
        <v>1385</v>
      </c>
      <c r="L304" s="25">
        <v>16620</v>
      </c>
      <c r="M304" s="21">
        <v>4.5</v>
      </c>
      <c r="N304" s="21">
        <v>0</v>
      </c>
      <c r="O304" s="21">
        <v>0</v>
      </c>
      <c r="P304" s="21">
        <v>6</v>
      </c>
      <c r="Q304" s="21" t="str">
        <f t="shared" ca="1" si="1"/>
        <v>Not Eligible</v>
      </c>
    </row>
    <row r="305" spans="1:17" ht="15.5" x14ac:dyDescent="0.35">
      <c r="A305" s="20">
        <v>304</v>
      </c>
      <c r="B305" s="21" t="s">
        <v>34</v>
      </c>
      <c r="C305" s="21" t="s">
        <v>498</v>
      </c>
      <c r="D305" s="22" t="str">
        <f>_xlfn.TEXTJOIN(" ",TRUE,Employees_Data[[#This Row],[First Name]],Employees_Data[[#This Row],[Last Name]])</f>
        <v>Batual Abu Fakhar</v>
      </c>
      <c r="E305" s="21" t="s">
        <v>44</v>
      </c>
      <c r="F305" s="23">
        <v>43136</v>
      </c>
      <c r="G305" s="24">
        <f ca="1">DATEDIF(Employees!$F305,TODAY(),"Y")</f>
        <v>8</v>
      </c>
      <c r="H305" s="21" t="s">
        <v>52</v>
      </c>
      <c r="I305" s="21" t="s">
        <v>53</v>
      </c>
      <c r="J305" s="21" t="s">
        <v>83</v>
      </c>
      <c r="K305" s="25">
        <v>2468</v>
      </c>
      <c r="L305" s="25">
        <v>29616</v>
      </c>
      <c r="M305" s="21">
        <v>1</v>
      </c>
      <c r="N305" s="21">
        <v>4</v>
      </c>
      <c r="O305" s="21">
        <v>0</v>
      </c>
      <c r="P305" s="21">
        <v>3</v>
      </c>
      <c r="Q305" s="21" t="str">
        <f t="shared" ca="1" si="1"/>
        <v>Not Eligible</v>
      </c>
    </row>
    <row r="306" spans="1:17" ht="15.5" x14ac:dyDescent="0.35">
      <c r="A306" s="20">
        <v>305</v>
      </c>
      <c r="B306" s="21" t="s">
        <v>499</v>
      </c>
      <c r="C306" s="21" t="s">
        <v>500</v>
      </c>
      <c r="D306" s="22" t="str">
        <f>_xlfn.TEXTJOIN(" ",TRUE,Employees_Data[[#This Row],[First Name]],Employees_Data[[#This Row],[Last Name]])</f>
        <v>Rinah Alkhuriu</v>
      </c>
      <c r="E306" s="21" t="s">
        <v>44</v>
      </c>
      <c r="F306" s="23">
        <v>43280</v>
      </c>
      <c r="G306" s="24">
        <f ca="1">DATEDIF(Employees!$F306,TODAY(),"Y")</f>
        <v>8</v>
      </c>
      <c r="H306" s="21" t="s">
        <v>110</v>
      </c>
      <c r="I306" s="21" t="s">
        <v>71</v>
      </c>
      <c r="J306" s="21" t="s">
        <v>54</v>
      </c>
      <c r="K306" s="25">
        <v>2098</v>
      </c>
      <c r="L306" s="25">
        <v>25176</v>
      </c>
      <c r="M306" s="21">
        <v>4.5</v>
      </c>
      <c r="N306" s="21">
        <v>0</v>
      </c>
      <c r="O306" s="21">
        <v>0</v>
      </c>
      <c r="P306" s="21">
        <v>3</v>
      </c>
      <c r="Q306" s="21" t="str">
        <f t="shared" ca="1" si="1"/>
        <v>Not Eligible</v>
      </c>
    </row>
    <row r="307" spans="1:17" ht="15.5" x14ac:dyDescent="0.35">
      <c r="A307" s="20">
        <v>306</v>
      </c>
      <c r="B307" s="21" t="s">
        <v>57</v>
      </c>
      <c r="C307" s="21" t="s">
        <v>501</v>
      </c>
      <c r="D307" s="22" t="str">
        <f>_xlfn.TEXTJOIN(" ",TRUE,Employees_Data[[#This Row],[First Name]],Employees_Data[[#This Row],[Last Name]])</f>
        <v>Muhamad Alsaqaraq</v>
      </c>
      <c r="E307" s="21" t="s">
        <v>25</v>
      </c>
      <c r="F307" s="23">
        <v>43607</v>
      </c>
      <c r="G307" s="24">
        <f ca="1">DATEDIF(Employees!$F307,TODAY(),"Y")</f>
        <v>7</v>
      </c>
      <c r="H307" s="21" t="s">
        <v>81</v>
      </c>
      <c r="I307" s="21" t="s">
        <v>53</v>
      </c>
      <c r="J307" s="21" t="s">
        <v>54</v>
      </c>
      <c r="K307" s="25">
        <v>2302</v>
      </c>
      <c r="L307" s="25">
        <v>27624</v>
      </c>
      <c r="M307" s="21">
        <v>3</v>
      </c>
      <c r="N307" s="21">
        <v>6</v>
      </c>
      <c r="O307" s="21">
        <v>0</v>
      </c>
      <c r="P307" s="21">
        <v>6</v>
      </c>
      <c r="Q307" s="21" t="str">
        <f t="shared" ca="1" si="1"/>
        <v>Not Eligible</v>
      </c>
    </row>
    <row r="308" spans="1:17" ht="15.5" x14ac:dyDescent="0.35">
      <c r="A308" s="20">
        <v>307</v>
      </c>
      <c r="B308" s="21" t="s">
        <v>346</v>
      </c>
      <c r="C308" s="21" t="s">
        <v>502</v>
      </c>
      <c r="D308" s="22" t="str">
        <f>_xlfn.TEXTJOIN(" ",TRUE,Employees_Data[[#This Row],[First Name]],Employees_Data[[#This Row],[Last Name]])</f>
        <v>Diea Sharina</v>
      </c>
      <c r="E308" s="21" t="s">
        <v>25</v>
      </c>
      <c r="F308" s="23">
        <v>43565</v>
      </c>
      <c r="G308" s="24">
        <f ca="1">DATEDIF(Employees!$F308,TODAY(),"Y")</f>
        <v>7</v>
      </c>
      <c r="H308" s="21" t="s">
        <v>76</v>
      </c>
      <c r="I308" s="21" t="s">
        <v>27</v>
      </c>
      <c r="J308" s="21" t="s">
        <v>54</v>
      </c>
      <c r="K308" s="25">
        <v>1623</v>
      </c>
      <c r="L308" s="25">
        <v>19476</v>
      </c>
      <c r="M308" s="21">
        <v>1</v>
      </c>
      <c r="N308" s="21">
        <v>6</v>
      </c>
      <c r="O308" s="21">
        <v>0</v>
      </c>
      <c r="P308" s="21">
        <v>4</v>
      </c>
      <c r="Q308" s="21" t="str">
        <f t="shared" ca="1" si="1"/>
        <v>Not Eligible</v>
      </c>
    </row>
    <row r="309" spans="1:17" ht="15.5" x14ac:dyDescent="0.35">
      <c r="A309" s="20">
        <v>308</v>
      </c>
      <c r="B309" s="21" t="s">
        <v>503</v>
      </c>
      <c r="C309" s="21" t="s">
        <v>504</v>
      </c>
      <c r="D309" s="22" t="str">
        <f>_xlfn.TEXTJOIN(" ",TRUE,Employees_Data[[#This Row],[First Name]],Employees_Data[[#This Row],[Last Name]])</f>
        <v>Jablah Alsulayman</v>
      </c>
      <c r="E309" s="21" t="s">
        <v>44</v>
      </c>
      <c r="F309" s="23">
        <v>43537</v>
      </c>
      <c r="G309" s="24">
        <f ca="1">DATEDIF(Employees!$F309,TODAY(),"Y")</f>
        <v>7</v>
      </c>
      <c r="H309" s="21" t="s">
        <v>99</v>
      </c>
      <c r="I309" s="21" t="s">
        <v>315</v>
      </c>
      <c r="J309" s="21" t="s">
        <v>54</v>
      </c>
      <c r="K309" s="25">
        <v>1333</v>
      </c>
      <c r="L309" s="25">
        <v>15996</v>
      </c>
      <c r="M309" s="21">
        <v>3</v>
      </c>
      <c r="N309" s="21">
        <v>1</v>
      </c>
      <c r="O309" s="21">
        <v>6</v>
      </c>
      <c r="P309" s="21">
        <v>10</v>
      </c>
      <c r="Q309" s="21" t="str">
        <f t="shared" ca="1" si="1"/>
        <v>Not Eligible</v>
      </c>
    </row>
    <row r="310" spans="1:17" ht="15.5" x14ac:dyDescent="0.35">
      <c r="A310" s="20">
        <v>309</v>
      </c>
      <c r="B310" s="21" t="s">
        <v>57</v>
      </c>
      <c r="C310" s="21" t="s">
        <v>505</v>
      </c>
      <c r="D310" s="22" t="str">
        <f>_xlfn.TEXTJOIN(" ",TRUE,Employees_Data[[#This Row],[First Name]],Employees_Data[[#This Row],[Last Name]])</f>
        <v>Muhamad Almaghribiu</v>
      </c>
      <c r="E310" s="21" t="s">
        <v>25</v>
      </c>
      <c r="F310" s="23">
        <v>42692</v>
      </c>
      <c r="G310" s="24">
        <f ca="1">DATEDIF(Employees!$F310,TODAY(),"Y")</f>
        <v>9</v>
      </c>
      <c r="H310" s="21" t="s">
        <v>26</v>
      </c>
      <c r="I310" s="21" t="s">
        <v>53</v>
      </c>
      <c r="J310" s="21" t="s">
        <v>54</v>
      </c>
      <c r="K310" s="25">
        <v>1431</v>
      </c>
      <c r="L310" s="25">
        <v>17172</v>
      </c>
      <c r="M310" s="21">
        <v>5</v>
      </c>
      <c r="N310" s="21">
        <v>0</v>
      </c>
      <c r="O310" s="21">
        <v>0</v>
      </c>
      <c r="P310" s="21">
        <v>4</v>
      </c>
      <c r="Q310" s="21" t="str">
        <f t="shared" ca="1" si="1"/>
        <v>Not Eligible</v>
      </c>
    </row>
    <row r="311" spans="1:17" ht="15.5" x14ac:dyDescent="0.35">
      <c r="A311" s="20">
        <v>310</v>
      </c>
      <c r="B311" s="21" t="s">
        <v>506</v>
      </c>
      <c r="C311" s="21" t="s">
        <v>507</v>
      </c>
      <c r="D311" s="22" t="str">
        <f>_xlfn.TEXTJOIN(" ",TRUE,Employees_Data[[#This Row],[First Name]],Employees_Data[[#This Row],[Last Name]])</f>
        <v>Kholoud Khayti</v>
      </c>
      <c r="E311" s="21" t="s">
        <v>44</v>
      </c>
      <c r="F311" s="23">
        <v>43823</v>
      </c>
      <c r="G311" s="24">
        <f ca="1">DATEDIF(Employees!$F311,TODAY(),"Y")</f>
        <v>6</v>
      </c>
      <c r="H311" s="21" t="s">
        <v>52</v>
      </c>
      <c r="I311" s="21" t="s">
        <v>27</v>
      </c>
      <c r="J311" s="21" t="s">
        <v>29</v>
      </c>
      <c r="K311" s="25">
        <v>2527</v>
      </c>
      <c r="L311" s="25">
        <v>30324</v>
      </c>
      <c r="M311" s="21">
        <v>3</v>
      </c>
      <c r="N311" s="21">
        <v>0</v>
      </c>
      <c r="O311" s="21">
        <v>0</v>
      </c>
      <c r="P311" s="21">
        <v>98</v>
      </c>
      <c r="Q311" s="21" t="str">
        <f t="shared" ca="1" si="1"/>
        <v>Eligible</v>
      </c>
    </row>
    <row r="312" spans="1:17" ht="15.5" x14ac:dyDescent="0.35">
      <c r="A312" s="20">
        <v>311</v>
      </c>
      <c r="B312" s="21" t="s">
        <v>330</v>
      </c>
      <c r="C312" s="21" t="s">
        <v>508</v>
      </c>
      <c r="D312" s="22" t="str">
        <f>_xlfn.TEXTJOIN(" ",TRUE,Employees_Data[[#This Row],[First Name]],Employees_Data[[#This Row],[Last Name]])</f>
        <v>Rahaf Jamul</v>
      </c>
      <c r="E312" s="21" t="s">
        <v>44</v>
      </c>
      <c r="F312" s="23">
        <v>42772</v>
      </c>
      <c r="G312" s="24">
        <f ca="1">DATEDIF(Employees!$F312,TODAY(),"Y")</f>
        <v>9</v>
      </c>
      <c r="H312" s="21" t="s">
        <v>52</v>
      </c>
      <c r="I312" s="21" t="s">
        <v>27</v>
      </c>
      <c r="J312" s="21" t="s">
        <v>83</v>
      </c>
      <c r="K312" s="25">
        <v>2631</v>
      </c>
      <c r="L312" s="25">
        <v>31572</v>
      </c>
      <c r="M312" s="21">
        <v>3</v>
      </c>
      <c r="N312" s="21">
        <v>0</v>
      </c>
      <c r="O312" s="21">
        <v>0</v>
      </c>
      <c r="P312" s="21">
        <v>7</v>
      </c>
      <c r="Q312" s="21" t="str">
        <f t="shared" ca="1" si="1"/>
        <v>Not Eligible</v>
      </c>
    </row>
    <row r="313" spans="1:17" ht="15.5" x14ac:dyDescent="0.35">
      <c r="A313" s="20">
        <v>312</v>
      </c>
      <c r="B313" s="21" t="s">
        <v>149</v>
      </c>
      <c r="C313" s="21" t="s">
        <v>509</v>
      </c>
      <c r="D313" s="22" t="str">
        <f>_xlfn.TEXTJOIN(" ",TRUE,Employees_Data[[#This Row],[First Name]],Employees_Data[[#This Row],[Last Name]])</f>
        <v>Faras Alrahil</v>
      </c>
      <c r="E313" s="21" t="s">
        <v>25</v>
      </c>
      <c r="F313" s="23">
        <v>43171</v>
      </c>
      <c r="G313" s="24">
        <f ca="1">DATEDIF(Employees!$F313,TODAY(),"Y")</f>
        <v>8</v>
      </c>
      <c r="H313" s="21" t="s">
        <v>81</v>
      </c>
      <c r="I313" s="21" t="s">
        <v>27</v>
      </c>
      <c r="J313" s="21" t="s">
        <v>29</v>
      </c>
      <c r="K313" s="25">
        <v>1600</v>
      </c>
      <c r="L313" s="25">
        <v>19200</v>
      </c>
      <c r="M313" s="21">
        <v>4.5</v>
      </c>
      <c r="N313" s="21">
        <v>0</v>
      </c>
      <c r="O313" s="21">
        <v>0</v>
      </c>
      <c r="P313" s="21">
        <v>0</v>
      </c>
      <c r="Q313" s="21" t="str">
        <f t="shared" ca="1" si="1"/>
        <v>Not Eligible</v>
      </c>
    </row>
    <row r="314" spans="1:17" ht="15.5" x14ac:dyDescent="0.35">
      <c r="A314" s="20">
        <v>313</v>
      </c>
      <c r="B314" s="21" t="s">
        <v>510</v>
      </c>
      <c r="C314" s="21" t="s">
        <v>511</v>
      </c>
      <c r="D314" s="22" t="str">
        <f>_xlfn.TEXTJOIN(" ",TRUE,Employees_Data[[#This Row],[First Name]],Employees_Data[[#This Row],[Last Name]])</f>
        <v>Abd Alrazzaq Gharah</v>
      </c>
      <c r="E314" s="21" t="s">
        <v>25</v>
      </c>
      <c r="F314" s="23">
        <v>44181</v>
      </c>
      <c r="G314" s="24">
        <f ca="1">DATEDIF(Employees!$F314,TODAY(),"Y")</f>
        <v>5</v>
      </c>
      <c r="H314" s="21" t="s">
        <v>115</v>
      </c>
      <c r="I314" s="21" t="s">
        <v>27</v>
      </c>
      <c r="J314" s="21" t="s">
        <v>54</v>
      </c>
      <c r="K314" s="25">
        <v>2752</v>
      </c>
      <c r="L314" s="25">
        <v>33024</v>
      </c>
      <c r="M314" s="21">
        <v>5</v>
      </c>
      <c r="N314" s="21">
        <v>0</v>
      </c>
      <c r="O314" s="21">
        <v>0</v>
      </c>
      <c r="P314" s="21">
        <v>4</v>
      </c>
      <c r="Q314" s="21" t="str">
        <f t="shared" ca="1" si="1"/>
        <v>Not Eligible</v>
      </c>
    </row>
    <row r="315" spans="1:17" ht="15.5" x14ac:dyDescent="0.35">
      <c r="A315" s="20">
        <v>314</v>
      </c>
      <c r="B315" s="21" t="s">
        <v>82</v>
      </c>
      <c r="C315" s="21" t="s">
        <v>363</v>
      </c>
      <c r="D315" s="22" t="str">
        <f>_xlfn.TEXTJOIN(" ",TRUE,Employees_Data[[#This Row],[First Name]],Employees_Data[[#This Row],[Last Name]])</f>
        <v>Alaa Saed</v>
      </c>
      <c r="E315" s="21" t="s">
        <v>44</v>
      </c>
      <c r="F315" s="23">
        <v>43998</v>
      </c>
      <c r="G315" s="24">
        <f ca="1">DATEDIF(Employees!$F315,TODAY(),"Y")</f>
        <v>6</v>
      </c>
      <c r="H315" s="21" t="s">
        <v>26</v>
      </c>
      <c r="I315" s="21" t="s">
        <v>27</v>
      </c>
      <c r="J315" s="21" t="s">
        <v>54</v>
      </c>
      <c r="K315" s="25">
        <v>3125</v>
      </c>
      <c r="L315" s="25">
        <v>37500</v>
      </c>
      <c r="M315" s="21">
        <v>5</v>
      </c>
      <c r="N315" s="21">
        <v>0</v>
      </c>
      <c r="O315" s="21">
        <v>0</v>
      </c>
      <c r="P315" s="21">
        <v>5</v>
      </c>
      <c r="Q315" s="21" t="str">
        <f t="shared" ca="1" si="1"/>
        <v>Not Eligible</v>
      </c>
    </row>
    <row r="316" spans="1:17" ht="15.5" x14ac:dyDescent="0.35">
      <c r="A316" s="20">
        <v>315</v>
      </c>
      <c r="B316" s="21" t="s">
        <v>512</v>
      </c>
      <c r="C316" s="21" t="s">
        <v>513</v>
      </c>
      <c r="D316" s="22" t="str">
        <f>_xlfn.TEXTJOIN(" ",TRUE,Employees_Data[[#This Row],[First Name]],Employees_Data[[#This Row],[Last Name]])</f>
        <v>Lylas Shiah</v>
      </c>
      <c r="E316" s="21" t="s">
        <v>44</v>
      </c>
      <c r="F316" s="23">
        <v>43648</v>
      </c>
      <c r="G316" s="24">
        <f ca="1">DATEDIF(Employees!$F316,TODAY(),"Y")</f>
        <v>7</v>
      </c>
      <c r="H316" s="21" t="s">
        <v>73</v>
      </c>
      <c r="I316" s="21" t="s">
        <v>40</v>
      </c>
      <c r="J316" s="21" t="s">
        <v>29</v>
      </c>
      <c r="K316" s="25">
        <v>2091</v>
      </c>
      <c r="L316" s="25">
        <v>25092</v>
      </c>
      <c r="M316" s="21">
        <v>2</v>
      </c>
      <c r="N316" s="21">
        <v>0</v>
      </c>
      <c r="O316" s="21">
        <v>1</v>
      </c>
      <c r="P316" s="21">
        <v>9</v>
      </c>
      <c r="Q316" s="21" t="str">
        <f t="shared" ca="1" si="1"/>
        <v>Not Eligible</v>
      </c>
    </row>
    <row r="317" spans="1:17" ht="15.5" x14ac:dyDescent="0.35">
      <c r="A317" s="20">
        <v>316</v>
      </c>
      <c r="B317" s="21" t="s">
        <v>514</v>
      </c>
      <c r="C317" s="21" t="s">
        <v>515</v>
      </c>
      <c r="D317" s="22" t="str">
        <f>_xlfn.TEXTJOIN(" ",TRUE,Employees_Data[[#This Row],[First Name]],Employees_Data[[#This Row],[Last Name]])</f>
        <v>Kinda Alaqre</v>
      </c>
      <c r="E317" s="21" t="s">
        <v>44</v>
      </c>
      <c r="F317" s="23">
        <v>42726</v>
      </c>
      <c r="G317" s="24">
        <f ca="1">DATEDIF(Employees!$F317,TODAY(),"Y")</f>
        <v>9</v>
      </c>
      <c r="H317" s="21" t="s">
        <v>81</v>
      </c>
      <c r="I317" s="21" t="s">
        <v>53</v>
      </c>
      <c r="J317" s="21" t="s">
        <v>54</v>
      </c>
      <c r="K317" s="25">
        <v>1009</v>
      </c>
      <c r="L317" s="25">
        <v>12108</v>
      </c>
      <c r="M317" s="21">
        <v>4.5</v>
      </c>
      <c r="N317" s="21">
        <v>0</v>
      </c>
      <c r="O317" s="21">
        <v>0</v>
      </c>
      <c r="P317" s="21">
        <v>17</v>
      </c>
      <c r="Q317" s="21" t="str">
        <f t="shared" ca="1" si="1"/>
        <v>Not Eligible</v>
      </c>
    </row>
    <row r="318" spans="1:17" ht="15.5" x14ac:dyDescent="0.35">
      <c r="A318" s="20">
        <v>317</v>
      </c>
      <c r="B318" s="21" t="s">
        <v>57</v>
      </c>
      <c r="C318" s="21" t="s">
        <v>164</v>
      </c>
      <c r="D318" s="22" t="str">
        <f>_xlfn.TEXTJOIN(" ",TRUE,Employees_Data[[#This Row],[First Name]],Employees_Data[[#This Row],[Last Name]])</f>
        <v>Muhamad Almisri</v>
      </c>
      <c r="E318" s="21" t="s">
        <v>25</v>
      </c>
      <c r="F318" s="23">
        <v>44115</v>
      </c>
      <c r="G318" s="24">
        <f ca="1">DATEDIF(Employees!$F318,TODAY(),"Y")</f>
        <v>6</v>
      </c>
      <c r="H318" s="21" t="s">
        <v>26</v>
      </c>
      <c r="I318" s="21" t="s">
        <v>40</v>
      </c>
      <c r="J318" s="21" t="s">
        <v>54</v>
      </c>
      <c r="K318" s="25">
        <v>3443</v>
      </c>
      <c r="L318" s="25">
        <v>41316</v>
      </c>
      <c r="M318" s="21">
        <v>1</v>
      </c>
      <c r="N318" s="21">
        <v>0</v>
      </c>
      <c r="O318" s="21">
        <v>0</v>
      </c>
      <c r="P318" s="21">
        <v>1</v>
      </c>
      <c r="Q318" s="21" t="str">
        <f t="shared" ca="1" si="1"/>
        <v>Not Eligible</v>
      </c>
    </row>
    <row r="319" spans="1:17" ht="15.5" x14ac:dyDescent="0.35">
      <c r="A319" s="20">
        <v>318</v>
      </c>
      <c r="B319" s="21" t="s">
        <v>516</v>
      </c>
      <c r="C319" s="21" t="s">
        <v>517</v>
      </c>
      <c r="D319" s="22" t="str">
        <f>_xlfn.TEXTJOIN(" ",TRUE,Employees_Data[[#This Row],[First Name]],Employees_Data[[#This Row],[Last Name]])</f>
        <v>Dinana Zaydan</v>
      </c>
      <c r="E319" s="21" t="s">
        <v>44</v>
      </c>
      <c r="F319" s="23">
        <v>43182</v>
      </c>
      <c r="G319" s="24">
        <f ca="1">DATEDIF(Employees!$F319,TODAY(),"Y")</f>
        <v>8</v>
      </c>
      <c r="H319" s="21" t="s">
        <v>52</v>
      </c>
      <c r="I319" s="21" t="s">
        <v>71</v>
      </c>
      <c r="J319" s="21" t="s">
        <v>29</v>
      </c>
      <c r="K319" s="25">
        <v>1582</v>
      </c>
      <c r="L319" s="25">
        <v>18984</v>
      </c>
      <c r="M319" s="21">
        <v>4.5</v>
      </c>
      <c r="N319" s="21">
        <v>0</v>
      </c>
      <c r="O319" s="21">
        <v>0</v>
      </c>
      <c r="P319" s="21">
        <v>5</v>
      </c>
      <c r="Q319" s="21" t="str">
        <f t="shared" ca="1" si="1"/>
        <v>Not Eligible</v>
      </c>
    </row>
    <row r="320" spans="1:17" ht="15.5" x14ac:dyDescent="0.35">
      <c r="A320" s="20">
        <v>319</v>
      </c>
      <c r="B320" s="21" t="s">
        <v>518</v>
      </c>
      <c r="C320" s="21" t="s">
        <v>519</v>
      </c>
      <c r="D320" s="22" t="str">
        <f>_xlfn.TEXTJOIN(" ",TRUE,Employees_Data[[#This Row],[First Name]],Employees_Data[[#This Row],[Last Name]])</f>
        <v>Amyrah Mudinih</v>
      </c>
      <c r="E320" s="21" t="s">
        <v>44</v>
      </c>
      <c r="F320" s="23">
        <v>43528</v>
      </c>
      <c r="G320" s="24">
        <f ca="1">DATEDIF(Employees!$F320,TODAY(),"Y")</f>
        <v>7</v>
      </c>
      <c r="H320" s="21" t="s">
        <v>81</v>
      </c>
      <c r="I320" s="21" t="s">
        <v>53</v>
      </c>
      <c r="J320" s="21" t="s">
        <v>60</v>
      </c>
      <c r="K320" s="25">
        <v>2103</v>
      </c>
      <c r="L320" s="25">
        <v>25236</v>
      </c>
      <c r="M320" s="21">
        <v>5</v>
      </c>
      <c r="N320" s="21">
        <v>1</v>
      </c>
      <c r="O320" s="21">
        <v>1</v>
      </c>
      <c r="P320" s="21">
        <v>2</v>
      </c>
      <c r="Q320" s="21" t="str">
        <f t="shared" ca="1" si="1"/>
        <v>Not Eligible</v>
      </c>
    </row>
    <row r="321" spans="1:17" ht="15.5" x14ac:dyDescent="0.35">
      <c r="A321" s="20">
        <v>320</v>
      </c>
      <c r="B321" s="21" t="s">
        <v>520</v>
      </c>
      <c r="C321" s="21" t="s">
        <v>521</v>
      </c>
      <c r="D321" s="22" t="str">
        <f>_xlfn.TEXTJOIN(" ",TRUE,Employees_Data[[#This Row],[First Name]],Employees_Data[[#This Row],[Last Name]])</f>
        <v>Safa AlAhmar</v>
      </c>
      <c r="E321" s="21" t="s">
        <v>44</v>
      </c>
      <c r="F321" s="23">
        <v>43106</v>
      </c>
      <c r="G321" s="24">
        <f ca="1">DATEDIF(Employees!$F321,TODAY(),"Y")</f>
        <v>8</v>
      </c>
      <c r="H321" s="21" t="s">
        <v>115</v>
      </c>
      <c r="I321" s="21" t="s">
        <v>27</v>
      </c>
      <c r="J321" s="21" t="s">
        <v>54</v>
      </c>
      <c r="K321" s="25">
        <v>3108</v>
      </c>
      <c r="L321" s="25">
        <v>37296</v>
      </c>
      <c r="M321" s="21">
        <v>1</v>
      </c>
      <c r="N321" s="21">
        <v>0</v>
      </c>
      <c r="O321" s="21">
        <v>0</v>
      </c>
      <c r="P321" s="21">
        <v>45</v>
      </c>
      <c r="Q321" s="21" t="str">
        <f t="shared" ca="1" si="1"/>
        <v>Not Eligible</v>
      </c>
    </row>
    <row r="322" spans="1:17" ht="15.5" x14ac:dyDescent="0.35">
      <c r="A322" s="20">
        <v>321</v>
      </c>
      <c r="B322" s="21" t="s">
        <v>55</v>
      </c>
      <c r="C322" s="21" t="s">
        <v>522</v>
      </c>
      <c r="D322" s="22" t="str">
        <f>_xlfn.TEXTJOIN(" ",TRUE,Employees_Data[[#This Row],[First Name]],Employees_Data[[#This Row],[Last Name]])</f>
        <v>Ahmad Eurman</v>
      </c>
      <c r="E322" s="21" t="s">
        <v>25</v>
      </c>
      <c r="F322" s="23">
        <v>42601</v>
      </c>
      <c r="G322" s="24">
        <f ca="1">DATEDIF(Employees!$F322,TODAY(),"Y")</f>
        <v>10</v>
      </c>
      <c r="H322" s="21" t="s">
        <v>52</v>
      </c>
      <c r="I322" s="21" t="s">
        <v>27</v>
      </c>
      <c r="J322" s="21" t="s">
        <v>54</v>
      </c>
      <c r="K322" s="25">
        <v>1810</v>
      </c>
      <c r="L322" s="25">
        <v>21720</v>
      </c>
      <c r="M322" s="21">
        <v>3</v>
      </c>
      <c r="N322" s="21">
        <v>0</v>
      </c>
      <c r="O322" s="21">
        <v>0</v>
      </c>
      <c r="P322" s="21">
        <v>5</v>
      </c>
      <c r="Q322" s="21" t="str">
        <f t="shared" ca="1" si="1"/>
        <v>Not Eligible</v>
      </c>
    </row>
    <row r="323" spans="1:17" ht="15.5" x14ac:dyDescent="0.35">
      <c r="A323" s="20">
        <v>322</v>
      </c>
      <c r="B323" s="21" t="s">
        <v>523</v>
      </c>
      <c r="C323" s="21" t="s">
        <v>524</v>
      </c>
      <c r="D323" s="22" t="str">
        <f>_xlfn.TEXTJOIN(" ",TRUE,Employees_Data[[#This Row],[First Name]],Employees_Data[[#This Row],[Last Name]])</f>
        <v>Abd Allah Almawsiliu</v>
      </c>
      <c r="E323" s="21" t="s">
        <v>25</v>
      </c>
      <c r="F323" s="23">
        <v>43322</v>
      </c>
      <c r="G323" s="24">
        <f ca="1">DATEDIF(Employees!$F323,TODAY(),"Y")</f>
        <v>8</v>
      </c>
      <c r="H323" s="21" t="s">
        <v>140</v>
      </c>
      <c r="I323" s="21" t="s">
        <v>40</v>
      </c>
      <c r="J323" s="21" t="s">
        <v>29</v>
      </c>
      <c r="K323" s="25">
        <v>2312</v>
      </c>
      <c r="L323" s="25">
        <v>27744</v>
      </c>
      <c r="M323" s="21">
        <v>3</v>
      </c>
      <c r="N323" s="21">
        <v>3</v>
      </c>
      <c r="O323" s="21">
        <v>0</v>
      </c>
      <c r="P323" s="21">
        <v>10</v>
      </c>
      <c r="Q323" s="21" t="str">
        <f t="shared" ca="1" si="1"/>
        <v>Not Eligible</v>
      </c>
    </row>
    <row r="324" spans="1:17" ht="15.5" x14ac:dyDescent="0.35">
      <c r="A324" s="20">
        <v>323</v>
      </c>
      <c r="B324" s="21" t="s">
        <v>321</v>
      </c>
      <c r="C324" s="21" t="s">
        <v>393</v>
      </c>
      <c r="D324" s="22" t="str">
        <f>_xlfn.TEXTJOIN(" ",TRUE,Employees_Data[[#This Row],[First Name]],Employees_Data[[#This Row],[Last Name]])</f>
        <v>Majd Eisaa</v>
      </c>
      <c r="E324" s="21" t="s">
        <v>44</v>
      </c>
      <c r="F324" s="23">
        <v>43993</v>
      </c>
      <c r="G324" s="24">
        <f ca="1">DATEDIF(Employees!$F324,TODAY(),"Y")</f>
        <v>6</v>
      </c>
      <c r="H324" s="21" t="s">
        <v>76</v>
      </c>
      <c r="I324" s="21" t="s">
        <v>27</v>
      </c>
      <c r="J324" s="21" t="s">
        <v>54</v>
      </c>
      <c r="K324" s="25">
        <v>2783</v>
      </c>
      <c r="L324" s="25">
        <v>33396</v>
      </c>
      <c r="M324" s="21">
        <v>1</v>
      </c>
      <c r="N324" s="21">
        <v>2</v>
      </c>
      <c r="O324" s="21">
        <v>0</v>
      </c>
      <c r="P324" s="21">
        <v>15</v>
      </c>
      <c r="Q324" s="21" t="str">
        <f t="shared" ca="1" si="1"/>
        <v>Not Eligible</v>
      </c>
    </row>
    <row r="325" spans="1:17" ht="15.5" x14ac:dyDescent="0.35">
      <c r="A325" s="20">
        <v>324</v>
      </c>
      <c r="B325" s="21" t="s">
        <v>57</v>
      </c>
      <c r="C325" s="21" t="s">
        <v>525</v>
      </c>
      <c r="D325" s="22" t="str">
        <f>_xlfn.TEXTJOIN(" ",TRUE,Employees_Data[[#This Row],[First Name]],Employees_Data[[#This Row],[Last Name]])</f>
        <v>Muhamad Salhany</v>
      </c>
      <c r="E325" s="21" t="s">
        <v>25</v>
      </c>
      <c r="F325" s="23">
        <v>44167</v>
      </c>
      <c r="G325" s="24">
        <f ca="1">DATEDIF(Employees!$F325,TODAY(),"Y")</f>
        <v>5</v>
      </c>
      <c r="H325" s="21" t="s">
        <v>26</v>
      </c>
      <c r="I325" s="21" t="s">
        <v>27</v>
      </c>
      <c r="J325" s="21" t="s">
        <v>54</v>
      </c>
      <c r="K325" s="25">
        <v>3428</v>
      </c>
      <c r="L325" s="25">
        <v>41136</v>
      </c>
      <c r="M325" s="21">
        <v>3</v>
      </c>
      <c r="N325" s="21">
        <v>5</v>
      </c>
      <c r="O325" s="21">
        <v>0</v>
      </c>
      <c r="P325" s="21">
        <v>10</v>
      </c>
      <c r="Q325" s="21" t="str">
        <f t="shared" ca="1" si="1"/>
        <v>Not Eligible</v>
      </c>
    </row>
    <row r="326" spans="1:17" ht="15.5" x14ac:dyDescent="0.35">
      <c r="A326" s="20">
        <v>325</v>
      </c>
      <c r="B326" s="21" t="s">
        <v>526</v>
      </c>
      <c r="C326" s="21" t="s">
        <v>219</v>
      </c>
      <c r="D326" s="22" t="str">
        <f>_xlfn.TEXTJOIN(" ",TRUE,Employees_Data[[#This Row],[First Name]],Employees_Data[[#This Row],[Last Name]])</f>
        <v>Ashraf Aleid</v>
      </c>
      <c r="E326" s="21" t="s">
        <v>25</v>
      </c>
      <c r="F326" s="23">
        <v>43136</v>
      </c>
      <c r="G326" s="24">
        <f ca="1">DATEDIF(Employees!$F326,TODAY(),"Y")</f>
        <v>8</v>
      </c>
      <c r="H326" s="21" t="s">
        <v>65</v>
      </c>
      <c r="I326" s="21" t="s">
        <v>27</v>
      </c>
      <c r="J326" s="21" t="s">
        <v>60</v>
      </c>
      <c r="K326" s="25">
        <v>3450</v>
      </c>
      <c r="L326" s="25">
        <v>41400</v>
      </c>
      <c r="M326" s="21">
        <v>2</v>
      </c>
      <c r="N326" s="21">
        <v>0</v>
      </c>
      <c r="O326" s="21">
        <v>4</v>
      </c>
      <c r="P326" s="21">
        <v>9</v>
      </c>
      <c r="Q326" s="21" t="str">
        <f t="shared" ca="1" si="1"/>
        <v>Not Eligible</v>
      </c>
    </row>
    <row r="327" spans="1:17" ht="15.5" x14ac:dyDescent="0.35">
      <c r="A327" s="20">
        <v>326</v>
      </c>
      <c r="B327" s="21" t="s">
        <v>57</v>
      </c>
      <c r="C327" s="21" t="s">
        <v>527</v>
      </c>
      <c r="D327" s="22" t="str">
        <f>_xlfn.TEXTJOIN(" ",TRUE,Employees_Data[[#This Row],[First Name]],Employees_Data[[#This Row],[Last Name]])</f>
        <v>Muhamad Shadi Alghazy</v>
      </c>
      <c r="E327" s="21" t="s">
        <v>25</v>
      </c>
      <c r="F327" s="23">
        <v>43362</v>
      </c>
      <c r="G327" s="24">
        <f ca="1">DATEDIF(Employees!$F327,TODAY(),"Y")</f>
        <v>8</v>
      </c>
      <c r="H327" s="21" t="s">
        <v>372</v>
      </c>
      <c r="I327" s="21" t="s">
        <v>53</v>
      </c>
      <c r="J327" s="21" t="s">
        <v>54</v>
      </c>
      <c r="K327" s="25">
        <v>1226</v>
      </c>
      <c r="L327" s="25">
        <v>14712</v>
      </c>
      <c r="M327" s="21">
        <v>2</v>
      </c>
      <c r="N327" s="21">
        <v>6</v>
      </c>
      <c r="O327" s="21">
        <v>5</v>
      </c>
      <c r="P327" s="21">
        <v>4</v>
      </c>
      <c r="Q327" s="21" t="str">
        <f t="shared" ca="1" si="1"/>
        <v>Not Eligible</v>
      </c>
    </row>
    <row r="328" spans="1:17" ht="15.5" x14ac:dyDescent="0.35">
      <c r="A328" s="20">
        <v>327</v>
      </c>
      <c r="B328" s="21" t="s">
        <v>57</v>
      </c>
      <c r="C328" s="21" t="s">
        <v>86</v>
      </c>
      <c r="D328" s="22" t="str">
        <f>_xlfn.TEXTJOIN(" ",TRUE,Employees_Data[[#This Row],[First Name]],Employees_Data[[#This Row],[Last Name]])</f>
        <v>Muhamad Husayn</v>
      </c>
      <c r="E328" s="21" t="s">
        <v>25</v>
      </c>
      <c r="F328" s="23">
        <v>43707</v>
      </c>
      <c r="G328" s="24">
        <f ca="1">DATEDIF(Employees!$F328,TODAY(),"Y")</f>
        <v>7</v>
      </c>
      <c r="H328" s="21" t="s">
        <v>99</v>
      </c>
      <c r="I328" s="21" t="s">
        <v>27</v>
      </c>
      <c r="J328" s="21" t="s">
        <v>60</v>
      </c>
      <c r="K328" s="25">
        <v>3219</v>
      </c>
      <c r="L328" s="25">
        <v>38628</v>
      </c>
      <c r="M328" s="21">
        <v>3</v>
      </c>
      <c r="N328" s="21">
        <v>0</v>
      </c>
      <c r="O328" s="21">
        <v>0</v>
      </c>
      <c r="P328" s="21">
        <v>5</v>
      </c>
      <c r="Q328" s="21" t="str">
        <f t="shared" ca="1" si="1"/>
        <v>Not Eligible</v>
      </c>
    </row>
    <row r="329" spans="1:17" ht="15.5" x14ac:dyDescent="0.35">
      <c r="A329" s="20">
        <v>328</v>
      </c>
      <c r="B329" s="21" t="s">
        <v>191</v>
      </c>
      <c r="C329" s="21" t="s">
        <v>528</v>
      </c>
      <c r="D329" s="22" t="str">
        <f>_xlfn.TEXTJOIN(" ",TRUE,Employees_Data[[#This Row],[First Name]],Employees_Data[[#This Row],[Last Name]])</f>
        <v>Mazin Bytar</v>
      </c>
      <c r="E329" s="21" t="s">
        <v>25</v>
      </c>
      <c r="F329" s="23">
        <v>43574</v>
      </c>
      <c r="G329" s="24">
        <f ca="1">DATEDIF(Employees!$F329,TODAY(),"Y")</f>
        <v>7</v>
      </c>
      <c r="H329" s="21" t="s">
        <v>26</v>
      </c>
      <c r="I329" s="21" t="s">
        <v>40</v>
      </c>
      <c r="J329" s="21" t="s">
        <v>54</v>
      </c>
      <c r="K329" s="25">
        <v>2060</v>
      </c>
      <c r="L329" s="25">
        <v>24720</v>
      </c>
      <c r="M329" s="21">
        <v>5</v>
      </c>
      <c r="N329" s="21">
        <v>0</v>
      </c>
      <c r="O329" s="21">
        <v>0</v>
      </c>
      <c r="P329" s="21">
        <v>14</v>
      </c>
      <c r="Q329" s="21" t="str">
        <f t="shared" ca="1" si="1"/>
        <v>Not Eligible</v>
      </c>
    </row>
    <row r="330" spans="1:17" ht="15.5" x14ac:dyDescent="0.35">
      <c r="A330" s="20">
        <v>329</v>
      </c>
      <c r="B330" s="21" t="s">
        <v>61</v>
      </c>
      <c r="C330" s="21" t="s">
        <v>529</v>
      </c>
      <c r="D330" s="22" t="str">
        <f>_xlfn.TEXTJOIN(" ",TRUE,Employees_Data[[#This Row],[First Name]],Employees_Data[[#This Row],[Last Name]])</f>
        <v>Iin Farahat</v>
      </c>
      <c r="E330" s="21" t="s">
        <v>44</v>
      </c>
      <c r="F330" s="23">
        <v>43483</v>
      </c>
      <c r="G330" s="24">
        <f ca="1">DATEDIF(Employees!$F330,TODAY(),"Y")</f>
        <v>7</v>
      </c>
      <c r="H330" s="21" t="s">
        <v>73</v>
      </c>
      <c r="I330" s="21" t="s">
        <v>71</v>
      </c>
      <c r="J330" s="21" t="s">
        <v>54</v>
      </c>
      <c r="K330" s="25">
        <v>2479</v>
      </c>
      <c r="L330" s="25">
        <v>29748</v>
      </c>
      <c r="M330" s="21">
        <v>5</v>
      </c>
      <c r="N330" s="21">
        <v>0</v>
      </c>
      <c r="O330" s="21">
        <v>2</v>
      </c>
      <c r="P330" s="21">
        <v>3</v>
      </c>
      <c r="Q330" s="21" t="str">
        <f t="shared" ca="1" si="1"/>
        <v>Not Eligible</v>
      </c>
    </row>
    <row r="331" spans="1:17" ht="15.5" x14ac:dyDescent="0.35">
      <c r="A331" s="20">
        <v>330</v>
      </c>
      <c r="B331" s="21" t="s">
        <v>394</v>
      </c>
      <c r="C331" s="21" t="s">
        <v>530</v>
      </c>
      <c r="D331" s="22" t="str">
        <f>_xlfn.TEXTJOIN(" ",TRUE,Employees_Data[[#This Row],[First Name]],Employees_Data[[#This Row],[Last Name]])</f>
        <v>Lama Albazir</v>
      </c>
      <c r="E331" s="21" t="s">
        <v>44</v>
      </c>
      <c r="F331" s="23">
        <v>43248</v>
      </c>
      <c r="G331" s="24">
        <f ca="1">DATEDIF(Employees!$F331,TODAY(),"Y")</f>
        <v>8</v>
      </c>
      <c r="H331" s="21" t="s">
        <v>59</v>
      </c>
      <c r="I331" s="21" t="s">
        <v>53</v>
      </c>
      <c r="J331" s="21" t="s">
        <v>54</v>
      </c>
      <c r="K331" s="25">
        <v>2106</v>
      </c>
      <c r="L331" s="25">
        <v>25272</v>
      </c>
      <c r="M331" s="21">
        <v>3</v>
      </c>
      <c r="N331" s="21">
        <v>0</v>
      </c>
      <c r="O331" s="21">
        <v>0</v>
      </c>
      <c r="P331" s="21">
        <v>9</v>
      </c>
      <c r="Q331" s="21" t="str">
        <f t="shared" ca="1" si="1"/>
        <v>Not Eligible</v>
      </c>
    </row>
    <row r="332" spans="1:17" ht="15.5" x14ac:dyDescent="0.35">
      <c r="A332" s="20">
        <v>331</v>
      </c>
      <c r="B332" s="21" t="s">
        <v>316</v>
      </c>
      <c r="C332" s="21" t="s">
        <v>531</v>
      </c>
      <c r="D332" s="22" t="str">
        <f>_xlfn.TEXTJOIN(" ",TRUE,Employees_Data[[#This Row],[First Name]],Employees_Data[[#This Row],[Last Name]])</f>
        <v>Emar Alnisrin</v>
      </c>
      <c r="E332" s="21" t="s">
        <v>44</v>
      </c>
      <c r="F332" s="23">
        <v>43623</v>
      </c>
      <c r="G332" s="24">
        <f ca="1">DATEDIF(Employees!$F332,TODAY(),"Y")</f>
        <v>7</v>
      </c>
      <c r="H332" s="21" t="s">
        <v>52</v>
      </c>
      <c r="I332" s="21" t="s">
        <v>40</v>
      </c>
      <c r="J332" s="21" t="s">
        <v>83</v>
      </c>
      <c r="K332" s="25">
        <v>1480</v>
      </c>
      <c r="L332" s="25">
        <v>17760</v>
      </c>
      <c r="M332" s="21">
        <v>2</v>
      </c>
      <c r="N332" s="21">
        <v>0</v>
      </c>
      <c r="O332" s="21">
        <v>0</v>
      </c>
      <c r="P332" s="21">
        <v>10</v>
      </c>
      <c r="Q332" s="21" t="str">
        <f t="shared" ca="1" si="1"/>
        <v>Not Eligible</v>
      </c>
    </row>
    <row r="333" spans="1:17" ht="15.5" x14ac:dyDescent="0.35">
      <c r="A333" s="20">
        <v>332</v>
      </c>
      <c r="B333" s="21" t="s">
        <v>532</v>
      </c>
      <c r="C333" s="21" t="s">
        <v>533</v>
      </c>
      <c r="D333" s="22" t="str">
        <f>_xlfn.TEXTJOIN(" ",TRUE,Employees_Data[[#This Row],[First Name]],Employees_Data[[#This Row],[Last Name]])</f>
        <v>Afra Sharabi</v>
      </c>
      <c r="E333" s="21" t="s">
        <v>44</v>
      </c>
      <c r="F333" s="23">
        <v>43058</v>
      </c>
      <c r="G333" s="24">
        <f ca="1">DATEDIF(Employees!$F333,TODAY(),"Y")</f>
        <v>8</v>
      </c>
      <c r="H333" s="21" t="s">
        <v>52</v>
      </c>
      <c r="I333" s="21" t="s">
        <v>27</v>
      </c>
      <c r="J333" s="21" t="s">
        <v>29</v>
      </c>
      <c r="K333" s="25">
        <v>994</v>
      </c>
      <c r="L333" s="25">
        <v>11928</v>
      </c>
      <c r="M333" s="21">
        <v>1</v>
      </c>
      <c r="N333" s="21">
        <v>0</v>
      </c>
      <c r="O333" s="21">
        <v>0</v>
      </c>
      <c r="P333" s="21">
        <v>9</v>
      </c>
      <c r="Q333" s="21" t="str">
        <f t="shared" ca="1" si="1"/>
        <v>Not Eligible</v>
      </c>
    </row>
    <row r="334" spans="1:17" ht="15.5" x14ac:dyDescent="0.35">
      <c r="A334" s="20">
        <v>333</v>
      </c>
      <c r="B334" s="21" t="s">
        <v>55</v>
      </c>
      <c r="C334" s="21" t="s">
        <v>534</v>
      </c>
      <c r="D334" s="22" t="str">
        <f>_xlfn.TEXTJOIN(" ",TRUE,Employees_Data[[#This Row],[First Name]],Employees_Data[[#This Row],[Last Name]])</f>
        <v>Ahmad Hamuwd</v>
      </c>
      <c r="E334" s="21" t="s">
        <v>25</v>
      </c>
      <c r="F334" s="23">
        <v>43797</v>
      </c>
      <c r="G334" s="24">
        <f ca="1">DATEDIF(Employees!$F334,TODAY(),"Y")</f>
        <v>6</v>
      </c>
      <c r="H334" s="21" t="s">
        <v>76</v>
      </c>
      <c r="I334" s="21" t="s">
        <v>53</v>
      </c>
      <c r="J334" s="21" t="s">
        <v>54</v>
      </c>
      <c r="K334" s="25">
        <v>2119</v>
      </c>
      <c r="L334" s="25">
        <v>25428</v>
      </c>
      <c r="M334" s="21">
        <v>4.5</v>
      </c>
      <c r="N334" s="21">
        <v>1</v>
      </c>
      <c r="O334" s="21">
        <v>5</v>
      </c>
      <c r="P334" s="21">
        <v>0</v>
      </c>
      <c r="Q334" s="21" t="str">
        <f t="shared" ca="1" si="1"/>
        <v>Not Eligible</v>
      </c>
    </row>
    <row r="335" spans="1:17" ht="15.5" x14ac:dyDescent="0.35">
      <c r="A335" s="20">
        <v>334</v>
      </c>
      <c r="B335" s="21" t="s">
        <v>535</v>
      </c>
      <c r="C335" s="21" t="s">
        <v>536</v>
      </c>
      <c r="D335" s="22" t="str">
        <f>_xlfn.TEXTJOIN(" ",TRUE,Employees_Data[[#This Row],[First Name]],Employees_Data[[#This Row],[Last Name]])</f>
        <v>Ramiz Aleuryan</v>
      </c>
      <c r="E335" s="21" t="s">
        <v>25</v>
      </c>
      <c r="F335" s="23">
        <v>43378</v>
      </c>
      <c r="G335" s="24">
        <f ca="1">DATEDIF(Employees!$F335,TODAY(),"Y")</f>
        <v>8</v>
      </c>
      <c r="H335" s="21" t="s">
        <v>73</v>
      </c>
      <c r="I335" s="21" t="s">
        <v>27</v>
      </c>
      <c r="J335" s="21" t="s">
        <v>54</v>
      </c>
      <c r="K335" s="25">
        <v>1577</v>
      </c>
      <c r="L335" s="25">
        <v>18924</v>
      </c>
      <c r="M335" s="21">
        <v>4.5</v>
      </c>
      <c r="N335" s="21">
        <v>0</v>
      </c>
      <c r="O335" s="21">
        <v>0</v>
      </c>
      <c r="P335" s="21">
        <v>7</v>
      </c>
      <c r="Q335" s="21" t="str">
        <f t="shared" ca="1" si="1"/>
        <v>Not Eligible</v>
      </c>
    </row>
    <row r="336" spans="1:17" ht="15.5" x14ac:dyDescent="0.35">
      <c r="A336" s="20">
        <v>335</v>
      </c>
      <c r="B336" s="21" t="s">
        <v>72</v>
      </c>
      <c r="C336" s="21" t="s">
        <v>537</v>
      </c>
      <c r="D336" s="22" t="str">
        <f>_xlfn.TEXTJOIN(" ",TRUE,Employees_Data[[#This Row],[First Name]],Employees_Data[[#This Row],[Last Name]])</f>
        <v>Iad Eaku</v>
      </c>
      <c r="E336" s="21" t="s">
        <v>25</v>
      </c>
      <c r="F336" s="23">
        <v>43224</v>
      </c>
      <c r="G336" s="24">
        <f ca="1">DATEDIF(Employees!$F336,TODAY(),"Y")</f>
        <v>8</v>
      </c>
      <c r="H336" s="21" t="s">
        <v>26</v>
      </c>
      <c r="I336" s="21" t="s">
        <v>53</v>
      </c>
      <c r="J336" s="21" t="s">
        <v>54</v>
      </c>
      <c r="K336" s="25">
        <v>3160</v>
      </c>
      <c r="L336" s="25">
        <v>37920</v>
      </c>
      <c r="M336" s="21">
        <v>5</v>
      </c>
      <c r="N336" s="21">
        <v>0</v>
      </c>
      <c r="O336" s="21">
        <v>5</v>
      </c>
      <c r="P336" s="21">
        <v>10</v>
      </c>
      <c r="Q336" s="21" t="str">
        <f t="shared" ca="1" si="1"/>
        <v>Not Eligible</v>
      </c>
    </row>
    <row r="337" spans="1:17" ht="15.5" x14ac:dyDescent="0.35">
      <c r="A337" s="20">
        <v>336</v>
      </c>
      <c r="B337" s="21" t="s">
        <v>86</v>
      </c>
      <c r="C337" s="21" t="s">
        <v>538</v>
      </c>
      <c r="D337" s="22" t="str">
        <f>_xlfn.TEXTJOIN(" ",TRUE,Employees_Data[[#This Row],[First Name]],Employees_Data[[#This Row],[Last Name]])</f>
        <v>Husayn Euthman</v>
      </c>
      <c r="E337" s="21" t="s">
        <v>25</v>
      </c>
      <c r="F337" s="23">
        <v>44123</v>
      </c>
      <c r="G337" s="24">
        <f ca="1">DATEDIF(Employees!$F337,TODAY(),"Y")</f>
        <v>6</v>
      </c>
      <c r="H337" s="21" t="s">
        <v>110</v>
      </c>
      <c r="I337" s="21" t="s">
        <v>40</v>
      </c>
      <c r="J337" s="21" t="s">
        <v>54</v>
      </c>
      <c r="K337" s="25">
        <v>2692</v>
      </c>
      <c r="L337" s="25">
        <v>32304</v>
      </c>
      <c r="M337" s="21">
        <v>1</v>
      </c>
      <c r="N337" s="21">
        <v>4</v>
      </c>
      <c r="O337" s="21">
        <v>0</v>
      </c>
      <c r="P337" s="21">
        <v>6</v>
      </c>
      <c r="Q337" s="21" t="str">
        <f t="shared" ca="1" si="1"/>
        <v>Not Eligible</v>
      </c>
    </row>
    <row r="338" spans="1:17" ht="15.5" x14ac:dyDescent="0.35">
      <c r="A338" s="20">
        <v>337</v>
      </c>
      <c r="B338" s="21" t="s">
        <v>539</v>
      </c>
      <c r="C338" s="21" t="s">
        <v>540</v>
      </c>
      <c r="D338" s="22" t="str">
        <f>_xlfn.TEXTJOIN(" ",TRUE,Employees_Data[[#This Row],[First Name]],Employees_Data[[#This Row],[Last Name]])</f>
        <v>Imran Hazruma</v>
      </c>
      <c r="E338" s="21" t="s">
        <v>25</v>
      </c>
      <c r="F338" s="23">
        <v>43430</v>
      </c>
      <c r="G338" s="24">
        <f ca="1">DATEDIF(Employees!$F338,TODAY(),"Y")</f>
        <v>7</v>
      </c>
      <c r="H338" s="21" t="s">
        <v>65</v>
      </c>
      <c r="I338" s="21" t="s">
        <v>53</v>
      </c>
      <c r="J338" s="21" t="s">
        <v>83</v>
      </c>
      <c r="K338" s="25">
        <v>1448</v>
      </c>
      <c r="L338" s="25">
        <v>17376</v>
      </c>
      <c r="M338" s="21">
        <v>4.5</v>
      </c>
      <c r="N338" s="21">
        <v>0</v>
      </c>
      <c r="O338" s="21">
        <v>0</v>
      </c>
      <c r="P338" s="21">
        <v>1</v>
      </c>
      <c r="Q338" s="21" t="str">
        <f t="shared" ca="1" si="1"/>
        <v>Not Eligible</v>
      </c>
    </row>
    <row r="339" spans="1:17" ht="15.5" x14ac:dyDescent="0.35">
      <c r="A339" s="20">
        <v>338</v>
      </c>
      <c r="B339" s="21" t="s">
        <v>541</v>
      </c>
      <c r="C339" s="21" t="s">
        <v>542</v>
      </c>
      <c r="D339" s="22" t="str">
        <f>_xlfn.TEXTJOIN(" ",TRUE,Employees_Data[[#This Row],[First Name]],Employees_Data[[#This Row],[Last Name]])</f>
        <v>Rawan Durkzili</v>
      </c>
      <c r="E339" s="21" t="s">
        <v>44</v>
      </c>
      <c r="F339" s="23">
        <v>43541</v>
      </c>
      <c r="G339" s="24">
        <f ca="1">DATEDIF(Employees!$F339,TODAY(),"Y")</f>
        <v>7</v>
      </c>
      <c r="H339" s="21" t="s">
        <v>52</v>
      </c>
      <c r="I339" s="21" t="s">
        <v>27</v>
      </c>
      <c r="J339" s="21" t="s">
        <v>29</v>
      </c>
      <c r="K339" s="25">
        <v>1568</v>
      </c>
      <c r="L339" s="25">
        <v>18816</v>
      </c>
      <c r="M339" s="21">
        <v>3</v>
      </c>
      <c r="N339" s="21">
        <v>5</v>
      </c>
      <c r="O339" s="21">
        <v>0</v>
      </c>
      <c r="P339" s="21">
        <v>7</v>
      </c>
      <c r="Q339" s="21" t="str">
        <f t="shared" ca="1" si="1"/>
        <v>Not Eligible</v>
      </c>
    </row>
    <row r="340" spans="1:17" ht="15.5" x14ac:dyDescent="0.35">
      <c r="A340" s="20">
        <v>339</v>
      </c>
      <c r="B340" s="21" t="s">
        <v>455</v>
      </c>
      <c r="C340" s="21" t="s">
        <v>543</v>
      </c>
      <c r="D340" s="22" t="str">
        <f>_xlfn.TEXTJOIN(" ",TRUE,Employees_Data[[#This Row],[First Name]],Employees_Data[[#This Row],[Last Name]])</f>
        <v>Muayid Shaqir</v>
      </c>
      <c r="E340" s="21" t="s">
        <v>25</v>
      </c>
      <c r="F340" s="23">
        <v>42724</v>
      </c>
      <c r="G340" s="24">
        <f ca="1">DATEDIF(Employees!$F340,TODAY(),"Y")</f>
        <v>9</v>
      </c>
      <c r="H340" s="21" t="s">
        <v>76</v>
      </c>
      <c r="I340" s="21" t="s">
        <v>27</v>
      </c>
      <c r="J340" s="21" t="s">
        <v>60</v>
      </c>
      <c r="K340" s="25">
        <v>1823</v>
      </c>
      <c r="L340" s="25">
        <v>21876</v>
      </c>
      <c r="M340" s="21">
        <v>4.5</v>
      </c>
      <c r="N340" s="21">
        <v>5</v>
      </c>
      <c r="O340" s="21">
        <v>0</v>
      </c>
      <c r="P340" s="21">
        <v>9</v>
      </c>
      <c r="Q340" s="21" t="str">
        <f t="shared" ca="1" si="1"/>
        <v>Not Eligible</v>
      </c>
    </row>
    <row r="341" spans="1:17" ht="15.5" x14ac:dyDescent="0.35">
      <c r="A341" s="20">
        <v>340</v>
      </c>
      <c r="B341" s="21" t="s">
        <v>544</v>
      </c>
      <c r="C341" s="21" t="s">
        <v>545</v>
      </c>
      <c r="D341" s="22" t="str">
        <f>_xlfn.TEXTJOIN(" ",TRUE,Employees_Data[[#This Row],[First Name]],Employees_Data[[#This Row],[Last Name]])</f>
        <v>Muanis Alsabagh</v>
      </c>
      <c r="E341" s="21" t="s">
        <v>25</v>
      </c>
      <c r="F341" s="23">
        <v>43512</v>
      </c>
      <c r="G341" s="24">
        <f ca="1">DATEDIF(Employees!$F341,TODAY(),"Y")</f>
        <v>7</v>
      </c>
      <c r="H341" s="21" t="s">
        <v>52</v>
      </c>
      <c r="I341" s="21" t="s">
        <v>27</v>
      </c>
      <c r="J341" s="21" t="s">
        <v>29</v>
      </c>
      <c r="K341" s="25">
        <v>1712</v>
      </c>
      <c r="L341" s="25">
        <v>20544</v>
      </c>
      <c r="M341" s="21">
        <v>4.5</v>
      </c>
      <c r="N341" s="21">
        <v>0</v>
      </c>
      <c r="O341" s="21">
        <v>4</v>
      </c>
      <c r="P341" s="21">
        <v>15</v>
      </c>
      <c r="Q341" s="21" t="str">
        <f t="shared" ca="1" si="1"/>
        <v>Not Eligible</v>
      </c>
    </row>
    <row r="342" spans="1:17" ht="15.5" x14ac:dyDescent="0.35">
      <c r="A342" s="20">
        <v>341</v>
      </c>
      <c r="B342" s="21" t="s">
        <v>28</v>
      </c>
      <c r="C342" s="21" t="s">
        <v>546</v>
      </c>
      <c r="D342" s="22" t="str">
        <f>_xlfn.TEXTJOIN(" ",TRUE,Employees_Data[[#This Row],[First Name]],Employees_Data[[#This Row],[Last Name]])</f>
        <v>Dijwar Husu</v>
      </c>
      <c r="E342" s="21" t="s">
        <v>25</v>
      </c>
      <c r="F342" s="23">
        <v>44134</v>
      </c>
      <c r="G342" s="24">
        <f ca="1">DATEDIF(Employees!$F342,TODAY(),"Y")</f>
        <v>5</v>
      </c>
      <c r="H342" s="21" t="s">
        <v>59</v>
      </c>
      <c r="I342" s="21" t="s">
        <v>53</v>
      </c>
      <c r="J342" s="21" t="s">
        <v>83</v>
      </c>
      <c r="K342" s="25">
        <v>744</v>
      </c>
      <c r="L342" s="25">
        <v>8928</v>
      </c>
      <c r="M342" s="21">
        <v>5</v>
      </c>
      <c r="N342" s="21">
        <v>5</v>
      </c>
      <c r="O342" s="21">
        <v>0</v>
      </c>
      <c r="P342" s="21">
        <v>8</v>
      </c>
      <c r="Q342" s="21" t="str">
        <f t="shared" ca="1" si="1"/>
        <v>Not Eligible</v>
      </c>
    </row>
    <row r="343" spans="1:17" ht="15.5" x14ac:dyDescent="0.35">
      <c r="A343" s="20">
        <v>342</v>
      </c>
      <c r="B343" s="21" t="s">
        <v>547</v>
      </c>
      <c r="C343" s="21" t="s">
        <v>548</v>
      </c>
      <c r="D343" s="22" t="str">
        <f>_xlfn.TEXTJOIN(" ",TRUE,Employees_Data[[#This Row],[First Name]],Employees_Data[[#This Row],[Last Name]])</f>
        <v>Asama Eilwan</v>
      </c>
      <c r="E343" s="21" t="s">
        <v>44</v>
      </c>
      <c r="F343" s="23">
        <v>42945</v>
      </c>
      <c r="G343" s="24">
        <f ca="1">DATEDIF(Employees!$F343,TODAY(),"Y")</f>
        <v>9</v>
      </c>
      <c r="H343" s="21" t="s">
        <v>52</v>
      </c>
      <c r="I343" s="21" t="s">
        <v>27</v>
      </c>
      <c r="J343" s="21" t="s">
        <v>60</v>
      </c>
      <c r="K343" s="25">
        <v>2972</v>
      </c>
      <c r="L343" s="25">
        <v>35664</v>
      </c>
      <c r="M343" s="21">
        <v>5</v>
      </c>
      <c r="N343" s="21">
        <v>0</v>
      </c>
      <c r="O343" s="21">
        <v>4</v>
      </c>
      <c r="P343" s="21">
        <v>2</v>
      </c>
      <c r="Q343" s="21" t="str">
        <f t="shared" ca="1" si="1"/>
        <v>Not Eligible</v>
      </c>
    </row>
    <row r="344" spans="1:17" ht="15.5" x14ac:dyDescent="0.35">
      <c r="A344" s="20">
        <v>343</v>
      </c>
      <c r="B344" s="21" t="s">
        <v>475</v>
      </c>
      <c r="C344" s="21" t="s">
        <v>549</v>
      </c>
      <c r="D344" s="22" t="str">
        <f>_xlfn.TEXTJOIN(" ",TRUE,Employees_Data[[#This Row],[First Name]],Employees_Data[[#This Row],[Last Name]])</f>
        <v>Esamat Alhidad</v>
      </c>
      <c r="E344" s="21" t="s">
        <v>25</v>
      </c>
      <c r="F344" s="23">
        <v>43785</v>
      </c>
      <c r="G344" s="24">
        <f ca="1">DATEDIF(Employees!$F344,TODAY(),"Y")</f>
        <v>6</v>
      </c>
      <c r="H344" s="21" t="s">
        <v>65</v>
      </c>
      <c r="I344" s="21" t="s">
        <v>27</v>
      </c>
      <c r="J344" s="21" t="s">
        <v>60</v>
      </c>
      <c r="K344" s="25">
        <v>2931</v>
      </c>
      <c r="L344" s="25">
        <v>35172</v>
      </c>
      <c r="M344" s="21">
        <v>3</v>
      </c>
      <c r="N344" s="21">
        <v>6</v>
      </c>
      <c r="O344" s="21">
        <v>0</v>
      </c>
      <c r="P344" s="21">
        <v>71</v>
      </c>
      <c r="Q344" s="21" t="str">
        <f t="shared" ca="1" si="1"/>
        <v>Eligible</v>
      </c>
    </row>
    <row r="345" spans="1:17" ht="15.5" x14ac:dyDescent="0.35">
      <c r="A345" s="20">
        <v>344</v>
      </c>
      <c r="B345" s="21" t="s">
        <v>216</v>
      </c>
      <c r="C345" s="21" t="s">
        <v>550</v>
      </c>
      <c r="D345" s="22" t="str">
        <f>_xlfn.TEXTJOIN(" ",TRUE,Employees_Data[[#This Row],[First Name]],Employees_Data[[#This Row],[Last Name]])</f>
        <v>Tariq Zaeur</v>
      </c>
      <c r="E345" s="21" t="s">
        <v>25</v>
      </c>
      <c r="F345" s="23">
        <v>43301</v>
      </c>
      <c r="G345" s="24">
        <f ca="1">DATEDIF(Employees!$F345,TODAY(),"Y")</f>
        <v>8</v>
      </c>
      <c r="H345" s="21" t="s">
        <v>140</v>
      </c>
      <c r="I345" s="21" t="s">
        <v>71</v>
      </c>
      <c r="J345" s="21" t="s">
        <v>29</v>
      </c>
      <c r="K345" s="25">
        <v>2544</v>
      </c>
      <c r="L345" s="25">
        <v>30528</v>
      </c>
      <c r="M345" s="21">
        <v>3</v>
      </c>
      <c r="N345" s="21">
        <v>0</v>
      </c>
      <c r="O345" s="21">
        <v>0</v>
      </c>
      <c r="P345" s="21">
        <v>2</v>
      </c>
      <c r="Q345" s="21" t="str">
        <f t="shared" ca="1" si="1"/>
        <v>Not Eligible</v>
      </c>
    </row>
    <row r="346" spans="1:17" ht="15.5" x14ac:dyDescent="0.35">
      <c r="A346" s="20">
        <v>345</v>
      </c>
      <c r="B346" s="21" t="s">
        <v>551</v>
      </c>
      <c r="C346" s="21" t="s">
        <v>552</v>
      </c>
      <c r="D346" s="22" t="str">
        <f>_xlfn.TEXTJOIN(" ",TRUE,Employees_Data[[#This Row],[First Name]],Employees_Data[[#This Row],[Last Name]])</f>
        <v>Rasul Aleumurii</v>
      </c>
      <c r="E346" s="21" t="s">
        <v>25</v>
      </c>
      <c r="F346" s="23">
        <v>42605</v>
      </c>
      <c r="G346" s="24">
        <f ca="1">DATEDIF(Employees!$F346,TODAY(),"Y")</f>
        <v>10</v>
      </c>
      <c r="H346" s="21" t="s">
        <v>52</v>
      </c>
      <c r="I346" s="21" t="s">
        <v>40</v>
      </c>
      <c r="J346" s="21" t="s">
        <v>54</v>
      </c>
      <c r="K346" s="25">
        <v>1595</v>
      </c>
      <c r="L346" s="25">
        <v>19140</v>
      </c>
      <c r="M346" s="21">
        <v>5</v>
      </c>
      <c r="N346" s="21">
        <v>0</v>
      </c>
      <c r="O346" s="21">
        <v>0</v>
      </c>
      <c r="P346" s="21">
        <v>0</v>
      </c>
      <c r="Q346" s="21" t="str">
        <f t="shared" ca="1" si="1"/>
        <v>Not Eligible</v>
      </c>
    </row>
    <row r="347" spans="1:17" ht="15.5" x14ac:dyDescent="0.35">
      <c r="A347" s="20">
        <v>346</v>
      </c>
      <c r="B347" s="21" t="s">
        <v>541</v>
      </c>
      <c r="C347" s="21" t="s">
        <v>553</v>
      </c>
      <c r="D347" s="22" t="str">
        <f>_xlfn.TEXTJOIN(" ",TRUE,Employees_Data[[#This Row],[First Name]],Employees_Data[[#This Row],[Last Name]])</f>
        <v>Rawan Albaytar</v>
      </c>
      <c r="E347" s="21" t="s">
        <v>44</v>
      </c>
      <c r="F347" s="23">
        <v>43439</v>
      </c>
      <c r="G347" s="24">
        <f ca="1">DATEDIF(Employees!$F347,TODAY(),"Y")</f>
        <v>7</v>
      </c>
      <c r="H347" s="21" t="s">
        <v>65</v>
      </c>
      <c r="I347" s="21" t="s">
        <v>71</v>
      </c>
      <c r="J347" s="21" t="s">
        <v>29</v>
      </c>
      <c r="K347" s="25">
        <v>1326</v>
      </c>
      <c r="L347" s="25">
        <v>15912</v>
      </c>
      <c r="M347" s="21">
        <v>3</v>
      </c>
      <c r="N347" s="21">
        <v>0</v>
      </c>
      <c r="O347" s="21">
        <v>3</v>
      </c>
      <c r="P347" s="21">
        <v>7</v>
      </c>
      <c r="Q347" s="21" t="str">
        <f t="shared" ca="1" si="1"/>
        <v>Not Eligible</v>
      </c>
    </row>
    <row r="348" spans="1:17" ht="15.5" x14ac:dyDescent="0.35">
      <c r="A348" s="20">
        <v>347</v>
      </c>
      <c r="B348" s="21" t="s">
        <v>36</v>
      </c>
      <c r="C348" s="21" t="s">
        <v>554</v>
      </c>
      <c r="D348" s="22" t="str">
        <f>_xlfn.TEXTJOIN(" ",TRUE,Employees_Data[[#This Row],[First Name]],Employees_Data[[#This Row],[Last Name]])</f>
        <v>Omar Altuean</v>
      </c>
      <c r="E348" s="21" t="s">
        <v>25</v>
      </c>
      <c r="F348" s="23">
        <v>43492</v>
      </c>
      <c r="G348" s="24">
        <f ca="1">DATEDIF(Employees!$F348,TODAY(),"Y")</f>
        <v>7</v>
      </c>
      <c r="H348" s="21" t="s">
        <v>81</v>
      </c>
      <c r="I348" s="21" t="s">
        <v>27</v>
      </c>
      <c r="J348" s="21" t="s">
        <v>54</v>
      </c>
      <c r="K348" s="25">
        <v>3117</v>
      </c>
      <c r="L348" s="25">
        <v>37404</v>
      </c>
      <c r="M348" s="21">
        <v>3</v>
      </c>
      <c r="N348" s="21">
        <v>0</v>
      </c>
      <c r="O348" s="21">
        <v>4</v>
      </c>
      <c r="P348" s="21">
        <v>0</v>
      </c>
      <c r="Q348" s="21" t="str">
        <f t="shared" ca="1" si="1"/>
        <v>Not Eligible</v>
      </c>
    </row>
    <row r="349" spans="1:17" ht="15.5" x14ac:dyDescent="0.35">
      <c r="A349" s="20">
        <v>348</v>
      </c>
      <c r="B349" s="21" t="s">
        <v>555</v>
      </c>
      <c r="C349" s="21" t="s">
        <v>556</v>
      </c>
      <c r="D349" s="22" t="str">
        <f>_xlfn.TEXTJOIN(" ",TRUE,Employees_Data[[#This Row],[First Name]],Employees_Data[[#This Row],[Last Name]])</f>
        <v>Dalia Hamdan</v>
      </c>
      <c r="E349" s="21" t="s">
        <v>44</v>
      </c>
      <c r="F349" s="23">
        <v>43507</v>
      </c>
      <c r="G349" s="24">
        <f ca="1">DATEDIF(Employees!$F349,TODAY(),"Y")</f>
        <v>7</v>
      </c>
      <c r="H349" s="21" t="s">
        <v>47</v>
      </c>
      <c r="I349" s="21" t="s">
        <v>27</v>
      </c>
      <c r="J349" s="21" t="s">
        <v>29</v>
      </c>
      <c r="K349" s="25">
        <v>3446</v>
      </c>
      <c r="L349" s="25">
        <v>41352</v>
      </c>
      <c r="M349" s="21">
        <v>5</v>
      </c>
      <c r="N349" s="21">
        <v>0</v>
      </c>
      <c r="O349" s="21">
        <v>0</v>
      </c>
      <c r="P349" s="21">
        <v>10</v>
      </c>
      <c r="Q349" s="21" t="str">
        <f t="shared" ca="1" si="1"/>
        <v>Not Eligible</v>
      </c>
    </row>
    <row r="350" spans="1:17" ht="15.5" x14ac:dyDescent="0.35">
      <c r="A350" s="20">
        <v>349</v>
      </c>
      <c r="B350" s="21" t="s">
        <v>36</v>
      </c>
      <c r="C350" s="21" t="s">
        <v>557</v>
      </c>
      <c r="D350" s="22" t="str">
        <f>_xlfn.TEXTJOIN(" ",TRUE,Employees_Data[[#This Row],[First Name]],Employees_Data[[#This Row],[Last Name]])</f>
        <v>Omar Alhindi</v>
      </c>
      <c r="E350" s="21" t="s">
        <v>25</v>
      </c>
      <c r="F350" s="23">
        <v>43476</v>
      </c>
      <c r="G350" s="24">
        <f ca="1">DATEDIF(Employees!$F350,TODAY(),"Y")</f>
        <v>7</v>
      </c>
      <c r="H350" s="21" t="s">
        <v>52</v>
      </c>
      <c r="I350" s="21" t="s">
        <v>53</v>
      </c>
      <c r="J350" s="21" t="s">
        <v>29</v>
      </c>
      <c r="K350" s="25">
        <v>2023</v>
      </c>
      <c r="L350" s="25">
        <v>24276</v>
      </c>
      <c r="M350" s="21">
        <v>4.5</v>
      </c>
      <c r="N350" s="21">
        <v>6</v>
      </c>
      <c r="O350" s="21">
        <v>0</v>
      </c>
      <c r="P350" s="21">
        <v>6</v>
      </c>
      <c r="Q350" s="21" t="str">
        <f t="shared" ca="1" si="1"/>
        <v>Not Eligible</v>
      </c>
    </row>
    <row r="351" spans="1:17" ht="15.5" x14ac:dyDescent="0.35">
      <c r="A351" s="20">
        <v>350</v>
      </c>
      <c r="B351" s="21" t="s">
        <v>207</v>
      </c>
      <c r="C351" s="21" t="s">
        <v>558</v>
      </c>
      <c r="D351" s="22" t="str">
        <f>_xlfn.TEXTJOIN(" ",TRUE,Employees_Data[[#This Row],[First Name]],Employees_Data[[#This Row],[Last Name]])</f>
        <v>Ali Zyny</v>
      </c>
      <c r="E351" s="21" t="s">
        <v>25</v>
      </c>
      <c r="F351" s="23">
        <v>44044</v>
      </c>
      <c r="G351" s="24">
        <f ca="1">DATEDIF(Employees!$F351,TODAY(),"Y")</f>
        <v>6</v>
      </c>
      <c r="H351" s="21" t="s">
        <v>99</v>
      </c>
      <c r="I351" s="21" t="s">
        <v>27</v>
      </c>
      <c r="J351" s="21" t="s">
        <v>60</v>
      </c>
      <c r="K351" s="25">
        <v>979</v>
      </c>
      <c r="L351" s="25">
        <v>11748</v>
      </c>
      <c r="M351" s="21">
        <v>3</v>
      </c>
      <c r="N351" s="21">
        <v>6</v>
      </c>
      <c r="O351" s="21">
        <v>0</v>
      </c>
      <c r="P351" s="21">
        <v>4</v>
      </c>
      <c r="Q351" s="21" t="str">
        <f t="shared" ca="1" si="1"/>
        <v>Not Eligible</v>
      </c>
    </row>
    <row r="352" spans="1:17" ht="15.5" x14ac:dyDescent="0.35">
      <c r="A352" s="20">
        <v>351</v>
      </c>
      <c r="B352" s="21" t="s">
        <v>559</v>
      </c>
      <c r="C352" s="21" t="s">
        <v>560</v>
      </c>
      <c r="D352" s="22" t="str">
        <f>_xlfn.TEXTJOIN(" ",TRUE,Employees_Data[[#This Row],[First Name]],Employees_Data[[#This Row],[Last Name]])</f>
        <v>Almuetaz Biallah</v>
      </c>
      <c r="E352" s="21" t="s">
        <v>25</v>
      </c>
      <c r="F352" s="23">
        <v>44064</v>
      </c>
      <c r="G352" s="24">
        <f ca="1">DATEDIF(Employees!$F352,TODAY(),"Y")</f>
        <v>6</v>
      </c>
      <c r="H352" s="21" t="s">
        <v>184</v>
      </c>
      <c r="I352" s="21" t="s">
        <v>27</v>
      </c>
      <c r="J352" s="21" t="s">
        <v>54</v>
      </c>
      <c r="K352" s="25">
        <v>1676</v>
      </c>
      <c r="L352" s="25">
        <v>20112</v>
      </c>
      <c r="M352" s="21">
        <v>4.5</v>
      </c>
      <c r="N352" s="21">
        <v>0</v>
      </c>
      <c r="O352" s="21">
        <v>0</v>
      </c>
      <c r="P352" s="21">
        <v>8</v>
      </c>
      <c r="Q352" s="21" t="str">
        <f t="shared" ca="1" si="1"/>
        <v>Not Eligible</v>
      </c>
    </row>
    <row r="353" spans="1:17" ht="15.5" x14ac:dyDescent="0.35">
      <c r="A353" s="20">
        <v>352</v>
      </c>
      <c r="B353" s="21" t="s">
        <v>561</v>
      </c>
      <c r="C353" s="21" t="s">
        <v>562</v>
      </c>
      <c r="D353" s="22" t="str">
        <f>_xlfn.TEXTJOIN(" ",TRUE,Employees_Data[[#This Row],[First Name]],Employees_Data[[#This Row],[Last Name]])</f>
        <v>Rabana Alsaman</v>
      </c>
      <c r="E353" s="21" t="s">
        <v>44</v>
      </c>
      <c r="F353" s="23">
        <v>42747</v>
      </c>
      <c r="G353" s="24">
        <f ca="1">DATEDIF(Employees!$F353,TODAY(),"Y")</f>
        <v>9</v>
      </c>
      <c r="H353" s="21" t="s">
        <v>63</v>
      </c>
      <c r="I353" s="21" t="s">
        <v>27</v>
      </c>
      <c r="J353" s="21" t="s">
        <v>60</v>
      </c>
      <c r="K353" s="25">
        <v>3079</v>
      </c>
      <c r="L353" s="25">
        <v>36948</v>
      </c>
      <c r="M353" s="21">
        <v>3</v>
      </c>
      <c r="N353" s="21">
        <v>0</v>
      </c>
      <c r="O353" s="21">
        <v>0</v>
      </c>
      <c r="P353" s="21">
        <v>2</v>
      </c>
      <c r="Q353" s="21" t="str">
        <f t="shared" ca="1" si="1"/>
        <v>Not Eligible</v>
      </c>
    </row>
    <row r="354" spans="1:17" ht="15.5" x14ac:dyDescent="0.35">
      <c r="A354" s="20">
        <v>353</v>
      </c>
      <c r="B354" s="21" t="s">
        <v>144</v>
      </c>
      <c r="C354" s="21" t="s">
        <v>186</v>
      </c>
      <c r="D354" s="22" t="str">
        <f>_xlfn.TEXTJOIN(" ",TRUE,Employees_Data[[#This Row],[First Name]],Employees_Data[[#This Row],[Last Name]])</f>
        <v>Ghada Khalid</v>
      </c>
      <c r="E354" s="21" t="s">
        <v>44</v>
      </c>
      <c r="F354" s="23">
        <v>43675</v>
      </c>
      <c r="G354" s="24">
        <f ca="1">DATEDIF(Employees!$F354,TODAY(),"Y")</f>
        <v>7</v>
      </c>
      <c r="H354" s="21" t="s">
        <v>73</v>
      </c>
      <c r="I354" s="21" t="s">
        <v>27</v>
      </c>
      <c r="J354" s="21" t="s">
        <v>54</v>
      </c>
      <c r="K354" s="25">
        <v>2164</v>
      </c>
      <c r="L354" s="25">
        <v>25968</v>
      </c>
      <c r="M354" s="21">
        <v>3</v>
      </c>
      <c r="N354" s="21">
        <v>0</v>
      </c>
      <c r="O354" s="21">
        <v>2</v>
      </c>
      <c r="P354" s="21">
        <v>0</v>
      </c>
      <c r="Q354" s="21" t="str">
        <f t="shared" ca="1" si="1"/>
        <v>Not Eligible</v>
      </c>
    </row>
    <row r="355" spans="1:17" ht="15.5" x14ac:dyDescent="0.35">
      <c r="A355" s="20">
        <v>354</v>
      </c>
      <c r="B355" s="21" t="s">
        <v>475</v>
      </c>
      <c r="C355" s="21" t="s">
        <v>563</v>
      </c>
      <c r="D355" s="22" t="str">
        <f>_xlfn.TEXTJOIN(" ",TRUE,Employees_Data[[#This Row],[First Name]],Employees_Data[[#This Row],[Last Name]])</f>
        <v>Esamat Alriys</v>
      </c>
      <c r="E355" s="21" t="s">
        <v>25</v>
      </c>
      <c r="F355" s="23">
        <v>44146</v>
      </c>
      <c r="G355" s="24">
        <f ca="1">DATEDIF(Employees!$F355,TODAY(),"Y")</f>
        <v>5</v>
      </c>
      <c r="H355" s="21" t="s">
        <v>52</v>
      </c>
      <c r="I355" s="21" t="s">
        <v>27</v>
      </c>
      <c r="J355" s="21" t="s">
        <v>54</v>
      </c>
      <c r="K355" s="25">
        <v>2312</v>
      </c>
      <c r="L355" s="25">
        <v>27744</v>
      </c>
      <c r="M355" s="21">
        <v>3</v>
      </c>
      <c r="N355" s="21">
        <v>0</v>
      </c>
      <c r="O355" s="21">
        <v>0</v>
      </c>
      <c r="P355" s="21">
        <v>31</v>
      </c>
      <c r="Q355" s="21" t="str">
        <f t="shared" ca="1" si="1"/>
        <v>Not Eligible</v>
      </c>
    </row>
    <row r="356" spans="1:17" ht="15.5" x14ac:dyDescent="0.35">
      <c r="A356" s="20">
        <v>355</v>
      </c>
      <c r="B356" s="21" t="s">
        <v>323</v>
      </c>
      <c r="C356" s="21" t="s">
        <v>188</v>
      </c>
      <c r="D356" s="22" t="str">
        <f>_xlfn.TEXTJOIN(" ",TRUE,Employees_Data[[#This Row],[First Name]],Employees_Data[[#This Row],[Last Name]])</f>
        <v>Amir Alkhatib</v>
      </c>
      <c r="E356" s="21" t="s">
        <v>25</v>
      </c>
      <c r="F356" s="23">
        <v>42974</v>
      </c>
      <c r="G356" s="24">
        <f ca="1">DATEDIF(Employees!$F356,TODAY(),"Y")</f>
        <v>9</v>
      </c>
      <c r="H356" s="21" t="s">
        <v>65</v>
      </c>
      <c r="I356" s="21" t="s">
        <v>27</v>
      </c>
      <c r="J356" s="21" t="s">
        <v>29</v>
      </c>
      <c r="K356" s="25">
        <v>834</v>
      </c>
      <c r="L356" s="25">
        <v>10008</v>
      </c>
      <c r="M356" s="21">
        <v>2</v>
      </c>
      <c r="N356" s="21">
        <v>6</v>
      </c>
      <c r="O356" s="21">
        <v>0</v>
      </c>
      <c r="P356" s="21">
        <v>13</v>
      </c>
      <c r="Q356" s="21" t="str">
        <f t="shared" ca="1" si="1"/>
        <v>Not Eligible</v>
      </c>
    </row>
    <row r="357" spans="1:17" ht="15.5" x14ac:dyDescent="0.35">
      <c r="A357" s="20">
        <v>356</v>
      </c>
      <c r="B357" s="21" t="s">
        <v>564</v>
      </c>
      <c r="C357" s="21" t="s">
        <v>565</v>
      </c>
      <c r="D357" s="22" t="str">
        <f>_xlfn.TEXTJOIN(" ",TRUE,Employees_Data[[#This Row],[First Name]],Employees_Data[[#This Row],[Last Name]])</f>
        <v>Samirah Jumea</v>
      </c>
      <c r="E357" s="21" t="s">
        <v>44</v>
      </c>
      <c r="F357" s="23">
        <v>43480</v>
      </c>
      <c r="G357" s="24">
        <f ca="1">DATEDIF(Employees!$F357,TODAY(),"Y")</f>
        <v>7</v>
      </c>
      <c r="H357" s="21" t="s">
        <v>26</v>
      </c>
      <c r="I357" s="21" t="s">
        <v>27</v>
      </c>
      <c r="J357" s="21" t="s">
        <v>54</v>
      </c>
      <c r="K357" s="25">
        <v>723</v>
      </c>
      <c r="L357" s="25">
        <v>8676</v>
      </c>
      <c r="M357" s="21">
        <v>3</v>
      </c>
      <c r="N357" s="21">
        <v>0</v>
      </c>
      <c r="O357" s="21">
        <v>0</v>
      </c>
      <c r="P357" s="21">
        <v>10</v>
      </c>
      <c r="Q357" s="21" t="str">
        <f t="shared" ca="1" si="1"/>
        <v>Not Eligible</v>
      </c>
    </row>
    <row r="358" spans="1:17" ht="15.5" x14ac:dyDescent="0.35">
      <c r="A358" s="20">
        <v>357</v>
      </c>
      <c r="B358" s="21" t="s">
        <v>91</v>
      </c>
      <c r="C358" s="21" t="s">
        <v>566</v>
      </c>
      <c r="D358" s="22" t="str">
        <f>_xlfn.TEXTJOIN(" ",TRUE,Employees_Data[[#This Row],[First Name]],Employees_Data[[#This Row],[Last Name]])</f>
        <v>Samir Alhaj Ali</v>
      </c>
      <c r="E358" s="21" t="s">
        <v>25</v>
      </c>
      <c r="F358" s="23">
        <v>42504</v>
      </c>
      <c r="G358" s="24">
        <f ca="1">DATEDIF(Employees!$F358,TODAY(),"Y")</f>
        <v>10</v>
      </c>
      <c r="H358" s="21" t="s">
        <v>99</v>
      </c>
      <c r="I358" s="21" t="s">
        <v>27</v>
      </c>
      <c r="J358" s="21" t="s">
        <v>29</v>
      </c>
      <c r="K358" s="25">
        <v>2807</v>
      </c>
      <c r="L358" s="25">
        <v>33684</v>
      </c>
      <c r="M358" s="21">
        <v>3</v>
      </c>
      <c r="N358" s="21">
        <v>5</v>
      </c>
      <c r="O358" s="21">
        <v>1</v>
      </c>
      <c r="P358" s="21">
        <v>2</v>
      </c>
      <c r="Q358" s="21" t="str">
        <f t="shared" ca="1" si="1"/>
        <v>Not Eligible</v>
      </c>
    </row>
    <row r="359" spans="1:17" ht="15.5" x14ac:dyDescent="0.35">
      <c r="A359" s="20">
        <v>358</v>
      </c>
      <c r="B359" s="21" t="s">
        <v>567</v>
      </c>
      <c r="C359" s="21" t="s">
        <v>568</v>
      </c>
      <c r="D359" s="22" t="str">
        <f>_xlfn.TEXTJOIN(" ",TRUE,Employees_Data[[#This Row],[First Name]],Employees_Data[[#This Row],[Last Name]])</f>
        <v>Farial Qulumih</v>
      </c>
      <c r="E359" s="21" t="s">
        <v>44</v>
      </c>
      <c r="F359" s="23">
        <v>42904</v>
      </c>
      <c r="G359" s="24">
        <f ca="1">DATEDIF(Employees!$F359,TODAY(),"Y")</f>
        <v>9</v>
      </c>
      <c r="H359" s="21" t="s">
        <v>81</v>
      </c>
      <c r="I359" s="21" t="s">
        <v>40</v>
      </c>
      <c r="J359" s="21" t="s">
        <v>60</v>
      </c>
      <c r="K359" s="25">
        <v>1002</v>
      </c>
      <c r="L359" s="25">
        <v>12024</v>
      </c>
      <c r="M359" s="21">
        <v>5</v>
      </c>
      <c r="N359" s="21">
        <v>1</v>
      </c>
      <c r="O359" s="21">
        <v>0</v>
      </c>
      <c r="P359" s="21">
        <v>3</v>
      </c>
      <c r="Q359" s="21" t="str">
        <f t="shared" ca="1" si="1"/>
        <v>Not Eligible</v>
      </c>
    </row>
    <row r="360" spans="1:17" ht="15.5" x14ac:dyDescent="0.35">
      <c r="A360" s="20">
        <v>359</v>
      </c>
      <c r="B360" s="21" t="s">
        <v>360</v>
      </c>
      <c r="C360" s="21" t="s">
        <v>569</v>
      </c>
      <c r="D360" s="22" t="str">
        <f>_xlfn.TEXTJOIN(" ",TRUE,Employees_Data[[#This Row],[First Name]],Employees_Data[[#This Row],[Last Name]])</f>
        <v>Salih Dawara</v>
      </c>
      <c r="E360" s="21" t="s">
        <v>25</v>
      </c>
      <c r="F360" s="23">
        <v>44023</v>
      </c>
      <c r="G360" s="24">
        <f ca="1">DATEDIF(Employees!$F360,TODAY(),"Y")</f>
        <v>6</v>
      </c>
      <c r="H360" s="21" t="s">
        <v>140</v>
      </c>
      <c r="I360" s="21" t="s">
        <v>27</v>
      </c>
      <c r="J360" s="21" t="s">
        <v>29</v>
      </c>
      <c r="K360" s="25">
        <v>2265</v>
      </c>
      <c r="L360" s="25">
        <v>27180</v>
      </c>
      <c r="M360" s="21">
        <v>5</v>
      </c>
      <c r="N360" s="21">
        <v>1</v>
      </c>
      <c r="O360" s="21">
        <v>0</v>
      </c>
      <c r="P360" s="21">
        <v>9</v>
      </c>
      <c r="Q360" s="21" t="str">
        <f t="shared" ca="1" si="1"/>
        <v>Not Eligible</v>
      </c>
    </row>
    <row r="361" spans="1:17" ht="15.5" x14ac:dyDescent="0.35">
      <c r="A361" s="20">
        <v>360</v>
      </c>
      <c r="B361" s="21" t="s">
        <v>570</v>
      </c>
      <c r="C361" s="21" t="s">
        <v>88</v>
      </c>
      <c r="D361" s="22" t="str">
        <f>_xlfn.TEXTJOIN(" ",TRUE,Employees_Data[[#This Row],[First Name]],Employees_Data[[#This Row],[Last Name]])</f>
        <v>Abdalhadi Salim</v>
      </c>
      <c r="E361" s="21" t="s">
        <v>25</v>
      </c>
      <c r="F361" s="23">
        <v>43753</v>
      </c>
      <c r="G361" s="24">
        <f ca="1">DATEDIF(Employees!$F361,TODAY(),"Y")</f>
        <v>7</v>
      </c>
      <c r="H361" s="21" t="s">
        <v>26</v>
      </c>
      <c r="I361" s="21" t="s">
        <v>27</v>
      </c>
      <c r="J361" s="21" t="s">
        <v>60</v>
      </c>
      <c r="K361" s="25">
        <v>3283</v>
      </c>
      <c r="L361" s="25">
        <v>39396</v>
      </c>
      <c r="M361" s="21">
        <v>5</v>
      </c>
      <c r="N361" s="21">
        <v>0</v>
      </c>
      <c r="O361" s="21">
        <v>0</v>
      </c>
      <c r="P361" s="21">
        <v>3</v>
      </c>
      <c r="Q361" s="21" t="str">
        <f t="shared" ca="1" si="1"/>
        <v>Not Eligible</v>
      </c>
    </row>
    <row r="362" spans="1:17" ht="15.5" x14ac:dyDescent="0.35">
      <c r="A362" s="20">
        <v>361</v>
      </c>
      <c r="B362" s="21" t="s">
        <v>326</v>
      </c>
      <c r="C362" s="21" t="s">
        <v>571</v>
      </c>
      <c r="D362" s="22" t="str">
        <f>_xlfn.TEXTJOIN(" ",TRUE,Employees_Data[[#This Row],[First Name]],Employees_Data[[#This Row],[Last Name]])</f>
        <v>Ruaa Qahraman</v>
      </c>
      <c r="E362" s="21" t="s">
        <v>44</v>
      </c>
      <c r="F362" s="23">
        <v>43204</v>
      </c>
      <c r="G362" s="24">
        <f ca="1">DATEDIF(Employees!$F362,TODAY(),"Y")</f>
        <v>8</v>
      </c>
      <c r="H362" s="21" t="s">
        <v>99</v>
      </c>
      <c r="I362" s="21" t="s">
        <v>27</v>
      </c>
      <c r="J362" s="21" t="s">
        <v>60</v>
      </c>
      <c r="K362" s="25">
        <v>2675</v>
      </c>
      <c r="L362" s="25">
        <v>32100</v>
      </c>
      <c r="M362" s="21">
        <v>3</v>
      </c>
      <c r="N362" s="21">
        <v>1</v>
      </c>
      <c r="O362" s="21">
        <v>6</v>
      </c>
      <c r="P362" s="21">
        <v>4</v>
      </c>
      <c r="Q362" s="21" t="str">
        <f t="shared" ca="1" si="1"/>
        <v>Not Eligible</v>
      </c>
    </row>
    <row r="363" spans="1:17" ht="15.5" x14ac:dyDescent="0.35">
      <c r="A363" s="20">
        <v>362</v>
      </c>
      <c r="B363" s="21" t="s">
        <v>57</v>
      </c>
      <c r="C363" s="21" t="s">
        <v>572</v>
      </c>
      <c r="D363" s="22" t="str">
        <f>_xlfn.TEXTJOIN(" ",TRUE,Employees_Data[[#This Row],[First Name]],Employees_Data[[#This Row],[Last Name]])</f>
        <v>Muhamad Mshati</v>
      </c>
      <c r="E363" s="21" t="s">
        <v>25</v>
      </c>
      <c r="F363" s="23">
        <v>43481</v>
      </c>
      <c r="G363" s="24">
        <f ca="1">DATEDIF(Employees!$F363,TODAY(),"Y")</f>
        <v>7</v>
      </c>
      <c r="H363" s="21" t="s">
        <v>81</v>
      </c>
      <c r="I363" s="21" t="s">
        <v>53</v>
      </c>
      <c r="J363" s="21" t="s">
        <v>54</v>
      </c>
      <c r="K363" s="25">
        <v>3056</v>
      </c>
      <c r="L363" s="25">
        <v>36672</v>
      </c>
      <c r="M363" s="21">
        <v>4.5</v>
      </c>
      <c r="N363" s="21">
        <v>0</v>
      </c>
      <c r="O363" s="21">
        <v>0</v>
      </c>
      <c r="P363" s="21">
        <v>9</v>
      </c>
      <c r="Q363" s="21" t="str">
        <f t="shared" ca="1" si="1"/>
        <v>Not Eligible</v>
      </c>
    </row>
    <row r="364" spans="1:17" ht="15.5" x14ac:dyDescent="0.35">
      <c r="A364" s="20">
        <v>363</v>
      </c>
      <c r="B364" s="21" t="s">
        <v>151</v>
      </c>
      <c r="C364" s="21" t="s">
        <v>573</v>
      </c>
      <c r="D364" s="22" t="str">
        <f>_xlfn.TEXTJOIN(" ",TRUE,Employees_Data[[#This Row],[First Name]],Employees_Data[[#This Row],[Last Name]])</f>
        <v>Shadi Altibae</v>
      </c>
      <c r="E364" s="21" t="s">
        <v>25</v>
      </c>
      <c r="F364" s="23">
        <v>43752</v>
      </c>
      <c r="G364" s="24">
        <f ca="1">DATEDIF(Employees!$F364,TODAY(),"Y")</f>
        <v>7</v>
      </c>
      <c r="H364" s="21" t="s">
        <v>52</v>
      </c>
      <c r="I364" s="21" t="s">
        <v>27</v>
      </c>
      <c r="J364" s="21" t="s">
        <v>29</v>
      </c>
      <c r="K364" s="25">
        <v>1579</v>
      </c>
      <c r="L364" s="25">
        <v>18948</v>
      </c>
      <c r="M364" s="21">
        <v>3</v>
      </c>
      <c r="N364" s="21">
        <v>0</v>
      </c>
      <c r="O364" s="21">
        <v>0</v>
      </c>
      <c r="P364" s="21">
        <v>14</v>
      </c>
      <c r="Q364" s="21" t="str">
        <f t="shared" ca="1" si="1"/>
        <v>Not Eligible</v>
      </c>
    </row>
    <row r="365" spans="1:17" ht="15.5" x14ac:dyDescent="0.35">
      <c r="A365" s="20">
        <v>364</v>
      </c>
      <c r="B365" s="21" t="s">
        <v>55</v>
      </c>
      <c r="C365" s="21" t="s">
        <v>574</v>
      </c>
      <c r="D365" s="22" t="str">
        <f>_xlfn.TEXTJOIN(" ",TRUE,Employees_Data[[#This Row],[First Name]],Employees_Data[[#This Row],[Last Name]])</f>
        <v>Ahmad Iidlibi</v>
      </c>
      <c r="E365" s="21" t="s">
        <v>25</v>
      </c>
      <c r="F365" s="23">
        <v>43622</v>
      </c>
      <c r="G365" s="24">
        <f ca="1">DATEDIF(Employees!$F365,TODAY(),"Y")</f>
        <v>7</v>
      </c>
      <c r="H365" s="21" t="s">
        <v>81</v>
      </c>
      <c r="I365" s="21" t="s">
        <v>40</v>
      </c>
      <c r="J365" s="21" t="s">
        <v>575</v>
      </c>
      <c r="K365" s="25">
        <v>1255</v>
      </c>
      <c r="L365" s="25">
        <v>15060</v>
      </c>
      <c r="M365" s="21">
        <v>3</v>
      </c>
      <c r="N365" s="21">
        <v>6</v>
      </c>
      <c r="O365" s="21">
        <v>0</v>
      </c>
      <c r="P365" s="21">
        <v>0</v>
      </c>
      <c r="Q365" s="21" t="str">
        <f t="shared" ca="1" si="1"/>
        <v>Not Eligible</v>
      </c>
    </row>
    <row r="366" spans="1:17" ht="15.5" x14ac:dyDescent="0.35">
      <c r="A366" s="20">
        <v>365</v>
      </c>
      <c r="B366" s="21" t="s">
        <v>218</v>
      </c>
      <c r="C366" s="21" t="s">
        <v>576</v>
      </c>
      <c r="D366" s="22" t="str">
        <f>_xlfn.TEXTJOIN(" ",TRUE,Employees_Data[[#This Row],[First Name]],Employees_Data[[#This Row],[Last Name]])</f>
        <v>Fadi Ghazzawi</v>
      </c>
      <c r="E366" s="21" t="s">
        <v>25</v>
      </c>
      <c r="F366" s="23">
        <v>43496</v>
      </c>
      <c r="G366" s="24">
        <f ca="1">DATEDIF(Employees!$F366,TODAY(),"Y")</f>
        <v>7</v>
      </c>
      <c r="H366" s="21" t="s">
        <v>26</v>
      </c>
      <c r="I366" s="21" t="s">
        <v>27</v>
      </c>
      <c r="J366" s="21" t="s">
        <v>575</v>
      </c>
      <c r="K366" s="25">
        <v>3418</v>
      </c>
      <c r="L366" s="25">
        <v>41016</v>
      </c>
      <c r="M366" s="21">
        <v>3</v>
      </c>
      <c r="N366" s="21">
        <v>4</v>
      </c>
      <c r="O366" s="21">
        <v>0</v>
      </c>
      <c r="P366" s="21">
        <v>1</v>
      </c>
      <c r="Q366" s="21" t="str">
        <f t="shared" ca="1" si="1"/>
        <v>Not Eligible</v>
      </c>
    </row>
    <row r="367" spans="1:17" ht="15.5" x14ac:dyDescent="0.35">
      <c r="A367" s="20">
        <v>366</v>
      </c>
      <c r="B367" s="21" t="s">
        <v>406</v>
      </c>
      <c r="C367" s="21" t="s">
        <v>577</v>
      </c>
      <c r="D367" s="22" t="str">
        <f>_xlfn.TEXTJOIN(" ",TRUE,Employees_Data[[#This Row],[First Name]],Employees_Data[[#This Row],[Last Name]])</f>
        <v>Basil Eabd Aleal</v>
      </c>
      <c r="E367" s="21" t="s">
        <v>25</v>
      </c>
      <c r="F367" s="23">
        <v>44165</v>
      </c>
      <c r="G367" s="24">
        <f ca="1">DATEDIF(Employees!$F367,TODAY(),"Y")</f>
        <v>5</v>
      </c>
      <c r="H367" s="21" t="s">
        <v>81</v>
      </c>
      <c r="I367" s="21" t="s">
        <v>27</v>
      </c>
      <c r="J367" s="21" t="s">
        <v>575</v>
      </c>
      <c r="K367" s="25">
        <v>3368</v>
      </c>
      <c r="L367" s="25">
        <v>40416</v>
      </c>
      <c r="M367" s="21">
        <v>3</v>
      </c>
      <c r="N367" s="21">
        <v>0</v>
      </c>
      <c r="O367" s="21">
        <v>0</v>
      </c>
      <c r="P367" s="21">
        <v>8</v>
      </c>
      <c r="Q367" s="21" t="str">
        <f t="shared" ca="1" si="1"/>
        <v>Not Eligible</v>
      </c>
    </row>
    <row r="368" spans="1:17" ht="15.5" x14ac:dyDescent="0.35">
      <c r="A368" s="20">
        <v>367</v>
      </c>
      <c r="B368" s="21" t="s">
        <v>578</v>
      </c>
      <c r="C368" s="21" t="s">
        <v>579</v>
      </c>
      <c r="D368" s="22" t="str">
        <f>_xlfn.TEXTJOIN(" ",TRUE,Employees_Data[[#This Row],[First Name]],Employees_Data[[#This Row],[Last Name]])</f>
        <v>Sali Musuh</v>
      </c>
      <c r="E368" s="21" t="s">
        <v>44</v>
      </c>
      <c r="F368" s="23">
        <v>43784</v>
      </c>
      <c r="G368" s="24">
        <f ca="1">DATEDIF(Employees!$F368,TODAY(),"Y")</f>
        <v>6</v>
      </c>
      <c r="H368" s="21" t="s">
        <v>68</v>
      </c>
      <c r="I368" s="21" t="s">
        <v>53</v>
      </c>
      <c r="J368" s="21" t="s">
        <v>60</v>
      </c>
      <c r="K368" s="25">
        <v>3275</v>
      </c>
      <c r="L368" s="25">
        <v>39300</v>
      </c>
      <c r="M368" s="21">
        <v>3</v>
      </c>
      <c r="N368" s="21">
        <v>1</v>
      </c>
      <c r="O368" s="21">
        <v>2</v>
      </c>
      <c r="P368" s="21">
        <v>12</v>
      </c>
      <c r="Q368" s="21" t="str">
        <f t="shared" ca="1" si="1"/>
        <v>Not Eligible</v>
      </c>
    </row>
    <row r="369" spans="1:17" ht="15.5" x14ac:dyDescent="0.35">
      <c r="A369" s="20">
        <v>368</v>
      </c>
      <c r="B369" s="21" t="s">
        <v>82</v>
      </c>
      <c r="C369" s="21" t="s">
        <v>389</v>
      </c>
      <c r="D369" s="22" t="str">
        <f>_xlfn.TEXTJOIN(" ",TRUE,Employees_Data[[#This Row],[First Name]],Employees_Data[[#This Row],[Last Name]])</f>
        <v>Alaa Iismaeil</v>
      </c>
      <c r="E369" s="21" t="s">
        <v>44</v>
      </c>
      <c r="F369" s="23">
        <v>44192</v>
      </c>
      <c r="G369" s="24">
        <f ca="1">DATEDIF(Employees!$F369,TODAY(),"Y")</f>
        <v>5</v>
      </c>
      <c r="H369" s="21" t="s">
        <v>73</v>
      </c>
      <c r="I369" s="21" t="s">
        <v>53</v>
      </c>
      <c r="J369" s="21" t="s">
        <v>29</v>
      </c>
      <c r="K369" s="25">
        <v>3043</v>
      </c>
      <c r="L369" s="25">
        <v>36516</v>
      </c>
      <c r="M369" s="21">
        <v>2</v>
      </c>
      <c r="N369" s="21">
        <v>0</v>
      </c>
      <c r="O369" s="21">
        <v>0</v>
      </c>
      <c r="P369" s="21">
        <v>8</v>
      </c>
      <c r="Q369" s="21" t="str">
        <f t="shared" ca="1" si="1"/>
        <v>Not Eligible</v>
      </c>
    </row>
    <row r="370" spans="1:17" ht="15.5" x14ac:dyDescent="0.35">
      <c r="A370" s="20">
        <v>369</v>
      </c>
      <c r="B370" s="21" t="s">
        <v>580</v>
      </c>
      <c r="C370" s="21" t="s">
        <v>581</v>
      </c>
      <c r="D370" s="22" t="str">
        <f>_xlfn.TEXTJOIN(" ",TRUE,Employees_Data[[#This Row],[First Name]],Employees_Data[[#This Row],[Last Name]])</f>
        <v>Maria Alhizae</v>
      </c>
      <c r="E370" s="21" t="s">
        <v>44</v>
      </c>
      <c r="F370" s="23">
        <v>43803</v>
      </c>
      <c r="G370" s="24">
        <f ca="1">DATEDIF(Employees!$F370,TODAY(),"Y")</f>
        <v>6</v>
      </c>
      <c r="H370" s="21" t="s">
        <v>140</v>
      </c>
      <c r="I370" s="21" t="s">
        <v>315</v>
      </c>
      <c r="J370" s="21" t="s">
        <v>60</v>
      </c>
      <c r="K370" s="25">
        <v>1122</v>
      </c>
      <c r="L370" s="25">
        <v>13464</v>
      </c>
      <c r="M370" s="21">
        <v>4.5</v>
      </c>
      <c r="N370" s="21">
        <v>2</v>
      </c>
      <c r="O370" s="21">
        <v>4</v>
      </c>
      <c r="P370" s="21">
        <v>7</v>
      </c>
      <c r="Q370" s="21" t="str">
        <f t="shared" ca="1" si="1"/>
        <v>Not Eligible</v>
      </c>
    </row>
    <row r="371" spans="1:17" ht="15.5" x14ac:dyDescent="0.35">
      <c r="A371" s="20">
        <v>370</v>
      </c>
      <c r="B371" s="21" t="s">
        <v>309</v>
      </c>
      <c r="C371" s="21" t="s">
        <v>582</v>
      </c>
      <c r="D371" s="22" t="str">
        <f>_xlfn.TEXTJOIN(" ",TRUE,Employees_Data[[#This Row],[First Name]],Employees_Data[[#This Row],[Last Name]])</f>
        <v>Ghazal Alghan</v>
      </c>
      <c r="E371" s="21" t="s">
        <v>44</v>
      </c>
      <c r="F371" s="23">
        <v>43183</v>
      </c>
      <c r="G371" s="24">
        <f ca="1">DATEDIF(Employees!$F371,TODAY(),"Y")</f>
        <v>8</v>
      </c>
      <c r="H371" s="21" t="s">
        <v>52</v>
      </c>
      <c r="I371" s="21" t="s">
        <v>27</v>
      </c>
      <c r="J371" s="21" t="s">
        <v>54</v>
      </c>
      <c r="K371" s="25">
        <v>764</v>
      </c>
      <c r="L371" s="25">
        <v>9168</v>
      </c>
      <c r="M371" s="21">
        <v>5</v>
      </c>
      <c r="N371" s="21">
        <v>4</v>
      </c>
      <c r="O371" s="21">
        <v>1</v>
      </c>
      <c r="P371" s="21">
        <v>13</v>
      </c>
      <c r="Q371" s="21" t="str">
        <f t="shared" ca="1" si="1"/>
        <v>Not Eligible</v>
      </c>
    </row>
    <row r="372" spans="1:17" ht="15.5" x14ac:dyDescent="0.35">
      <c r="A372" s="20">
        <v>371</v>
      </c>
      <c r="B372" s="21" t="s">
        <v>111</v>
      </c>
      <c r="C372" s="21" t="s">
        <v>583</v>
      </c>
      <c r="D372" s="22" t="str">
        <f>_xlfn.TEXTJOIN(" ",TRUE,Employees_Data[[#This Row],[First Name]],Employees_Data[[#This Row],[Last Name]])</f>
        <v>Eala Mitri</v>
      </c>
      <c r="E372" s="21" t="s">
        <v>44</v>
      </c>
      <c r="F372" s="23">
        <v>43498</v>
      </c>
      <c r="G372" s="24">
        <f ca="1">DATEDIF(Employees!$F372,TODAY(),"Y")</f>
        <v>7</v>
      </c>
      <c r="H372" s="21" t="s">
        <v>65</v>
      </c>
      <c r="I372" s="21" t="s">
        <v>40</v>
      </c>
      <c r="J372" s="21" t="s">
        <v>60</v>
      </c>
      <c r="K372" s="25">
        <v>2879</v>
      </c>
      <c r="L372" s="25">
        <v>34548</v>
      </c>
      <c r="M372" s="21">
        <v>2</v>
      </c>
      <c r="N372" s="21">
        <v>0</v>
      </c>
      <c r="O372" s="21">
        <v>0</v>
      </c>
      <c r="P372" s="21">
        <v>8</v>
      </c>
      <c r="Q372" s="21" t="str">
        <f t="shared" ca="1" si="1"/>
        <v>Not Eligible</v>
      </c>
    </row>
    <row r="373" spans="1:17" ht="15.5" x14ac:dyDescent="0.35">
      <c r="A373" s="20">
        <v>372</v>
      </c>
      <c r="B373" s="21" t="s">
        <v>57</v>
      </c>
      <c r="C373" s="21" t="s">
        <v>584</v>
      </c>
      <c r="D373" s="22" t="str">
        <f>_xlfn.TEXTJOIN(" ",TRUE,Employees_Data[[#This Row],[First Name]],Employees_Data[[#This Row],[Last Name]])</f>
        <v>Muhamad Aleliwi</v>
      </c>
      <c r="E373" s="21" t="s">
        <v>25</v>
      </c>
      <c r="F373" s="23">
        <v>43886</v>
      </c>
      <c r="G373" s="24">
        <f ca="1">DATEDIF(Employees!$F373,TODAY(),"Y")</f>
        <v>6</v>
      </c>
      <c r="H373" s="21" t="s">
        <v>52</v>
      </c>
      <c r="I373" s="21" t="s">
        <v>53</v>
      </c>
      <c r="J373" s="21" t="s">
        <v>29</v>
      </c>
      <c r="K373" s="25">
        <v>2252</v>
      </c>
      <c r="L373" s="25">
        <v>27024</v>
      </c>
      <c r="M373" s="21">
        <v>3</v>
      </c>
      <c r="N373" s="21">
        <v>1</v>
      </c>
      <c r="O373" s="21">
        <v>0</v>
      </c>
      <c r="P373" s="21">
        <v>50</v>
      </c>
      <c r="Q373" s="21" t="str">
        <f t="shared" ca="1" si="1"/>
        <v>Not Eligible</v>
      </c>
    </row>
    <row r="374" spans="1:17" ht="15.5" x14ac:dyDescent="0.35">
      <c r="A374" s="20">
        <v>373</v>
      </c>
      <c r="B374" s="21" t="s">
        <v>55</v>
      </c>
      <c r="C374" s="21" t="s">
        <v>164</v>
      </c>
      <c r="D374" s="22" t="str">
        <f>_xlfn.TEXTJOIN(" ",TRUE,Employees_Data[[#This Row],[First Name]],Employees_Data[[#This Row],[Last Name]])</f>
        <v>Ahmad Almisri</v>
      </c>
      <c r="E374" s="21" t="s">
        <v>25</v>
      </c>
      <c r="F374" s="23">
        <v>43413</v>
      </c>
      <c r="G374" s="24">
        <f ca="1">DATEDIF(Employees!$F374,TODAY(),"Y")</f>
        <v>7</v>
      </c>
      <c r="H374" s="21" t="s">
        <v>59</v>
      </c>
      <c r="I374" s="21" t="s">
        <v>53</v>
      </c>
      <c r="J374" s="21" t="s">
        <v>83</v>
      </c>
      <c r="K374" s="25">
        <v>2149</v>
      </c>
      <c r="L374" s="25">
        <v>25788</v>
      </c>
      <c r="M374" s="21">
        <v>3</v>
      </c>
      <c r="N374" s="21">
        <v>0</v>
      </c>
      <c r="O374" s="21">
        <v>0</v>
      </c>
      <c r="P374" s="21">
        <v>1</v>
      </c>
      <c r="Q374" s="21" t="str">
        <f t="shared" ca="1" si="1"/>
        <v>Not Eligible</v>
      </c>
    </row>
    <row r="375" spans="1:17" ht="15.5" x14ac:dyDescent="0.35">
      <c r="A375" s="20">
        <v>374</v>
      </c>
      <c r="B375" s="21" t="s">
        <v>55</v>
      </c>
      <c r="C375" s="21" t="s">
        <v>585</v>
      </c>
      <c r="D375" s="22" t="str">
        <f>_xlfn.TEXTJOIN(" ",TRUE,Employees_Data[[#This Row],[First Name]],Employees_Data[[#This Row],[Last Name]])</f>
        <v>Ahmad Aldwltali</v>
      </c>
      <c r="E375" s="21" t="s">
        <v>25</v>
      </c>
      <c r="F375" s="23">
        <v>43777</v>
      </c>
      <c r="G375" s="24">
        <f ca="1">DATEDIF(Employees!$F375,TODAY(),"Y")</f>
        <v>6</v>
      </c>
      <c r="H375" s="21" t="s">
        <v>221</v>
      </c>
      <c r="I375" s="21" t="s">
        <v>53</v>
      </c>
      <c r="J375" s="21" t="s">
        <v>54</v>
      </c>
      <c r="K375" s="25">
        <v>2428</v>
      </c>
      <c r="L375" s="25">
        <v>29136</v>
      </c>
      <c r="M375" s="21">
        <v>5</v>
      </c>
      <c r="N375" s="21">
        <v>0</v>
      </c>
      <c r="O375" s="21">
        <v>0</v>
      </c>
      <c r="P375" s="21">
        <v>35</v>
      </c>
      <c r="Q375" s="21" t="str">
        <f t="shared" ca="1" si="1"/>
        <v>Not Eligible</v>
      </c>
    </row>
    <row r="376" spans="1:17" ht="15.5" x14ac:dyDescent="0.35">
      <c r="A376" s="20">
        <v>375</v>
      </c>
      <c r="B376" s="21" t="s">
        <v>57</v>
      </c>
      <c r="C376" s="21" t="s">
        <v>586</v>
      </c>
      <c r="D376" s="22" t="str">
        <f>_xlfn.TEXTJOIN(" ",TRUE,Employees_Data[[#This Row],[First Name]],Employees_Data[[#This Row],[Last Name]])</f>
        <v>Muhamad Udib</v>
      </c>
      <c r="E376" s="21" t="s">
        <v>25</v>
      </c>
      <c r="F376" s="23">
        <v>43750</v>
      </c>
      <c r="G376" s="24">
        <f ca="1">DATEDIF(Employees!$F376,TODAY(),"Y")</f>
        <v>7</v>
      </c>
      <c r="H376" s="21" t="s">
        <v>52</v>
      </c>
      <c r="I376" s="21" t="s">
        <v>27</v>
      </c>
      <c r="J376" s="21" t="s">
        <v>54</v>
      </c>
      <c r="K376" s="25">
        <v>3240</v>
      </c>
      <c r="L376" s="25">
        <v>38880</v>
      </c>
      <c r="M376" s="21">
        <v>5</v>
      </c>
      <c r="N376" s="21">
        <v>0</v>
      </c>
      <c r="O376" s="21">
        <v>0</v>
      </c>
      <c r="P376" s="21">
        <v>6</v>
      </c>
      <c r="Q376" s="21" t="str">
        <f t="shared" ca="1" si="1"/>
        <v>Not Eligible</v>
      </c>
    </row>
    <row r="377" spans="1:17" ht="15.5" x14ac:dyDescent="0.35">
      <c r="A377" s="20">
        <v>376</v>
      </c>
      <c r="B377" s="21" t="s">
        <v>82</v>
      </c>
      <c r="C377" s="21" t="s">
        <v>587</v>
      </c>
      <c r="D377" s="22" t="str">
        <f>_xlfn.TEXTJOIN(" ",TRUE,Employees_Data[[#This Row],[First Name]],Employees_Data[[#This Row],[Last Name]])</f>
        <v>Alaa Yuzbik</v>
      </c>
      <c r="E377" s="21" t="s">
        <v>44</v>
      </c>
      <c r="F377" s="23">
        <v>43170</v>
      </c>
      <c r="G377" s="24">
        <f ca="1">DATEDIF(Employees!$F377,TODAY(),"Y")</f>
        <v>8</v>
      </c>
      <c r="H377" s="21" t="s">
        <v>65</v>
      </c>
      <c r="I377" s="21" t="s">
        <v>27</v>
      </c>
      <c r="J377" s="21" t="s">
        <v>575</v>
      </c>
      <c r="K377" s="25">
        <v>1448</v>
      </c>
      <c r="L377" s="25">
        <v>17376</v>
      </c>
      <c r="M377" s="21">
        <v>3</v>
      </c>
      <c r="N377" s="21">
        <v>4</v>
      </c>
      <c r="O377" s="21">
        <v>0</v>
      </c>
      <c r="P377" s="21">
        <v>10</v>
      </c>
      <c r="Q377" s="21" t="str">
        <f t="shared" ca="1" si="1"/>
        <v>Not Eligible</v>
      </c>
    </row>
    <row r="378" spans="1:17" ht="15.5" x14ac:dyDescent="0.35">
      <c r="A378" s="20">
        <v>377</v>
      </c>
      <c r="B378" s="21" t="s">
        <v>86</v>
      </c>
      <c r="C378" s="21" t="s">
        <v>588</v>
      </c>
      <c r="D378" s="22" t="str">
        <f>_xlfn.TEXTJOIN(" ",TRUE,Employees_Data[[#This Row],[First Name]],Employees_Data[[#This Row],[Last Name]])</f>
        <v>Husayn Zaerur</v>
      </c>
      <c r="E378" s="21" t="s">
        <v>25</v>
      </c>
      <c r="F378" s="23">
        <v>44044</v>
      </c>
      <c r="G378" s="24">
        <f ca="1">DATEDIF(Employees!$F378,TODAY(),"Y")</f>
        <v>6</v>
      </c>
      <c r="H378" s="21" t="s">
        <v>52</v>
      </c>
      <c r="I378" s="21" t="s">
        <v>27</v>
      </c>
      <c r="J378" s="21" t="s">
        <v>575</v>
      </c>
      <c r="K378" s="25">
        <v>2409</v>
      </c>
      <c r="L378" s="25">
        <v>28908</v>
      </c>
      <c r="M378" s="21">
        <v>3</v>
      </c>
      <c r="N378" s="21">
        <v>3</v>
      </c>
      <c r="O378" s="21">
        <v>3</v>
      </c>
      <c r="P378" s="21">
        <v>3</v>
      </c>
      <c r="Q378" s="21" t="str">
        <f t="shared" ca="1" si="1"/>
        <v>Not Eligible</v>
      </c>
    </row>
    <row r="379" spans="1:17" ht="15.5" x14ac:dyDescent="0.35">
      <c r="A379" s="20">
        <v>378</v>
      </c>
      <c r="B379" s="21" t="s">
        <v>354</v>
      </c>
      <c r="C379" s="21" t="s">
        <v>589</v>
      </c>
      <c r="D379" s="22" t="str">
        <f>_xlfn.TEXTJOIN(" ",TRUE,Employees_Data[[#This Row],[First Name]],Employees_Data[[#This Row],[Last Name]])</f>
        <v>Saeid Mazlum</v>
      </c>
      <c r="E379" s="21" t="s">
        <v>25</v>
      </c>
      <c r="F379" s="23">
        <v>43741</v>
      </c>
      <c r="G379" s="24">
        <f ca="1">DATEDIF(Employees!$F379,TODAY(),"Y")</f>
        <v>7</v>
      </c>
      <c r="H379" s="21" t="s">
        <v>110</v>
      </c>
      <c r="I379" s="21" t="s">
        <v>53</v>
      </c>
      <c r="J379" s="21" t="s">
        <v>83</v>
      </c>
      <c r="K379" s="25">
        <v>3030</v>
      </c>
      <c r="L379" s="25">
        <v>36360</v>
      </c>
      <c r="M379" s="21">
        <v>2</v>
      </c>
      <c r="N379" s="21">
        <v>6</v>
      </c>
      <c r="O379" s="21">
        <v>0</v>
      </c>
      <c r="P379" s="21">
        <v>5</v>
      </c>
      <c r="Q379" s="21" t="str">
        <f t="shared" ca="1" si="1"/>
        <v>Not Eligible</v>
      </c>
    </row>
    <row r="380" spans="1:17" ht="15.5" x14ac:dyDescent="0.35">
      <c r="A380" s="20">
        <v>379</v>
      </c>
      <c r="B380" s="21" t="s">
        <v>55</v>
      </c>
      <c r="C380" s="21" t="s">
        <v>590</v>
      </c>
      <c r="D380" s="22" t="str">
        <f>_xlfn.TEXTJOIN(" ",TRUE,Employees_Data[[#This Row],[First Name]],Employees_Data[[#This Row],[Last Name]])</f>
        <v>Ahmad Alghurani</v>
      </c>
      <c r="E380" s="21" t="s">
        <v>25</v>
      </c>
      <c r="F380" s="23">
        <v>44092</v>
      </c>
      <c r="G380" s="24">
        <f ca="1">DATEDIF(Employees!$F380,TODAY(),"Y")</f>
        <v>6</v>
      </c>
      <c r="H380" s="21" t="s">
        <v>52</v>
      </c>
      <c r="I380" s="21" t="s">
        <v>53</v>
      </c>
      <c r="J380" s="21" t="s">
        <v>60</v>
      </c>
      <c r="K380" s="25">
        <v>2544</v>
      </c>
      <c r="L380" s="25">
        <v>30528</v>
      </c>
      <c r="M380" s="21">
        <v>5</v>
      </c>
      <c r="N380" s="21">
        <v>0</v>
      </c>
      <c r="O380" s="21">
        <v>0</v>
      </c>
      <c r="P380" s="21">
        <v>11</v>
      </c>
      <c r="Q380" s="21" t="str">
        <f t="shared" ca="1" si="1"/>
        <v>Not Eligible</v>
      </c>
    </row>
    <row r="381" spans="1:17" ht="15.5" x14ac:dyDescent="0.35">
      <c r="A381" s="20">
        <v>380</v>
      </c>
      <c r="B381" s="21" t="s">
        <v>591</v>
      </c>
      <c r="C381" s="21" t="s">
        <v>55</v>
      </c>
      <c r="D381" s="22" t="str">
        <f>_xlfn.TEXTJOIN(" ",TRUE,Employees_Data[[#This Row],[First Name]],Employees_Data[[#This Row],[Last Name]])</f>
        <v>Abd Alsamad Ahmad</v>
      </c>
      <c r="E381" s="21" t="s">
        <v>25</v>
      </c>
      <c r="F381" s="23">
        <v>42778</v>
      </c>
      <c r="G381" s="24">
        <f ca="1">DATEDIF(Employees!$F381,TODAY(),"Y")</f>
        <v>9</v>
      </c>
      <c r="H381" s="21" t="s">
        <v>76</v>
      </c>
      <c r="I381" s="21" t="s">
        <v>27</v>
      </c>
      <c r="J381" s="21" t="s">
        <v>29</v>
      </c>
      <c r="K381" s="25">
        <v>2872</v>
      </c>
      <c r="L381" s="25">
        <v>34464</v>
      </c>
      <c r="M381" s="21">
        <v>4.5</v>
      </c>
      <c r="N381" s="21">
        <v>5</v>
      </c>
      <c r="O381" s="21">
        <v>0</v>
      </c>
      <c r="P381" s="21">
        <v>7</v>
      </c>
      <c r="Q381" s="21" t="str">
        <f t="shared" ca="1" si="1"/>
        <v>Not Eligible</v>
      </c>
    </row>
    <row r="382" spans="1:17" ht="15.5" x14ac:dyDescent="0.35">
      <c r="A382" s="20">
        <v>381</v>
      </c>
      <c r="B382" s="21" t="s">
        <v>323</v>
      </c>
      <c r="C382" s="21" t="s">
        <v>592</v>
      </c>
      <c r="D382" s="22" t="str">
        <f>_xlfn.TEXTJOIN(" ",TRUE,Employees_Data[[#This Row],[First Name]],Employees_Data[[#This Row],[Last Name]])</f>
        <v>Amir Alhasan</v>
      </c>
      <c r="E382" s="21" t="s">
        <v>25</v>
      </c>
      <c r="F382" s="23">
        <v>43468</v>
      </c>
      <c r="G382" s="24">
        <f ca="1">DATEDIF(Employees!$F382,TODAY(),"Y")</f>
        <v>7</v>
      </c>
      <c r="H382" s="21" t="s">
        <v>59</v>
      </c>
      <c r="I382" s="21" t="s">
        <v>27</v>
      </c>
      <c r="J382" s="21" t="s">
        <v>83</v>
      </c>
      <c r="K382" s="25">
        <v>2263</v>
      </c>
      <c r="L382" s="25">
        <v>27156</v>
      </c>
      <c r="M382" s="21">
        <v>4.5</v>
      </c>
      <c r="N382" s="21">
        <v>0</v>
      </c>
      <c r="O382" s="21">
        <v>0</v>
      </c>
      <c r="P382" s="21">
        <v>8</v>
      </c>
      <c r="Q382" s="21" t="str">
        <f t="shared" ca="1" si="1"/>
        <v>Not Eligible</v>
      </c>
    </row>
    <row r="383" spans="1:17" ht="15.5" x14ac:dyDescent="0.35">
      <c r="A383" s="20">
        <v>382</v>
      </c>
      <c r="B383" s="21" t="s">
        <v>82</v>
      </c>
      <c r="C383" s="21" t="s">
        <v>593</v>
      </c>
      <c r="D383" s="22" t="str">
        <f>_xlfn.TEXTJOIN(" ",TRUE,Employees_Data[[#This Row],[First Name]],Employees_Data[[#This Row],[Last Name]])</f>
        <v>Alaa Altahhan</v>
      </c>
      <c r="E383" s="21" t="s">
        <v>44</v>
      </c>
      <c r="F383" s="23">
        <v>43704</v>
      </c>
      <c r="G383" s="24">
        <f ca="1">DATEDIF(Employees!$F383,TODAY(),"Y")</f>
        <v>7</v>
      </c>
      <c r="H383" s="21" t="s">
        <v>26</v>
      </c>
      <c r="I383" s="21" t="s">
        <v>53</v>
      </c>
      <c r="J383" s="21" t="s">
        <v>575</v>
      </c>
      <c r="K383" s="25">
        <v>2136</v>
      </c>
      <c r="L383" s="25">
        <v>25632</v>
      </c>
      <c r="M383" s="21">
        <v>5</v>
      </c>
      <c r="N383" s="21">
        <v>4</v>
      </c>
      <c r="O383" s="21">
        <v>0</v>
      </c>
      <c r="P383" s="21">
        <v>12</v>
      </c>
      <c r="Q383" s="21" t="str">
        <f t="shared" ca="1" si="1"/>
        <v>Not Eligible</v>
      </c>
    </row>
    <row r="384" spans="1:17" ht="15.5" x14ac:dyDescent="0.35">
      <c r="A384" s="20">
        <v>383</v>
      </c>
      <c r="B384" s="21" t="s">
        <v>72</v>
      </c>
      <c r="C384" s="21" t="s">
        <v>594</v>
      </c>
      <c r="D384" s="22" t="str">
        <f>_xlfn.TEXTJOIN(" ",TRUE,Employees_Data[[#This Row],[First Name]],Employees_Data[[#This Row],[Last Name]])</f>
        <v>Iad Mahfud</v>
      </c>
      <c r="E384" s="21" t="s">
        <v>25</v>
      </c>
      <c r="F384" s="23">
        <v>42940</v>
      </c>
      <c r="G384" s="24">
        <f ca="1">DATEDIF(Employees!$F384,TODAY(),"Y")</f>
        <v>9</v>
      </c>
      <c r="H384" s="21" t="s">
        <v>52</v>
      </c>
      <c r="I384" s="21" t="s">
        <v>27</v>
      </c>
      <c r="J384" s="21" t="s">
        <v>54</v>
      </c>
      <c r="K384" s="25">
        <v>2379</v>
      </c>
      <c r="L384" s="25">
        <v>28548</v>
      </c>
      <c r="M384" s="21">
        <v>4.5</v>
      </c>
      <c r="N384" s="21">
        <v>1</v>
      </c>
      <c r="O384" s="21">
        <v>0</v>
      </c>
      <c r="P384" s="21">
        <v>10</v>
      </c>
      <c r="Q384" s="21" t="str">
        <f t="shared" ca="1" si="1"/>
        <v>Not Eligible</v>
      </c>
    </row>
    <row r="385" spans="1:17" ht="15.5" x14ac:dyDescent="0.35">
      <c r="A385" s="20">
        <v>384</v>
      </c>
      <c r="B385" s="21" t="s">
        <v>595</v>
      </c>
      <c r="C385" s="21" t="s">
        <v>596</v>
      </c>
      <c r="D385" s="22" t="str">
        <f>_xlfn.TEXTJOIN(" ",TRUE,Employees_Data[[#This Row],[First Name]],Employees_Data[[#This Row],[Last Name]])</f>
        <v>Sarah Damrani</v>
      </c>
      <c r="E385" s="21" t="s">
        <v>44</v>
      </c>
      <c r="F385" s="23">
        <v>44036</v>
      </c>
      <c r="G385" s="24">
        <f ca="1">DATEDIF(Employees!$F385,TODAY(),"Y")</f>
        <v>6</v>
      </c>
      <c r="H385" s="21" t="s">
        <v>65</v>
      </c>
      <c r="I385" s="21" t="s">
        <v>27</v>
      </c>
      <c r="J385" s="21" t="s">
        <v>60</v>
      </c>
      <c r="K385" s="25">
        <v>1940</v>
      </c>
      <c r="L385" s="25">
        <v>23280</v>
      </c>
      <c r="M385" s="21">
        <v>3</v>
      </c>
      <c r="N385" s="21">
        <v>4</v>
      </c>
      <c r="O385" s="21">
        <v>6</v>
      </c>
      <c r="P385" s="21">
        <v>5</v>
      </c>
      <c r="Q385" s="21" t="str">
        <f t="shared" ca="1" si="1"/>
        <v>Not Eligible</v>
      </c>
    </row>
    <row r="386" spans="1:17" ht="15.5" x14ac:dyDescent="0.35">
      <c r="A386" s="20">
        <v>385</v>
      </c>
      <c r="B386" s="21" t="s">
        <v>376</v>
      </c>
      <c r="C386" s="21" t="s">
        <v>597</v>
      </c>
      <c r="D386" s="22" t="str">
        <f>_xlfn.TEXTJOIN(" ",TRUE,Employees_Data[[#This Row],[First Name]],Employees_Data[[#This Row],[Last Name]])</f>
        <v>Husam Aldubus</v>
      </c>
      <c r="E386" s="21" t="s">
        <v>25</v>
      </c>
      <c r="F386" s="23">
        <v>43603</v>
      </c>
      <c r="G386" s="24">
        <f ca="1">DATEDIF(Employees!$F386,TODAY(),"Y")</f>
        <v>7</v>
      </c>
      <c r="H386" s="21" t="s">
        <v>76</v>
      </c>
      <c r="I386" s="21" t="s">
        <v>27</v>
      </c>
      <c r="J386" s="21" t="s">
        <v>54</v>
      </c>
      <c r="K386" s="25">
        <v>1558</v>
      </c>
      <c r="L386" s="25">
        <v>18696</v>
      </c>
      <c r="M386" s="21">
        <v>2</v>
      </c>
      <c r="N386" s="21">
        <v>0</v>
      </c>
      <c r="O386" s="21">
        <v>6</v>
      </c>
      <c r="P386" s="21">
        <v>9</v>
      </c>
      <c r="Q386" s="21" t="str">
        <f t="shared" ca="1" si="1"/>
        <v>Not Eligible</v>
      </c>
    </row>
    <row r="387" spans="1:17" ht="15.5" x14ac:dyDescent="0.35">
      <c r="A387" s="20">
        <v>386</v>
      </c>
      <c r="B387" s="21" t="s">
        <v>55</v>
      </c>
      <c r="C387" s="21" t="s">
        <v>598</v>
      </c>
      <c r="D387" s="22" t="str">
        <f>_xlfn.TEXTJOIN(" ",TRUE,Employees_Data[[#This Row],[First Name]],Employees_Data[[#This Row],[Last Name]])</f>
        <v>Ahmad Zynu</v>
      </c>
      <c r="E387" s="21" t="s">
        <v>25</v>
      </c>
      <c r="F387" s="23">
        <v>43563</v>
      </c>
      <c r="G387" s="24">
        <f ca="1">DATEDIF(Employees!$F387,TODAY(),"Y")</f>
        <v>7</v>
      </c>
      <c r="H387" s="21" t="s">
        <v>73</v>
      </c>
      <c r="I387" s="21" t="s">
        <v>27</v>
      </c>
      <c r="J387" s="21" t="s">
        <v>60</v>
      </c>
      <c r="K387" s="25">
        <v>1341</v>
      </c>
      <c r="L387" s="25">
        <v>16092</v>
      </c>
      <c r="M387" s="21">
        <v>5</v>
      </c>
      <c r="N387" s="21">
        <v>3</v>
      </c>
      <c r="O387" s="21">
        <v>0</v>
      </c>
      <c r="P387" s="21">
        <v>8</v>
      </c>
      <c r="Q387" s="21" t="str">
        <f t="shared" ca="1" si="1"/>
        <v>Not Eligible</v>
      </c>
    </row>
    <row r="388" spans="1:17" ht="15.5" x14ac:dyDescent="0.35">
      <c r="A388" s="20">
        <v>387</v>
      </c>
      <c r="B388" s="21" t="s">
        <v>599</v>
      </c>
      <c r="C388" s="21" t="s">
        <v>102</v>
      </c>
      <c r="D388" s="22" t="str">
        <f>_xlfn.TEXTJOIN(" ",TRUE,Employees_Data[[#This Row],[First Name]],Employees_Data[[#This Row],[Last Name]])</f>
        <v>Lwy Abu</v>
      </c>
      <c r="E388" s="21" t="s">
        <v>25</v>
      </c>
      <c r="F388" s="23">
        <v>43566</v>
      </c>
      <c r="G388" s="24">
        <f ca="1">DATEDIF(Employees!$F388,TODAY(),"Y")</f>
        <v>7</v>
      </c>
      <c r="H388" s="21" t="s">
        <v>52</v>
      </c>
      <c r="I388" s="21" t="s">
        <v>27</v>
      </c>
      <c r="J388" s="21" t="s">
        <v>54</v>
      </c>
      <c r="K388" s="25">
        <v>1703</v>
      </c>
      <c r="L388" s="25">
        <v>20436</v>
      </c>
      <c r="M388" s="21">
        <v>5</v>
      </c>
      <c r="N388" s="21">
        <v>2</v>
      </c>
      <c r="O388" s="21">
        <v>0</v>
      </c>
      <c r="P388" s="21">
        <v>10</v>
      </c>
      <c r="Q388" s="21" t="str">
        <f t="shared" ca="1" si="1"/>
        <v>Not Eligible</v>
      </c>
    </row>
    <row r="389" spans="1:17" ht="15.5" x14ac:dyDescent="0.35">
      <c r="A389" s="20">
        <v>388</v>
      </c>
      <c r="B389" s="21" t="s">
        <v>216</v>
      </c>
      <c r="C389" s="21" t="s">
        <v>600</v>
      </c>
      <c r="D389" s="22" t="str">
        <f>_xlfn.TEXTJOIN(" ",TRUE,Employees_Data[[#This Row],[First Name]],Employees_Data[[#This Row],[Last Name]])</f>
        <v>Tariq Shams</v>
      </c>
      <c r="E389" s="21" t="s">
        <v>25</v>
      </c>
      <c r="F389" s="23">
        <v>44032</v>
      </c>
      <c r="G389" s="24">
        <f ca="1">DATEDIF(Employees!$F389,TODAY(),"Y")</f>
        <v>6</v>
      </c>
      <c r="H389" s="21" t="s">
        <v>110</v>
      </c>
      <c r="I389" s="21" t="s">
        <v>27</v>
      </c>
      <c r="J389" s="21" t="s">
        <v>60</v>
      </c>
      <c r="K389" s="25">
        <v>3282</v>
      </c>
      <c r="L389" s="25">
        <v>39384</v>
      </c>
      <c r="M389" s="21">
        <v>1</v>
      </c>
      <c r="N389" s="21">
        <v>0</v>
      </c>
      <c r="O389" s="21">
        <v>0</v>
      </c>
      <c r="P389" s="21">
        <v>2</v>
      </c>
      <c r="Q389" s="21" t="str">
        <f t="shared" ca="1" si="1"/>
        <v>Not Eligible</v>
      </c>
    </row>
    <row r="390" spans="1:17" ht="15.5" x14ac:dyDescent="0.35">
      <c r="A390" s="20">
        <v>389</v>
      </c>
      <c r="B390" s="21" t="s">
        <v>57</v>
      </c>
      <c r="C390" s="21" t="s">
        <v>311</v>
      </c>
      <c r="D390" s="22" t="str">
        <f>_xlfn.TEXTJOIN(" ",TRUE,Employees_Data[[#This Row],[First Name]],Employees_Data[[#This Row],[Last Name]])</f>
        <v>Muhamad Khalil</v>
      </c>
      <c r="E390" s="21" t="s">
        <v>25</v>
      </c>
      <c r="F390" s="23">
        <v>43895</v>
      </c>
      <c r="G390" s="24">
        <f ca="1">DATEDIF(Employees!$F390,TODAY(),"Y")</f>
        <v>6</v>
      </c>
      <c r="H390" s="21" t="s">
        <v>63</v>
      </c>
      <c r="I390" s="21" t="s">
        <v>27</v>
      </c>
      <c r="J390" s="21" t="s">
        <v>29</v>
      </c>
      <c r="K390" s="25">
        <v>3125</v>
      </c>
      <c r="L390" s="25">
        <v>37500</v>
      </c>
      <c r="M390" s="21">
        <v>2</v>
      </c>
      <c r="N390" s="21">
        <v>6</v>
      </c>
      <c r="O390" s="21">
        <v>3</v>
      </c>
      <c r="P390" s="21">
        <v>0</v>
      </c>
      <c r="Q390" s="21" t="str">
        <f t="shared" ca="1" si="1"/>
        <v>Not Eligible</v>
      </c>
    </row>
    <row r="391" spans="1:17" ht="15.5" x14ac:dyDescent="0.35">
      <c r="A391" s="20">
        <v>390</v>
      </c>
      <c r="B391" s="21" t="s">
        <v>212</v>
      </c>
      <c r="C391" s="21" t="s">
        <v>479</v>
      </c>
      <c r="D391" s="22" t="str">
        <f>_xlfn.TEXTJOIN(" ",TRUE,Employees_Data[[#This Row],[First Name]],Employees_Data[[#This Row],[Last Name]])</f>
        <v>Amal Alhusayn</v>
      </c>
      <c r="E391" s="21" t="s">
        <v>44</v>
      </c>
      <c r="F391" s="23">
        <v>43958</v>
      </c>
      <c r="G391" s="24">
        <f ca="1">DATEDIF(Employees!$F391,TODAY(),"Y")</f>
        <v>6</v>
      </c>
      <c r="H391" s="21" t="s">
        <v>65</v>
      </c>
      <c r="I391" s="21" t="s">
        <v>53</v>
      </c>
      <c r="J391" s="21" t="s">
        <v>29</v>
      </c>
      <c r="K391" s="25">
        <v>2232</v>
      </c>
      <c r="L391" s="25">
        <v>26784</v>
      </c>
      <c r="M391" s="21">
        <v>4.5</v>
      </c>
      <c r="N391" s="21">
        <v>0</v>
      </c>
      <c r="O391" s="21">
        <v>0</v>
      </c>
      <c r="P391" s="21">
        <v>7</v>
      </c>
      <c r="Q391" s="21" t="str">
        <f t="shared" ca="1" si="1"/>
        <v>Not Eligible</v>
      </c>
    </row>
    <row r="392" spans="1:17" ht="15.5" x14ac:dyDescent="0.35">
      <c r="A392" s="20">
        <v>391</v>
      </c>
      <c r="B392" s="21" t="s">
        <v>218</v>
      </c>
      <c r="C392" s="21" t="s">
        <v>601</v>
      </c>
      <c r="D392" s="22" t="str">
        <f>_xlfn.TEXTJOIN(" ",TRUE,Employees_Data[[#This Row],[First Name]],Employees_Data[[#This Row],[Last Name]])</f>
        <v>Fadi Shakur</v>
      </c>
      <c r="E392" s="21" t="s">
        <v>25</v>
      </c>
      <c r="F392" s="23">
        <v>42823</v>
      </c>
      <c r="G392" s="24">
        <f ca="1">DATEDIF(Employees!$F392,TODAY(),"Y")</f>
        <v>9</v>
      </c>
      <c r="H392" s="21" t="s">
        <v>99</v>
      </c>
      <c r="I392" s="21" t="s">
        <v>71</v>
      </c>
      <c r="J392" s="21" t="s">
        <v>54</v>
      </c>
      <c r="K392" s="25">
        <v>2513</v>
      </c>
      <c r="L392" s="25">
        <v>30156</v>
      </c>
      <c r="M392" s="21">
        <v>4.5</v>
      </c>
      <c r="N392" s="21">
        <v>2</v>
      </c>
      <c r="O392" s="21">
        <v>0</v>
      </c>
      <c r="P392" s="21">
        <v>8</v>
      </c>
      <c r="Q392" s="21" t="str">
        <f t="shared" ca="1" si="1"/>
        <v>Not Eligible</v>
      </c>
    </row>
    <row r="393" spans="1:17" ht="15.5" x14ac:dyDescent="0.35">
      <c r="A393" s="20">
        <v>392</v>
      </c>
      <c r="B393" s="21" t="s">
        <v>602</v>
      </c>
      <c r="C393" s="21" t="s">
        <v>603</v>
      </c>
      <c r="D393" s="22" t="str">
        <f>_xlfn.TEXTJOIN(" ",TRUE,Employees_Data[[#This Row],[First Name]],Employees_Data[[#This Row],[Last Name]])</f>
        <v>Abdalhai Sarhan</v>
      </c>
      <c r="E393" s="21" t="s">
        <v>25</v>
      </c>
      <c r="F393" s="23">
        <v>42788</v>
      </c>
      <c r="G393" s="24">
        <f ca="1">DATEDIF(Employees!$F393,TODAY(),"Y")</f>
        <v>9</v>
      </c>
      <c r="H393" s="21" t="s">
        <v>76</v>
      </c>
      <c r="I393" s="21" t="s">
        <v>71</v>
      </c>
      <c r="J393" s="21" t="s">
        <v>83</v>
      </c>
      <c r="K393" s="25">
        <v>2818</v>
      </c>
      <c r="L393" s="25">
        <v>33816</v>
      </c>
      <c r="M393" s="21">
        <v>2</v>
      </c>
      <c r="N393" s="21">
        <v>4</v>
      </c>
      <c r="O393" s="21">
        <v>0</v>
      </c>
      <c r="P393" s="21">
        <v>8</v>
      </c>
      <c r="Q393" s="21" t="str">
        <f t="shared" ca="1" si="1"/>
        <v>Not Eligible</v>
      </c>
    </row>
    <row r="394" spans="1:17" ht="15.5" x14ac:dyDescent="0.35">
      <c r="A394" s="20">
        <v>393</v>
      </c>
      <c r="B394" s="21" t="s">
        <v>55</v>
      </c>
      <c r="C394" s="21" t="s">
        <v>345</v>
      </c>
      <c r="D394" s="22" t="str">
        <f>_xlfn.TEXTJOIN(" ",TRUE,Employees_Data[[#This Row],[First Name]],Employees_Data[[#This Row],[Last Name]])</f>
        <v>Ahmad Alqadi</v>
      </c>
      <c r="E394" s="21" t="s">
        <v>25</v>
      </c>
      <c r="F394" s="23">
        <v>43240</v>
      </c>
      <c r="G394" s="24">
        <f ca="1">DATEDIF(Employees!$F394,TODAY(),"Y")</f>
        <v>8</v>
      </c>
      <c r="H394" s="21" t="s">
        <v>99</v>
      </c>
      <c r="I394" s="21" t="s">
        <v>27</v>
      </c>
      <c r="J394" s="21" t="s">
        <v>60</v>
      </c>
      <c r="K394" s="25">
        <v>2257</v>
      </c>
      <c r="L394" s="25">
        <v>27084</v>
      </c>
      <c r="M394" s="21">
        <v>3</v>
      </c>
      <c r="N394" s="21">
        <v>0</v>
      </c>
      <c r="O394" s="21">
        <v>0</v>
      </c>
      <c r="P394" s="21">
        <v>6</v>
      </c>
      <c r="Q394" s="21" t="str">
        <f t="shared" ca="1" si="1"/>
        <v>Not Eligible</v>
      </c>
    </row>
    <row r="395" spans="1:17" ht="15.5" x14ac:dyDescent="0.35">
      <c r="A395" s="20">
        <v>394</v>
      </c>
      <c r="B395" s="21" t="s">
        <v>376</v>
      </c>
      <c r="C395" s="21" t="s">
        <v>604</v>
      </c>
      <c r="D395" s="22" t="str">
        <f>_xlfn.TEXTJOIN(" ",TRUE,Employees_Data[[#This Row],[First Name]],Employees_Data[[#This Row],[Last Name]])</f>
        <v>Husam Albush</v>
      </c>
      <c r="E395" s="21" t="s">
        <v>25</v>
      </c>
      <c r="F395" s="23">
        <v>43944</v>
      </c>
      <c r="G395" s="24">
        <f ca="1">DATEDIF(Employees!$F395,TODAY(),"Y")</f>
        <v>6</v>
      </c>
      <c r="H395" s="21" t="s">
        <v>65</v>
      </c>
      <c r="I395" s="21" t="s">
        <v>27</v>
      </c>
      <c r="J395" s="21" t="s">
        <v>54</v>
      </c>
      <c r="K395" s="25">
        <v>1265</v>
      </c>
      <c r="L395" s="25">
        <v>15180</v>
      </c>
      <c r="M395" s="21">
        <v>3</v>
      </c>
      <c r="N395" s="21">
        <v>0</v>
      </c>
      <c r="O395" s="21">
        <v>0</v>
      </c>
      <c r="P395" s="21">
        <v>5</v>
      </c>
      <c r="Q395" s="21" t="str">
        <f t="shared" ca="1" si="1"/>
        <v>Not Eligible</v>
      </c>
    </row>
    <row r="396" spans="1:17" ht="15.5" x14ac:dyDescent="0.35">
      <c r="A396" s="20">
        <v>395</v>
      </c>
      <c r="B396" s="21" t="s">
        <v>605</v>
      </c>
      <c r="C396" s="21" t="s">
        <v>606</v>
      </c>
      <c r="D396" s="22" t="str">
        <f>_xlfn.TEXTJOIN(" ",TRUE,Employees_Data[[#This Row],[First Name]],Employees_Data[[#This Row],[Last Name]])</f>
        <v>Anas Eabidin</v>
      </c>
      <c r="E396" s="21" t="s">
        <v>25</v>
      </c>
      <c r="F396" s="23">
        <v>44130</v>
      </c>
      <c r="G396" s="24">
        <f ca="1">DATEDIF(Employees!$F396,TODAY(),"Y")</f>
        <v>6</v>
      </c>
      <c r="H396" s="21" t="s">
        <v>95</v>
      </c>
      <c r="I396" s="21" t="s">
        <v>53</v>
      </c>
      <c r="J396" s="21" t="s">
        <v>54</v>
      </c>
      <c r="K396" s="25">
        <v>2207</v>
      </c>
      <c r="L396" s="25">
        <v>26484</v>
      </c>
      <c r="M396" s="21">
        <v>3</v>
      </c>
      <c r="N396" s="21">
        <v>2</v>
      </c>
      <c r="O396" s="21">
        <v>0</v>
      </c>
      <c r="P396" s="21">
        <v>0</v>
      </c>
      <c r="Q396" s="21" t="str">
        <f t="shared" ca="1" si="1"/>
        <v>Not Eligible</v>
      </c>
    </row>
    <row r="397" spans="1:17" ht="15.5" x14ac:dyDescent="0.35">
      <c r="A397" s="20">
        <v>396</v>
      </c>
      <c r="B397" s="21" t="s">
        <v>57</v>
      </c>
      <c r="C397" s="21" t="s">
        <v>607</v>
      </c>
      <c r="D397" s="22" t="str">
        <f>_xlfn.TEXTJOIN(" ",TRUE,Employees_Data[[#This Row],[First Name]],Employees_Data[[#This Row],[Last Name]])</f>
        <v>Muhamad Ebdalwahd</v>
      </c>
      <c r="E397" s="21" t="s">
        <v>25</v>
      </c>
      <c r="F397" s="23">
        <v>43500</v>
      </c>
      <c r="G397" s="24">
        <f ca="1">DATEDIF(Employees!$F397,TODAY(),"Y")</f>
        <v>7</v>
      </c>
      <c r="H397" s="21" t="s">
        <v>81</v>
      </c>
      <c r="I397" s="21" t="s">
        <v>27</v>
      </c>
      <c r="J397" s="21" t="s">
        <v>60</v>
      </c>
      <c r="K397" s="25">
        <v>2806</v>
      </c>
      <c r="L397" s="25">
        <v>33672</v>
      </c>
      <c r="M397" s="21">
        <v>3</v>
      </c>
      <c r="N397" s="21">
        <v>0</v>
      </c>
      <c r="O397" s="21">
        <v>0</v>
      </c>
      <c r="P397" s="21">
        <v>4</v>
      </c>
      <c r="Q397" s="21" t="str">
        <f t="shared" ca="1" si="1"/>
        <v>Not Eligible</v>
      </c>
    </row>
    <row r="398" spans="1:17" ht="15.5" x14ac:dyDescent="0.35">
      <c r="A398" s="20">
        <v>397</v>
      </c>
      <c r="B398" s="21" t="s">
        <v>186</v>
      </c>
      <c r="C398" s="21" t="s">
        <v>300</v>
      </c>
      <c r="D398" s="22" t="str">
        <f>_xlfn.TEXTJOIN(" ",TRUE,Employees_Data[[#This Row],[First Name]],Employees_Data[[#This Row],[Last Name]])</f>
        <v>Khalid Iibrahim</v>
      </c>
      <c r="E398" s="21" t="s">
        <v>25</v>
      </c>
      <c r="F398" s="23">
        <v>42781</v>
      </c>
      <c r="G398" s="24">
        <f ca="1">DATEDIF(Employees!$F398,TODAY(),"Y")</f>
        <v>9</v>
      </c>
      <c r="H398" s="21" t="s">
        <v>184</v>
      </c>
      <c r="I398" s="21" t="s">
        <v>53</v>
      </c>
      <c r="J398" s="21" t="s">
        <v>83</v>
      </c>
      <c r="K398" s="25">
        <v>1521</v>
      </c>
      <c r="L398" s="25">
        <v>18252</v>
      </c>
      <c r="M398" s="21">
        <v>5</v>
      </c>
      <c r="N398" s="21">
        <v>6</v>
      </c>
      <c r="O398" s="21">
        <v>0</v>
      </c>
      <c r="P398" s="21">
        <v>3</v>
      </c>
      <c r="Q398" s="21" t="str">
        <f t="shared" ca="1" si="1"/>
        <v>Not Eligible</v>
      </c>
    </row>
    <row r="399" spans="1:17" ht="15.5" x14ac:dyDescent="0.35">
      <c r="A399" s="20">
        <v>398</v>
      </c>
      <c r="B399" s="21" t="s">
        <v>57</v>
      </c>
      <c r="C399" s="21" t="s">
        <v>608</v>
      </c>
      <c r="D399" s="22" t="str">
        <f>_xlfn.TEXTJOIN(" ",TRUE,Employees_Data[[#This Row],[First Name]],Employees_Data[[#This Row],[Last Name]])</f>
        <v>Muhamad Aleazm</v>
      </c>
      <c r="E399" s="21" t="s">
        <v>25</v>
      </c>
      <c r="F399" s="23">
        <v>43197</v>
      </c>
      <c r="G399" s="24">
        <f ca="1">DATEDIF(Employees!$F399,TODAY(),"Y")</f>
        <v>8</v>
      </c>
      <c r="H399" s="21" t="s">
        <v>76</v>
      </c>
      <c r="I399" s="21" t="s">
        <v>27</v>
      </c>
      <c r="J399" s="21" t="s">
        <v>83</v>
      </c>
      <c r="K399" s="25">
        <v>1867</v>
      </c>
      <c r="L399" s="25">
        <v>22404</v>
      </c>
      <c r="M399" s="21">
        <v>3</v>
      </c>
      <c r="N399" s="21">
        <v>0</v>
      </c>
      <c r="O399" s="21">
        <v>0</v>
      </c>
      <c r="P399" s="21">
        <v>0</v>
      </c>
      <c r="Q399" s="21" t="str">
        <f t="shared" ca="1" si="1"/>
        <v>Not Eligible</v>
      </c>
    </row>
    <row r="400" spans="1:17" ht="15.5" x14ac:dyDescent="0.35">
      <c r="A400" s="20">
        <v>399</v>
      </c>
      <c r="B400" s="21" t="s">
        <v>609</v>
      </c>
      <c r="C400" s="21" t="s">
        <v>610</v>
      </c>
      <c r="D400" s="22" t="str">
        <f>_xlfn.TEXTJOIN(" ",TRUE,Employees_Data[[#This Row],[First Name]],Employees_Data[[#This Row],[Last Name]])</f>
        <v>Maya Alhmwi</v>
      </c>
      <c r="E400" s="21" t="s">
        <v>44</v>
      </c>
      <c r="F400" s="23">
        <v>43444</v>
      </c>
      <c r="G400" s="24">
        <f ca="1">DATEDIF(Employees!$F400,TODAY(),"Y")</f>
        <v>7</v>
      </c>
      <c r="H400" s="21" t="s">
        <v>26</v>
      </c>
      <c r="I400" s="21" t="s">
        <v>40</v>
      </c>
      <c r="J400" s="21" t="s">
        <v>60</v>
      </c>
      <c r="K400" s="25">
        <v>2425</v>
      </c>
      <c r="L400" s="25">
        <v>29100</v>
      </c>
      <c r="M400" s="21">
        <v>5</v>
      </c>
      <c r="N400" s="21">
        <v>0</v>
      </c>
      <c r="O400" s="21">
        <v>0</v>
      </c>
      <c r="P400" s="21">
        <v>10</v>
      </c>
      <c r="Q400" s="21" t="str">
        <f t="shared" ca="1" si="1"/>
        <v>Not Eligible</v>
      </c>
    </row>
    <row r="401" spans="1:17" ht="15.5" x14ac:dyDescent="0.35">
      <c r="A401" s="20">
        <v>400</v>
      </c>
      <c r="B401" s="21" t="s">
        <v>406</v>
      </c>
      <c r="C401" s="21" t="s">
        <v>611</v>
      </c>
      <c r="D401" s="22" t="str">
        <f>_xlfn.TEXTJOIN(" ",TRUE,Employees_Data[[#This Row],[First Name]],Employees_Data[[#This Row],[Last Name]])</f>
        <v>Basil Khiat</v>
      </c>
      <c r="E401" s="21" t="s">
        <v>25</v>
      </c>
      <c r="F401" s="23">
        <v>44179</v>
      </c>
      <c r="G401" s="24">
        <f ca="1">DATEDIF(Employees!$F401,TODAY(),"Y")</f>
        <v>5</v>
      </c>
      <c r="H401" s="21" t="s">
        <v>81</v>
      </c>
      <c r="I401" s="21" t="s">
        <v>40</v>
      </c>
      <c r="J401" s="21" t="s">
        <v>54</v>
      </c>
      <c r="K401" s="25">
        <v>1758</v>
      </c>
      <c r="L401" s="25">
        <v>21096</v>
      </c>
      <c r="M401" s="21">
        <v>5</v>
      </c>
      <c r="N401" s="21">
        <v>0</v>
      </c>
      <c r="O401" s="21">
        <v>0</v>
      </c>
      <c r="P401" s="21">
        <v>0</v>
      </c>
      <c r="Q401" s="21" t="str">
        <f t="shared" ca="1" si="1"/>
        <v>Not Eligible</v>
      </c>
    </row>
    <row r="402" spans="1:17" ht="15.5" x14ac:dyDescent="0.35">
      <c r="A402" s="20">
        <v>401</v>
      </c>
      <c r="B402" s="21" t="s">
        <v>57</v>
      </c>
      <c r="C402" s="21" t="s">
        <v>517</v>
      </c>
      <c r="D402" s="22" t="str">
        <f>_xlfn.TEXTJOIN(" ",TRUE,Employees_Data[[#This Row],[First Name]],Employees_Data[[#This Row],[Last Name]])</f>
        <v>Muhamad Zaydan</v>
      </c>
      <c r="E402" s="21" t="s">
        <v>25</v>
      </c>
      <c r="F402" s="23">
        <v>44191</v>
      </c>
      <c r="G402" s="24">
        <f ca="1">DATEDIF(Employees!$F402,TODAY(),"Y")</f>
        <v>5</v>
      </c>
      <c r="H402" s="21" t="s">
        <v>52</v>
      </c>
      <c r="I402" s="21" t="s">
        <v>71</v>
      </c>
      <c r="J402" s="21" t="s">
        <v>575</v>
      </c>
      <c r="K402" s="25">
        <v>2832</v>
      </c>
      <c r="L402" s="25">
        <v>33984</v>
      </c>
      <c r="M402" s="21">
        <v>3</v>
      </c>
      <c r="N402" s="21">
        <v>0</v>
      </c>
      <c r="O402" s="21">
        <v>0</v>
      </c>
      <c r="P402" s="21">
        <v>1</v>
      </c>
      <c r="Q402" s="21" t="str">
        <f t="shared" ca="1" si="1"/>
        <v>Not Eligible</v>
      </c>
    </row>
    <row r="403" spans="1:17" ht="15.5" x14ac:dyDescent="0.35">
      <c r="A403" s="20">
        <v>402</v>
      </c>
      <c r="B403" s="21" t="s">
        <v>612</v>
      </c>
      <c r="C403" s="21" t="s">
        <v>613</v>
      </c>
      <c r="D403" s="22" t="str">
        <f>_xlfn.TEXTJOIN(" ",TRUE,Employees_Data[[#This Row],[First Name]],Employees_Data[[#This Row],[Last Name]])</f>
        <v>Randa Alajw</v>
      </c>
      <c r="E403" s="21" t="s">
        <v>44</v>
      </c>
      <c r="F403" s="23">
        <v>42879</v>
      </c>
      <c r="G403" s="24">
        <f ca="1">DATEDIF(Employees!$F403,TODAY(),"Y")</f>
        <v>9</v>
      </c>
      <c r="H403" s="21" t="s">
        <v>81</v>
      </c>
      <c r="I403" s="21" t="s">
        <v>27</v>
      </c>
      <c r="J403" s="21" t="s">
        <v>60</v>
      </c>
      <c r="K403" s="25">
        <v>1371</v>
      </c>
      <c r="L403" s="25">
        <v>16452</v>
      </c>
      <c r="M403" s="21">
        <v>1</v>
      </c>
      <c r="N403" s="21">
        <v>1</v>
      </c>
      <c r="O403" s="21">
        <v>0</v>
      </c>
      <c r="P403" s="21">
        <v>8</v>
      </c>
      <c r="Q403" s="21" t="str">
        <f t="shared" ca="1" si="1"/>
        <v>Not Eligible</v>
      </c>
    </row>
    <row r="404" spans="1:17" ht="15.5" x14ac:dyDescent="0.35">
      <c r="A404" s="20">
        <v>403</v>
      </c>
      <c r="B404" s="21" t="s">
        <v>57</v>
      </c>
      <c r="C404" s="21" t="s">
        <v>614</v>
      </c>
      <c r="D404" s="22" t="str">
        <f>_xlfn.TEXTJOIN(" ",TRUE,Employees_Data[[#This Row],[First Name]],Employees_Data[[#This Row],[Last Name]])</f>
        <v>Muhamad Alghazi</v>
      </c>
      <c r="E404" s="21" t="s">
        <v>25</v>
      </c>
      <c r="F404" s="23">
        <v>43461</v>
      </c>
      <c r="G404" s="24">
        <f ca="1">DATEDIF(Employees!$F404,TODAY(),"Y")</f>
        <v>7</v>
      </c>
      <c r="H404" s="21" t="s">
        <v>81</v>
      </c>
      <c r="I404" s="21" t="s">
        <v>27</v>
      </c>
      <c r="J404" s="21" t="s">
        <v>575</v>
      </c>
      <c r="K404" s="25">
        <v>2904</v>
      </c>
      <c r="L404" s="25">
        <v>34848</v>
      </c>
      <c r="M404" s="21">
        <v>5</v>
      </c>
      <c r="N404" s="21">
        <v>6</v>
      </c>
      <c r="O404" s="21">
        <v>0</v>
      </c>
      <c r="P404" s="21">
        <v>3</v>
      </c>
      <c r="Q404" s="21" t="str">
        <f t="shared" ca="1" si="1"/>
        <v>Not Eligible</v>
      </c>
    </row>
    <row r="405" spans="1:17" ht="15.5" x14ac:dyDescent="0.35">
      <c r="A405" s="20">
        <v>404</v>
      </c>
      <c r="B405" s="21" t="s">
        <v>330</v>
      </c>
      <c r="C405" s="21" t="s">
        <v>615</v>
      </c>
      <c r="D405" s="22" t="str">
        <f>_xlfn.TEXTJOIN(" ",TRUE,Employees_Data[[#This Row],[First Name]],Employees_Data[[#This Row],[Last Name]])</f>
        <v>Rahaf Eijluni</v>
      </c>
      <c r="E405" s="21" t="s">
        <v>44</v>
      </c>
      <c r="F405" s="23">
        <v>43512</v>
      </c>
      <c r="G405" s="24">
        <f ca="1">DATEDIF(Employees!$F405,TODAY(),"Y")</f>
        <v>7</v>
      </c>
      <c r="H405" s="21" t="s">
        <v>59</v>
      </c>
      <c r="I405" s="21" t="s">
        <v>315</v>
      </c>
      <c r="J405" s="21" t="s">
        <v>54</v>
      </c>
      <c r="K405" s="25">
        <v>3285</v>
      </c>
      <c r="L405" s="25">
        <v>39420</v>
      </c>
      <c r="M405" s="21">
        <v>3</v>
      </c>
      <c r="N405" s="21">
        <v>2</v>
      </c>
      <c r="O405" s="21">
        <v>0</v>
      </c>
      <c r="P405" s="21">
        <v>0</v>
      </c>
      <c r="Q405" s="21" t="str">
        <f t="shared" ca="1" si="1"/>
        <v>Not Eligible</v>
      </c>
    </row>
    <row r="406" spans="1:17" ht="15.5" x14ac:dyDescent="0.35">
      <c r="A406" s="20">
        <v>405</v>
      </c>
      <c r="B406" s="21" t="s">
        <v>616</v>
      </c>
      <c r="C406" s="21" t="s">
        <v>617</v>
      </c>
      <c r="D406" s="22" t="str">
        <f>_xlfn.TEXTJOIN(" ",TRUE,Employees_Data[[#This Row],[First Name]],Employees_Data[[#This Row],[Last Name]])</f>
        <v>Sultan Alhijar</v>
      </c>
      <c r="E406" s="21" t="s">
        <v>25</v>
      </c>
      <c r="F406" s="23">
        <v>43290</v>
      </c>
      <c r="G406" s="24">
        <f ca="1">DATEDIF(Employees!$F406,TODAY(),"Y")</f>
        <v>8</v>
      </c>
      <c r="H406" s="21" t="s">
        <v>76</v>
      </c>
      <c r="I406" s="21" t="s">
        <v>27</v>
      </c>
      <c r="J406" s="21" t="s">
        <v>29</v>
      </c>
      <c r="K406" s="25">
        <v>2964</v>
      </c>
      <c r="L406" s="25">
        <v>35568</v>
      </c>
      <c r="M406" s="21">
        <v>5</v>
      </c>
      <c r="N406" s="21">
        <v>2</v>
      </c>
      <c r="O406" s="21">
        <v>0</v>
      </c>
      <c r="P406" s="21">
        <v>45</v>
      </c>
      <c r="Q406" s="21" t="str">
        <f t="shared" ca="1" si="1"/>
        <v>Not Eligible</v>
      </c>
    </row>
    <row r="407" spans="1:17" ht="15.5" x14ac:dyDescent="0.35">
      <c r="A407" s="20">
        <v>406</v>
      </c>
      <c r="B407" s="21" t="s">
        <v>618</v>
      </c>
      <c r="C407" s="21" t="s">
        <v>619</v>
      </c>
      <c r="D407" s="22" t="str">
        <f>_xlfn.TEXTJOIN(" ",TRUE,Employees_Data[[#This Row],[First Name]],Employees_Data[[#This Row],[Last Name]])</f>
        <v>Asma Sadqawi</v>
      </c>
      <c r="E407" s="21" t="s">
        <v>44</v>
      </c>
      <c r="F407" s="23">
        <v>43195</v>
      </c>
      <c r="G407" s="24">
        <f ca="1">DATEDIF(Employees!$F407,TODAY(),"Y")</f>
        <v>8</v>
      </c>
      <c r="H407" s="21" t="s">
        <v>65</v>
      </c>
      <c r="I407" s="21" t="s">
        <v>53</v>
      </c>
      <c r="J407" s="21" t="s">
        <v>60</v>
      </c>
      <c r="K407" s="25">
        <v>974</v>
      </c>
      <c r="L407" s="25">
        <v>11688</v>
      </c>
      <c r="M407" s="21">
        <v>2</v>
      </c>
      <c r="N407" s="21">
        <v>5</v>
      </c>
      <c r="O407" s="21">
        <v>0</v>
      </c>
      <c r="P407" s="21">
        <v>5</v>
      </c>
      <c r="Q407" s="21" t="str">
        <f t="shared" ca="1" si="1"/>
        <v>Not Eligible</v>
      </c>
    </row>
    <row r="408" spans="1:17" ht="15.5" x14ac:dyDescent="0.35">
      <c r="A408" s="20">
        <v>407</v>
      </c>
      <c r="B408" s="21" t="s">
        <v>620</v>
      </c>
      <c r="C408" s="21" t="s">
        <v>621</v>
      </c>
      <c r="D408" s="22" t="str">
        <f>_xlfn.TEXTJOIN(" ",TRUE,Employees_Data[[#This Row],[First Name]],Employees_Data[[#This Row],[Last Name]])</f>
        <v>Fulla Alkhalid</v>
      </c>
      <c r="E408" s="21" t="s">
        <v>44</v>
      </c>
      <c r="F408" s="23">
        <v>43579</v>
      </c>
      <c r="G408" s="24">
        <f ca="1">DATEDIF(Employees!$F408,TODAY(),"Y")</f>
        <v>7</v>
      </c>
      <c r="H408" s="21" t="s">
        <v>65</v>
      </c>
      <c r="I408" s="21" t="s">
        <v>40</v>
      </c>
      <c r="J408" s="21" t="s">
        <v>575</v>
      </c>
      <c r="K408" s="25">
        <v>2607</v>
      </c>
      <c r="L408" s="25">
        <v>31284</v>
      </c>
      <c r="M408" s="21">
        <v>4.5</v>
      </c>
      <c r="N408" s="21">
        <v>0</v>
      </c>
      <c r="O408" s="21">
        <v>0</v>
      </c>
      <c r="P408" s="21">
        <v>9</v>
      </c>
      <c r="Q408" s="21" t="str">
        <f t="shared" ca="1" si="1"/>
        <v>Not Eligible</v>
      </c>
    </row>
    <row r="409" spans="1:17" ht="15.5" x14ac:dyDescent="0.35">
      <c r="A409" s="20">
        <v>408</v>
      </c>
      <c r="B409" s="21" t="s">
        <v>622</v>
      </c>
      <c r="C409" s="21" t="s">
        <v>331</v>
      </c>
      <c r="D409" s="22" t="str">
        <f>_xlfn.TEXTJOIN(" ",TRUE,Employees_Data[[#This Row],[First Name]],Employees_Data[[#This Row],[Last Name]])</f>
        <v>Lujin Alaleppoy</v>
      </c>
      <c r="E409" s="21" t="s">
        <v>44</v>
      </c>
      <c r="F409" s="23">
        <v>42998</v>
      </c>
      <c r="G409" s="24">
        <f ca="1">DATEDIF(Employees!$F409,TODAY(),"Y")</f>
        <v>9</v>
      </c>
      <c r="H409" s="21" t="s">
        <v>26</v>
      </c>
      <c r="I409" s="21" t="s">
        <v>27</v>
      </c>
      <c r="J409" s="21" t="s">
        <v>54</v>
      </c>
      <c r="K409" s="25">
        <v>1550</v>
      </c>
      <c r="L409" s="25">
        <v>18600</v>
      </c>
      <c r="M409" s="21">
        <v>1</v>
      </c>
      <c r="N409" s="21">
        <v>0</v>
      </c>
      <c r="O409" s="21">
        <v>0</v>
      </c>
      <c r="P409" s="21">
        <v>3</v>
      </c>
      <c r="Q409" s="21" t="str">
        <f t="shared" ca="1" si="1"/>
        <v>Not Eligible</v>
      </c>
    </row>
    <row r="410" spans="1:17" ht="15.5" x14ac:dyDescent="0.35">
      <c r="A410" s="20">
        <v>409</v>
      </c>
      <c r="B410" s="21" t="s">
        <v>623</v>
      </c>
      <c r="C410" s="21" t="s">
        <v>624</v>
      </c>
      <c r="D410" s="22" t="str">
        <f>_xlfn.TEXTJOIN(" ",TRUE,Employees_Data[[#This Row],[First Name]],Employees_Data[[#This Row],[Last Name]])</f>
        <v>Jihan Alqudmani</v>
      </c>
      <c r="E410" s="21" t="s">
        <v>44</v>
      </c>
      <c r="F410" s="23">
        <v>42574</v>
      </c>
      <c r="G410" s="24">
        <f ca="1">DATEDIF(Employees!$F410,TODAY(),"Y")</f>
        <v>10</v>
      </c>
      <c r="H410" s="21" t="s">
        <v>63</v>
      </c>
      <c r="I410" s="21" t="s">
        <v>27</v>
      </c>
      <c r="J410" s="21" t="s">
        <v>54</v>
      </c>
      <c r="K410" s="25">
        <v>1631</v>
      </c>
      <c r="L410" s="25">
        <v>19572</v>
      </c>
      <c r="M410" s="21">
        <v>4.5</v>
      </c>
      <c r="N410" s="21">
        <v>0</v>
      </c>
      <c r="O410" s="21">
        <v>0</v>
      </c>
      <c r="P410" s="21">
        <v>4</v>
      </c>
      <c r="Q410" s="21" t="str">
        <f t="shared" ca="1" si="1"/>
        <v>Not Eligible</v>
      </c>
    </row>
    <row r="411" spans="1:17" ht="15.5" x14ac:dyDescent="0.35">
      <c r="A411" s="20">
        <v>410</v>
      </c>
      <c r="B411" s="21" t="s">
        <v>255</v>
      </c>
      <c r="C411" s="21" t="s">
        <v>625</v>
      </c>
      <c r="D411" s="22" t="str">
        <f>_xlfn.TEXTJOIN(" ",TRUE,Employees_Data[[#This Row],[First Name]],Employees_Data[[#This Row],[Last Name]])</f>
        <v>Anwar Alkhayran</v>
      </c>
      <c r="E411" s="21" t="s">
        <v>25</v>
      </c>
      <c r="F411" s="23">
        <v>43506</v>
      </c>
      <c r="G411" s="24">
        <f ca="1">DATEDIF(Employees!$F411,TODAY(),"Y")</f>
        <v>7</v>
      </c>
      <c r="H411" s="21" t="s">
        <v>81</v>
      </c>
      <c r="I411" s="21" t="s">
        <v>27</v>
      </c>
      <c r="J411" s="21" t="s">
        <v>575</v>
      </c>
      <c r="K411" s="25">
        <v>3003</v>
      </c>
      <c r="L411" s="25">
        <v>36036</v>
      </c>
      <c r="M411" s="21">
        <v>1</v>
      </c>
      <c r="N411" s="21">
        <v>6</v>
      </c>
      <c r="O411" s="21">
        <v>1</v>
      </c>
      <c r="P411" s="21">
        <v>6</v>
      </c>
      <c r="Q411" s="21" t="str">
        <f t="shared" ca="1" si="1"/>
        <v>Not Eligible</v>
      </c>
    </row>
    <row r="412" spans="1:17" ht="15.5" x14ac:dyDescent="0.35">
      <c r="A412" s="20">
        <v>411</v>
      </c>
      <c r="B412" s="21" t="s">
        <v>626</v>
      </c>
      <c r="C412" s="21" t="s">
        <v>57</v>
      </c>
      <c r="D412" s="22" t="str">
        <f>_xlfn.TEXTJOIN(" ",TRUE,Employees_Data[[#This Row],[First Name]],Employees_Data[[#This Row],[Last Name]])</f>
        <v>Qasim Muhamad</v>
      </c>
      <c r="E412" s="21" t="s">
        <v>25</v>
      </c>
      <c r="F412" s="23">
        <v>43800</v>
      </c>
      <c r="G412" s="24">
        <f ca="1">DATEDIF(Employees!$F412,TODAY(),"Y")</f>
        <v>6</v>
      </c>
      <c r="H412" s="21" t="s">
        <v>52</v>
      </c>
      <c r="I412" s="21" t="s">
        <v>27</v>
      </c>
      <c r="J412" s="21" t="s">
        <v>29</v>
      </c>
      <c r="K412" s="25">
        <v>913</v>
      </c>
      <c r="L412" s="25">
        <v>10956</v>
      </c>
      <c r="M412" s="21">
        <v>5</v>
      </c>
      <c r="N412" s="21">
        <v>0</v>
      </c>
      <c r="O412" s="21">
        <v>0</v>
      </c>
      <c r="P412" s="21">
        <v>12</v>
      </c>
      <c r="Q412" s="21" t="str">
        <f t="shared" ca="1" si="1"/>
        <v>Not Eligible</v>
      </c>
    </row>
    <row r="413" spans="1:17" ht="15.5" x14ac:dyDescent="0.35">
      <c r="A413" s="20">
        <v>412</v>
      </c>
      <c r="B413" s="21" t="s">
        <v>91</v>
      </c>
      <c r="C413" s="21" t="s">
        <v>627</v>
      </c>
      <c r="D413" s="22" t="str">
        <f>_xlfn.TEXTJOIN(" ",TRUE,Employees_Data[[#This Row],[First Name]],Employees_Data[[#This Row],[Last Name]])</f>
        <v>Samir Altaynawi</v>
      </c>
      <c r="E413" s="21" t="s">
        <v>25</v>
      </c>
      <c r="F413" s="23">
        <v>42934</v>
      </c>
      <c r="G413" s="24">
        <f ca="1">DATEDIF(Employees!$F413,TODAY(),"Y")</f>
        <v>9</v>
      </c>
      <c r="H413" s="21" t="s">
        <v>76</v>
      </c>
      <c r="I413" s="21" t="s">
        <v>27</v>
      </c>
      <c r="J413" s="21" t="s">
        <v>83</v>
      </c>
      <c r="K413" s="25">
        <v>2076</v>
      </c>
      <c r="L413" s="25">
        <v>24912</v>
      </c>
      <c r="M413" s="21">
        <v>3</v>
      </c>
      <c r="N413" s="21">
        <v>0</v>
      </c>
      <c r="O413" s="21">
        <v>0</v>
      </c>
      <c r="P413" s="21">
        <v>4</v>
      </c>
      <c r="Q413" s="21" t="str">
        <f t="shared" ca="1" si="1"/>
        <v>Not Eligible</v>
      </c>
    </row>
    <row r="414" spans="1:17" ht="15.5" x14ac:dyDescent="0.35">
      <c r="A414" s="20">
        <v>413</v>
      </c>
      <c r="B414" s="21" t="s">
        <v>82</v>
      </c>
      <c r="C414" s="21" t="s">
        <v>628</v>
      </c>
      <c r="D414" s="22" t="str">
        <f>_xlfn.TEXTJOIN(" ",TRUE,Employees_Data[[#This Row],[First Name]],Employees_Data[[#This Row],[Last Name]])</f>
        <v>Alaa Hafiz</v>
      </c>
      <c r="E414" s="21" t="s">
        <v>44</v>
      </c>
      <c r="F414" s="23">
        <v>44008</v>
      </c>
      <c r="G414" s="24">
        <f ca="1">DATEDIF(Employees!$F414,TODAY(),"Y")</f>
        <v>6</v>
      </c>
      <c r="H414" s="21" t="s">
        <v>76</v>
      </c>
      <c r="I414" s="21" t="s">
        <v>27</v>
      </c>
      <c r="J414" s="21" t="s">
        <v>29</v>
      </c>
      <c r="K414" s="25">
        <v>2749</v>
      </c>
      <c r="L414" s="25">
        <v>32988</v>
      </c>
      <c r="M414" s="21">
        <v>3</v>
      </c>
      <c r="N414" s="21">
        <v>5</v>
      </c>
      <c r="O414" s="21">
        <v>4</v>
      </c>
      <c r="P414" s="21">
        <v>0</v>
      </c>
      <c r="Q414" s="21" t="str">
        <f t="shared" ca="1" si="1"/>
        <v>Not Eligible</v>
      </c>
    </row>
    <row r="415" spans="1:17" ht="15.5" x14ac:dyDescent="0.35">
      <c r="A415" s="20">
        <v>414</v>
      </c>
      <c r="B415" s="21" t="s">
        <v>629</v>
      </c>
      <c r="C415" s="21" t="s">
        <v>630</v>
      </c>
      <c r="D415" s="22" t="str">
        <f>_xlfn.TEXTJOIN(" ",TRUE,Employees_Data[[#This Row],[First Name]],Employees_Data[[#This Row],[Last Name]])</f>
        <v>Kamilia Sydu</v>
      </c>
      <c r="E415" s="21" t="s">
        <v>44</v>
      </c>
      <c r="F415" s="23">
        <v>43490</v>
      </c>
      <c r="G415" s="24">
        <f ca="1">DATEDIF(Employees!$F415,TODAY(),"Y")</f>
        <v>7</v>
      </c>
      <c r="H415" s="21" t="s">
        <v>73</v>
      </c>
      <c r="I415" s="21" t="s">
        <v>40</v>
      </c>
      <c r="J415" s="21" t="s">
        <v>29</v>
      </c>
      <c r="K415" s="25">
        <v>2617</v>
      </c>
      <c r="L415" s="25">
        <v>31404</v>
      </c>
      <c r="M415" s="21">
        <v>4.5</v>
      </c>
      <c r="N415" s="21">
        <v>1</v>
      </c>
      <c r="O415" s="21">
        <v>0</v>
      </c>
      <c r="P415" s="21">
        <v>5</v>
      </c>
      <c r="Q415" s="21" t="str">
        <f t="shared" ca="1" si="1"/>
        <v>Not Eligible</v>
      </c>
    </row>
    <row r="416" spans="1:17" ht="15.5" x14ac:dyDescent="0.35">
      <c r="A416" s="20">
        <v>415</v>
      </c>
      <c r="B416" s="21" t="s">
        <v>207</v>
      </c>
      <c r="C416" s="21" t="s">
        <v>631</v>
      </c>
      <c r="D416" s="22" t="str">
        <f>_xlfn.TEXTJOIN(" ",TRUE,Employees_Data[[#This Row],[First Name]],Employees_Data[[#This Row],[Last Name]])</f>
        <v>Ali Marwan</v>
      </c>
      <c r="E416" s="21" t="s">
        <v>25</v>
      </c>
      <c r="F416" s="23">
        <v>43697</v>
      </c>
      <c r="G416" s="24">
        <f ca="1">DATEDIF(Employees!$F416,TODAY(),"Y")</f>
        <v>7</v>
      </c>
      <c r="H416" s="21" t="s">
        <v>73</v>
      </c>
      <c r="I416" s="21" t="s">
        <v>53</v>
      </c>
      <c r="J416" s="21" t="s">
        <v>60</v>
      </c>
      <c r="K416" s="25">
        <v>1680</v>
      </c>
      <c r="L416" s="25">
        <v>20160</v>
      </c>
      <c r="M416" s="21">
        <v>5</v>
      </c>
      <c r="N416" s="21">
        <v>1</v>
      </c>
      <c r="O416" s="21">
        <v>0</v>
      </c>
      <c r="P416" s="21">
        <v>35</v>
      </c>
      <c r="Q416" s="21" t="str">
        <f t="shared" ca="1" si="1"/>
        <v>Not Eligible</v>
      </c>
    </row>
    <row r="417" spans="1:17" ht="15.5" x14ac:dyDescent="0.35">
      <c r="A417" s="20">
        <v>416</v>
      </c>
      <c r="B417" s="21" t="s">
        <v>240</v>
      </c>
      <c r="C417" s="21" t="s">
        <v>347</v>
      </c>
      <c r="D417" s="22" t="str">
        <f>_xlfn.TEXTJOIN(" ",TRUE,Employees_Data[[#This Row],[First Name]],Employees_Data[[#This Row],[Last Name]])</f>
        <v>Mahir Almarstani</v>
      </c>
      <c r="E417" s="21" t="s">
        <v>25</v>
      </c>
      <c r="F417" s="23">
        <v>43899</v>
      </c>
      <c r="G417" s="24">
        <f ca="1">DATEDIF(Employees!$F417,TODAY(),"Y")</f>
        <v>6</v>
      </c>
      <c r="H417" s="21" t="s">
        <v>68</v>
      </c>
      <c r="I417" s="21" t="s">
        <v>27</v>
      </c>
      <c r="J417" s="21" t="s">
        <v>54</v>
      </c>
      <c r="K417" s="25">
        <v>2824</v>
      </c>
      <c r="L417" s="25">
        <v>33888</v>
      </c>
      <c r="M417" s="21">
        <v>3</v>
      </c>
      <c r="N417" s="21">
        <v>3</v>
      </c>
      <c r="O417" s="21">
        <v>0</v>
      </c>
      <c r="P417" s="21">
        <v>3</v>
      </c>
      <c r="Q417" s="21" t="str">
        <f t="shared" ca="1" si="1"/>
        <v>Not Eligible</v>
      </c>
    </row>
    <row r="418" spans="1:17" ht="15.5" x14ac:dyDescent="0.35">
      <c r="A418" s="20">
        <v>417</v>
      </c>
      <c r="B418" s="21" t="s">
        <v>632</v>
      </c>
      <c r="C418" s="21" t="s">
        <v>633</v>
      </c>
      <c r="D418" s="22" t="str">
        <f>_xlfn.TEXTJOIN(" ",TRUE,Employees_Data[[#This Row],[First Name]],Employees_Data[[#This Row],[Last Name]])</f>
        <v>Rwad Alddahir</v>
      </c>
      <c r="E418" s="21" t="s">
        <v>44</v>
      </c>
      <c r="F418" s="23">
        <v>43004</v>
      </c>
      <c r="G418" s="24">
        <f ca="1">DATEDIF(Employees!$F418,TODAY(),"Y")</f>
        <v>9</v>
      </c>
      <c r="H418" s="21" t="s">
        <v>59</v>
      </c>
      <c r="I418" s="21" t="s">
        <v>27</v>
      </c>
      <c r="J418" s="21" t="s">
        <v>29</v>
      </c>
      <c r="K418" s="25">
        <v>1646</v>
      </c>
      <c r="L418" s="25">
        <v>19752</v>
      </c>
      <c r="M418" s="21">
        <v>5</v>
      </c>
      <c r="N418" s="21">
        <v>0</v>
      </c>
      <c r="O418" s="21">
        <v>0</v>
      </c>
      <c r="P418" s="21">
        <v>7</v>
      </c>
      <c r="Q418" s="21" t="str">
        <f t="shared" ca="1" si="1"/>
        <v>Not Eligible</v>
      </c>
    </row>
    <row r="419" spans="1:17" ht="15.5" x14ac:dyDescent="0.35">
      <c r="A419" s="20">
        <v>418</v>
      </c>
      <c r="B419" s="21" t="s">
        <v>634</v>
      </c>
      <c r="C419" s="21" t="s">
        <v>635</v>
      </c>
      <c r="D419" s="22" t="str">
        <f>_xlfn.TEXTJOIN(" ",TRUE,Employees_Data[[#This Row],[First Name]],Employees_Data[[#This Row],[Last Name]])</f>
        <v>Jury Eabuwd</v>
      </c>
      <c r="E419" s="21" t="s">
        <v>44</v>
      </c>
      <c r="F419" s="23">
        <v>43438</v>
      </c>
      <c r="G419" s="24">
        <f ca="1">DATEDIF(Employees!$F419,TODAY(),"Y")</f>
        <v>7</v>
      </c>
      <c r="H419" s="21" t="s">
        <v>26</v>
      </c>
      <c r="I419" s="21" t="s">
        <v>27</v>
      </c>
      <c r="J419" s="21" t="s">
        <v>83</v>
      </c>
      <c r="K419" s="25">
        <v>979</v>
      </c>
      <c r="L419" s="25">
        <v>11748</v>
      </c>
      <c r="M419" s="21">
        <v>5</v>
      </c>
      <c r="N419" s="21">
        <v>5</v>
      </c>
      <c r="O419" s="21">
        <v>0</v>
      </c>
      <c r="P419" s="21">
        <v>8</v>
      </c>
      <c r="Q419" s="21" t="str">
        <f t="shared" ca="1" si="1"/>
        <v>Not Eligible</v>
      </c>
    </row>
    <row r="420" spans="1:17" ht="15.5" x14ac:dyDescent="0.35">
      <c r="A420" s="20">
        <v>419</v>
      </c>
      <c r="B420" s="21" t="s">
        <v>636</v>
      </c>
      <c r="C420" s="21" t="s">
        <v>637</v>
      </c>
      <c r="D420" s="22" t="str">
        <f>_xlfn.TEXTJOIN(" ",TRUE,Employees_Data[[#This Row],[First Name]],Employees_Data[[#This Row],[Last Name]])</f>
        <v>Sayban Musur</v>
      </c>
      <c r="E420" s="21" t="s">
        <v>44</v>
      </c>
      <c r="F420" s="23">
        <v>43467</v>
      </c>
      <c r="G420" s="24">
        <f ca="1">DATEDIF(Employees!$F420,TODAY(),"Y")</f>
        <v>7</v>
      </c>
      <c r="H420" s="21" t="s">
        <v>99</v>
      </c>
      <c r="I420" s="21" t="s">
        <v>71</v>
      </c>
      <c r="J420" s="21" t="s">
        <v>29</v>
      </c>
      <c r="K420" s="25">
        <v>1274</v>
      </c>
      <c r="L420" s="25">
        <v>15288</v>
      </c>
      <c r="M420" s="21">
        <v>3</v>
      </c>
      <c r="N420" s="21">
        <v>0</v>
      </c>
      <c r="O420" s="21">
        <v>0</v>
      </c>
      <c r="P420" s="21">
        <v>7</v>
      </c>
      <c r="Q420" s="21" t="str">
        <f t="shared" ca="1" si="1"/>
        <v>Not Eligible</v>
      </c>
    </row>
    <row r="421" spans="1:17" ht="15.5" x14ac:dyDescent="0.35">
      <c r="A421" s="20">
        <v>420</v>
      </c>
      <c r="B421" s="21" t="s">
        <v>444</v>
      </c>
      <c r="C421" s="21" t="s">
        <v>455</v>
      </c>
      <c r="D421" s="22" t="str">
        <f>_xlfn.TEXTJOIN(" ",TRUE,Employees_Data[[#This Row],[First Name]],Employees_Data[[#This Row],[Last Name]])</f>
        <v>Diana Muayid</v>
      </c>
      <c r="E421" s="21" t="s">
        <v>44</v>
      </c>
      <c r="F421" s="23">
        <v>43765</v>
      </c>
      <c r="G421" s="24">
        <f ca="1">DATEDIF(Employees!$F421,TODAY(),"Y")</f>
        <v>7</v>
      </c>
      <c r="H421" s="21" t="s">
        <v>76</v>
      </c>
      <c r="I421" s="21" t="s">
        <v>27</v>
      </c>
      <c r="J421" s="21" t="s">
        <v>60</v>
      </c>
      <c r="K421" s="25">
        <v>2715</v>
      </c>
      <c r="L421" s="25">
        <v>32580</v>
      </c>
      <c r="M421" s="21">
        <v>2</v>
      </c>
      <c r="N421" s="21">
        <v>0</v>
      </c>
      <c r="O421" s="21">
        <v>0</v>
      </c>
      <c r="P421" s="21">
        <v>3</v>
      </c>
      <c r="Q421" s="21" t="str">
        <f t="shared" ca="1" si="1"/>
        <v>Not Eligible</v>
      </c>
    </row>
    <row r="422" spans="1:17" ht="15.5" x14ac:dyDescent="0.35">
      <c r="A422" s="20">
        <v>421</v>
      </c>
      <c r="B422" s="21" t="s">
        <v>638</v>
      </c>
      <c r="C422" s="21" t="s">
        <v>639</v>
      </c>
      <c r="D422" s="22" t="str">
        <f>_xlfn.TEXTJOIN(" ",TRUE,Employees_Data[[#This Row],[First Name]],Employees_Data[[#This Row],[Last Name]])</f>
        <v>Lbyb Fahd</v>
      </c>
      <c r="E422" s="21" t="s">
        <v>25</v>
      </c>
      <c r="F422" s="23">
        <v>43781</v>
      </c>
      <c r="G422" s="24">
        <f ca="1">DATEDIF(Employees!$F422,TODAY(),"Y")</f>
        <v>6</v>
      </c>
      <c r="H422" s="21" t="s">
        <v>52</v>
      </c>
      <c r="I422" s="21" t="s">
        <v>71</v>
      </c>
      <c r="J422" s="21" t="s">
        <v>60</v>
      </c>
      <c r="K422" s="25">
        <v>1158</v>
      </c>
      <c r="L422" s="25">
        <v>13896</v>
      </c>
      <c r="M422" s="21">
        <v>5</v>
      </c>
      <c r="N422" s="21">
        <v>0</v>
      </c>
      <c r="O422" s="21">
        <v>0</v>
      </c>
      <c r="P422" s="21">
        <v>0</v>
      </c>
      <c r="Q422" s="21" t="str">
        <f t="shared" ca="1" si="1"/>
        <v>Not Eligible</v>
      </c>
    </row>
    <row r="423" spans="1:17" ht="15.5" x14ac:dyDescent="0.35">
      <c r="A423" s="20">
        <v>422</v>
      </c>
      <c r="B423" s="21" t="s">
        <v>244</v>
      </c>
      <c r="C423" s="21" t="s">
        <v>640</v>
      </c>
      <c r="D423" s="22" t="str">
        <f>_xlfn.TEXTJOIN(" ",TRUE,Employees_Data[[#This Row],[First Name]],Employees_Data[[#This Row],[Last Name]])</f>
        <v>Bashshar Bilul</v>
      </c>
      <c r="E423" s="21" t="s">
        <v>25</v>
      </c>
      <c r="F423" s="23">
        <v>43314</v>
      </c>
      <c r="G423" s="24">
        <f ca="1">DATEDIF(Employees!$F423,TODAY(),"Y")</f>
        <v>8</v>
      </c>
      <c r="H423" s="21" t="s">
        <v>81</v>
      </c>
      <c r="I423" s="21" t="s">
        <v>27</v>
      </c>
      <c r="J423" s="21" t="s">
        <v>575</v>
      </c>
      <c r="K423" s="25">
        <v>1986</v>
      </c>
      <c r="L423" s="25">
        <v>23832</v>
      </c>
      <c r="M423" s="21">
        <v>3</v>
      </c>
      <c r="N423" s="21">
        <v>1</v>
      </c>
      <c r="O423" s="21">
        <v>0</v>
      </c>
      <c r="P423" s="21">
        <v>14</v>
      </c>
      <c r="Q423" s="21" t="str">
        <f t="shared" ca="1" si="1"/>
        <v>Not Eligible</v>
      </c>
    </row>
    <row r="424" spans="1:17" ht="15.5" x14ac:dyDescent="0.35">
      <c r="A424" s="20">
        <v>423</v>
      </c>
      <c r="B424" s="21" t="s">
        <v>207</v>
      </c>
      <c r="C424" s="21" t="s">
        <v>641</v>
      </c>
      <c r="D424" s="22" t="str">
        <f>_xlfn.TEXTJOIN(" ",TRUE,Employees_Data[[#This Row],[First Name]],Employees_Data[[#This Row],[Last Name]])</f>
        <v>Ali Alnuwri</v>
      </c>
      <c r="E424" s="21" t="s">
        <v>25</v>
      </c>
      <c r="F424" s="23">
        <v>43826</v>
      </c>
      <c r="G424" s="24">
        <f ca="1">DATEDIF(Employees!$F424,TODAY(),"Y")</f>
        <v>6</v>
      </c>
      <c r="H424" s="21" t="s">
        <v>52</v>
      </c>
      <c r="I424" s="21" t="s">
        <v>40</v>
      </c>
      <c r="J424" s="21" t="s">
        <v>83</v>
      </c>
      <c r="K424" s="25">
        <v>3299</v>
      </c>
      <c r="L424" s="25">
        <v>39588</v>
      </c>
      <c r="M424" s="21">
        <v>5</v>
      </c>
      <c r="N424" s="21">
        <v>1</v>
      </c>
      <c r="O424" s="21">
        <v>0</v>
      </c>
      <c r="P424" s="21">
        <v>0</v>
      </c>
      <c r="Q424" s="21" t="str">
        <f t="shared" ca="1" si="1"/>
        <v>Not Eligible</v>
      </c>
    </row>
    <row r="425" spans="1:17" ht="15.5" x14ac:dyDescent="0.35">
      <c r="A425" s="20">
        <v>424</v>
      </c>
      <c r="B425" s="21" t="s">
        <v>88</v>
      </c>
      <c r="C425" s="21" t="s">
        <v>445</v>
      </c>
      <c r="D425" s="22" t="str">
        <f>_xlfn.TEXTJOIN(" ",TRUE,Employees_Data[[#This Row],[First Name]],Employees_Data[[#This Row],[Last Name]])</f>
        <v>Salim Aleabd</v>
      </c>
      <c r="E425" s="21" t="s">
        <v>25</v>
      </c>
      <c r="F425" s="23">
        <v>43062</v>
      </c>
      <c r="G425" s="24">
        <f ca="1">DATEDIF(Employees!$F425,TODAY(),"Y")</f>
        <v>8</v>
      </c>
      <c r="H425" s="21" t="s">
        <v>26</v>
      </c>
      <c r="I425" s="21" t="s">
        <v>27</v>
      </c>
      <c r="J425" s="21" t="s">
        <v>54</v>
      </c>
      <c r="K425" s="25">
        <v>2405</v>
      </c>
      <c r="L425" s="25">
        <v>28860</v>
      </c>
      <c r="M425" s="21">
        <v>5</v>
      </c>
      <c r="N425" s="21">
        <v>0</v>
      </c>
      <c r="O425" s="21">
        <v>0</v>
      </c>
      <c r="P425" s="21">
        <v>97</v>
      </c>
      <c r="Q425" s="21" t="str">
        <f t="shared" ca="1" si="1"/>
        <v>Eligible</v>
      </c>
    </row>
    <row r="426" spans="1:17" ht="15.5" x14ac:dyDescent="0.35">
      <c r="A426" s="20">
        <v>425</v>
      </c>
      <c r="B426" s="21" t="s">
        <v>284</v>
      </c>
      <c r="C426" s="21" t="s">
        <v>642</v>
      </c>
      <c r="D426" s="22" t="str">
        <f>_xlfn.TEXTJOIN(" ",TRUE,Employees_Data[[#This Row],[First Name]],Employees_Data[[#This Row],[Last Name]])</f>
        <v>Abd Alruhmin Allaham</v>
      </c>
      <c r="E426" s="21" t="s">
        <v>25</v>
      </c>
      <c r="F426" s="23">
        <v>44027</v>
      </c>
      <c r="G426" s="24">
        <f ca="1">DATEDIF(Employees!$F426,TODAY(),"Y")</f>
        <v>6</v>
      </c>
      <c r="H426" s="21" t="s">
        <v>76</v>
      </c>
      <c r="I426" s="21" t="s">
        <v>27</v>
      </c>
      <c r="J426" s="21" t="s">
        <v>60</v>
      </c>
      <c r="K426" s="25">
        <v>2205</v>
      </c>
      <c r="L426" s="25">
        <v>26460</v>
      </c>
      <c r="M426" s="21">
        <v>3</v>
      </c>
      <c r="N426" s="21">
        <v>0</v>
      </c>
      <c r="O426" s="21">
        <v>0</v>
      </c>
      <c r="P426" s="21">
        <v>4</v>
      </c>
      <c r="Q426" s="21" t="str">
        <f t="shared" ca="1" si="1"/>
        <v>Not Eligible</v>
      </c>
    </row>
    <row r="427" spans="1:17" ht="15.5" x14ac:dyDescent="0.35">
      <c r="A427" s="20">
        <v>426</v>
      </c>
      <c r="B427" s="21" t="s">
        <v>57</v>
      </c>
      <c r="C427" s="21" t="s">
        <v>643</v>
      </c>
      <c r="D427" s="22" t="str">
        <f>_xlfn.TEXTJOIN(" ",TRUE,Employees_Data[[#This Row],[First Name]],Employees_Data[[#This Row],[Last Name]])</f>
        <v>Muhamad Raft</v>
      </c>
      <c r="E427" s="21" t="s">
        <v>25</v>
      </c>
      <c r="F427" s="23">
        <v>42562</v>
      </c>
      <c r="G427" s="24">
        <f ca="1">DATEDIF(Employees!$F427,TODAY(),"Y")</f>
        <v>10</v>
      </c>
      <c r="H427" s="21" t="s">
        <v>52</v>
      </c>
      <c r="I427" s="21" t="s">
        <v>27</v>
      </c>
      <c r="J427" s="21" t="s">
        <v>575</v>
      </c>
      <c r="K427" s="25">
        <v>2651</v>
      </c>
      <c r="L427" s="25">
        <v>31812</v>
      </c>
      <c r="M427" s="21">
        <v>3</v>
      </c>
      <c r="N427" s="21">
        <v>0</v>
      </c>
      <c r="O427" s="21">
        <v>0</v>
      </c>
      <c r="P427" s="21">
        <v>6</v>
      </c>
      <c r="Q427" s="21" t="str">
        <f t="shared" ca="1" si="1"/>
        <v>Not Eligible</v>
      </c>
    </row>
    <row r="428" spans="1:17" ht="15.5" x14ac:dyDescent="0.35">
      <c r="A428" s="20">
        <v>427</v>
      </c>
      <c r="B428" s="21" t="s">
        <v>55</v>
      </c>
      <c r="C428" s="21" t="s">
        <v>252</v>
      </c>
      <c r="D428" s="22" t="str">
        <f>_xlfn.TEXTJOIN(" ",TRUE,Employees_Data[[#This Row],[First Name]],Employees_Data[[#This Row],[Last Name]])</f>
        <v>Ahmad Shakir</v>
      </c>
      <c r="E428" s="21" t="s">
        <v>25</v>
      </c>
      <c r="F428" s="23">
        <v>43615</v>
      </c>
      <c r="G428" s="24">
        <f ca="1">DATEDIF(Employees!$F428,TODAY(),"Y")</f>
        <v>7</v>
      </c>
      <c r="H428" s="21" t="s">
        <v>65</v>
      </c>
      <c r="I428" s="21" t="s">
        <v>27</v>
      </c>
      <c r="J428" s="21" t="s">
        <v>60</v>
      </c>
      <c r="K428" s="25">
        <v>1693</v>
      </c>
      <c r="L428" s="25">
        <v>20316</v>
      </c>
      <c r="M428" s="21">
        <v>4.5</v>
      </c>
      <c r="N428" s="21">
        <v>2</v>
      </c>
      <c r="O428" s="21">
        <v>5</v>
      </c>
      <c r="P428" s="21">
        <v>6</v>
      </c>
      <c r="Q428" s="21" t="str">
        <f t="shared" ca="1" si="1"/>
        <v>Not Eligible</v>
      </c>
    </row>
    <row r="429" spans="1:17" ht="15.5" x14ac:dyDescent="0.35">
      <c r="A429" s="20">
        <v>428</v>
      </c>
      <c r="B429" s="21" t="s">
        <v>193</v>
      </c>
      <c r="C429" s="21" t="s">
        <v>644</v>
      </c>
      <c r="D429" s="22" t="str">
        <f>_xlfn.TEXTJOIN(" ",TRUE,Employees_Data[[#This Row],[First Name]],Employees_Data[[#This Row],[Last Name]])</f>
        <v>Rasha Asead</v>
      </c>
      <c r="E429" s="21" t="s">
        <v>44</v>
      </c>
      <c r="F429" s="23">
        <v>43821</v>
      </c>
      <c r="G429" s="24">
        <f ca="1">DATEDIF(Employees!$F429,TODAY(),"Y")</f>
        <v>6</v>
      </c>
      <c r="H429" s="21" t="s">
        <v>63</v>
      </c>
      <c r="I429" s="21" t="s">
        <v>27</v>
      </c>
      <c r="J429" s="21" t="s">
        <v>54</v>
      </c>
      <c r="K429" s="25">
        <v>1690</v>
      </c>
      <c r="L429" s="25">
        <v>20280</v>
      </c>
      <c r="M429" s="21">
        <v>1</v>
      </c>
      <c r="N429" s="21">
        <v>0</v>
      </c>
      <c r="O429" s="21">
        <v>0</v>
      </c>
      <c r="P429" s="21">
        <v>6</v>
      </c>
      <c r="Q429" s="21" t="str">
        <f t="shared" ca="1" si="1"/>
        <v>Not Eligible</v>
      </c>
    </row>
    <row r="430" spans="1:17" ht="15.5" x14ac:dyDescent="0.35">
      <c r="A430" s="20">
        <v>429</v>
      </c>
      <c r="B430" s="21" t="s">
        <v>36</v>
      </c>
      <c r="C430" s="21" t="s">
        <v>645</v>
      </c>
      <c r="D430" s="22" t="str">
        <f>_xlfn.TEXTJOIN(" ",TRUE,Employees_Data[[#This Row],[First Name]],Employees_Data[[#This Row],[Last Name]])</f>
        <v>Omar Alwurhani</v>
      </c>
      <c r="E430" s="21" t="s">
        <v>25</v>
      </c>
      <c r="F430" s="23">
        <v>43499</v>
      </c>
      <c r="G430" s="24">
        <f ca="1">DATEDIF(Employees!$F430,TODAY(),"Y")</f>
        <v>7</v>
      </c>
      <c r="H430" s="21" t="s">
        <v>65</v>
      </c>
      <c r="I430" s="21" t="s">
        <v>27</v>
      </c>
      <c r="J430" s="21" t="s">
        <v>54</v>
      </c>
      <c r="K430" s="25">
        <v>766</v>
      </c>
      <c r="L430" s="25">
        <v>9192</v>
      </c>
      <c r="M430" s="21">
        <v>3</v>
      </c>
      <c r="N430" s="21">
        <v>0</v>
      </c>
      <c r="O430" s="21">
        <v>0</v>
      </c>
      <c r="P430" s="21">
        <v>5</v>
      </c>
      <c r="Q430" s="21" t="str">
        <f t="shared" ca="1" si="1"/>
        <v>Not Eligible</v>
      </c>
    </row>
    <row r="431" spans="1:17" ht="15.5" x14ac:dyDescent="0.35">
      <c r="A431" s="20">
        <v>430</v>
      </c>
      <c r="B431" s="21" t="s">
        <v>89</v>
      </c>
      <c r="C431" s="21" t="s">
        <v>646</v>
      </c>
      <c r="D431" s="22" t="str">
        <f>_xlfn.TEXTJOIN(" ",TRUE,Employees_Data[[#This Row],[First Name]],Employees_Data[[#This Row],[Last Name]])</f>
        <v>Ayham Kharbutli</v>
      </c>
      <c r="E431" s="21" t="s">
        <v>25</v>
      </c>
      <c r="F431" s="23">
        <v>43661</v>
      </c>
      <c r="G431" s="24">
        <f ca="1">DATEDIF(Employees!$F431,TODAY(),"Y")</f>
        <v>7</v>
      </c>
      <c r="H431" s="21" t="s">
        <v>166</v>
      </c>
      <c r="I431" s="21" t="s">
        <v>27</v>
      </c>
      <c r="J431" s="21" t="s">
        <v>83</v>
      </c>
      <c r="K431" s="25">
        <v>2542</v>
      </c>
      <c r="L431" s="25">
        <v>30504</v>
      </c>
      <c r="M431" s="21">
        <v>3</v>
      </c>
      <c r="N431" s="21">
        <v>1</v>
      </c>
      <c r="O431" s="21">
        <v>0</v>
      </c>
      <c r="P431" s="21">
        <v>3</v>
      </c>
      <c r="Q431" s="21" t="str">
        <f t="shared" ca="1" si="1"/>
        <v>Not Eligible</v>
      </c>
    </row>
    <row r="432" spans="1:17" ht="15.5" x14ac:dyDescent="0.35">
      <c r="A432" s="20">
        <v>431</v>
      </c>
      <c r="B432" s="21" t="s">
        <v>231</v>
      </c>
      <c r="C432" s="21" t="s">
        <v>493</v>
      </c>
      <c r="D432" s="22" t="str">
        <f>_xlfn.TEXTJOIN(" ",TRUE,Employees_Data[[#This Row],[First Name]],Employees_Data[[#This Row],[Last Name]])</f>
        <v>Sahar Jaridiun</v>
      </c>
      <c r="E432" s="21" t="s">
        <v>44</v>
      </c>
      <c r="F432" s="23">
        <v>42654</v>
      </c>
      <c r="G432" s="24">
        <f ca="1">DATEDIF(Employees!$F432,TODAY(),"Y")</f>
        <v>10</v>
      </c>
      <c r="H432" s="21" t="s">
        <v>110</v>
      </c>
      <c r="I432" s="21" t="s">
        <v>53</v>
      </c>
      <c r="J432" s="21" t="s">
        <v>575</v>
      </c>
      <c r="K432" s="25">
        <v>1966</v>
      </c>
      <c r="L432" s="25">
        <v>23592</v>
      </c>
      <c r="M432" s="21">
        <v>4.5</v>
      </c>
      <c r="N432" s="21">
        <v>0</v>
      </c>
      <c r="O432" s="21">
        <v>0</v>
      </c>
      <c r="P432" s="21">
        <v>8</v>
      </c>
      <c r="Q432" s="21" t="str">
        <f t="shared" ca="1" si="1"/>
        <v>Not Eligible</v>
      </c>
    </row>
    <row r="433" spans="1:17" ht="15.5" x14ac:dyDescent="0.35">
      <c r="A433" s="20">
        <v>432</v>
      </c>
      <c r="B433" s="21" t="s">
        <v>57</v>
      </c>
      <c r="C433" s="21" t="s">
        <v>647</v>
      </c>
      <c r="D433" s="22" t="str">
        <f>_xlfn.TEXTJOIN(" ",TRUE,Employees_Data[[#This Row],[First Name]],Employees_Data[[#This Row],[Last Name]])</f>
        <v>Muhamad Tamur</v>
      </c>
      <c r="E433" s="21" t="s">
        <v>25</v>
      </c>
      <c r="F433" s="23">
        <v>43652</v>
      </c>
      <c r="G433" s="24">
        <f ca="1">DATEDIF(Employees!$F433,TODAY(),"Y")</f>
        <v>7</v>
      </c>
      <c r="H433" s="21" t="s">
        <v>52</v>
      </c>
      <c r="I433" s="21" t="s">
        <v>27</v>
      </c>
      <c r="J433" s="21" t="s">
        <v>54</v>
      </c>
      <c r="K433" s="25">
        <v>2977</v>
      </c>
      <c r="L433" s="25">
        <v>35724</v>
      </c>
      <c r="M433" s="21">
        <v>4.5</v>
      </c>
      <c r="N433" s="21">
        <v>0</v>
      </c>
      <c r="O433" s="21">
        <v>0</v>
      </c>
      <c r="P433" s="21">
        <v>8</v>
      </c>
      <c r="Q433" s="21" t="str">
        <f t="shared" ca="1" si="1"/>
        <v>Not Eligible</v>
      </c>
    </row>
    <row r="434" spans="1:17" ht="15.5" x14ac:dyDescent="0.35">
      <c r="A434" s="20">
        <v>433</v>
      </c>
      <c r="B434" s="21" t="s">
        <v>89</v>
      </c>
      <c r="C434" s="21" t="s">
        <v>648</v>
      </c>
      <c r="D434" s="22" t="str">
        <f>_xlfn.TEXTJOIN(" ",TRUE,Employees_Data[[#This Row],[First Name]],Employees_Data[[#This Row],[Last Name]])</f>
        <v>Ayham Alkhlf</v>
      </c>
      <c r="E434" s="21" t="s">
        <v>25</v>
      </c>
      <c r="F434" s="23">
        <v>43043</v>
      </c>
      <c r="G434" s="24">
        <f ca="1">DATEDIF(Employees!$F434,TODAY(),"Y")</f>
        <v>8</v>
      </c>
      <c r="H434" s="21" t="s">
        <v>99</v>
      </c>
      <c r="I434" s="21" t="s">
        <v>53</v>
      </c>
      <c r="J434" s="21" t="s">
        <v>54</v>
      </c>
      <c r="K434" s="25">
        <v>1404</v>
      </c>
      <c r="L434" s="25">
        <v>16848</v>
      </c>
      <c r="M434" s="21">
        <v>1</v>
      </c>
      <c r="N434" s="21">
        <v>5</v>
      </c>
      <c r="O434" s="21">
        <v>0</v>
      </c>
      <c r="P434" s="21">
        <v>10</v>
      </c>
      <c r="Q434" s="21" t="str">
        <f t="shared" ca="1" si="1"/>
        <v>Not Eligible</v>
      </c>
    </row>
    <row r="435" spans="1:17" ht="15.5" x14ac:dyDescent="0.35">
      <c r="A435" s="20">
        <v>434</v>
      </c>
      <c r="B435" s="21" t="s">
        <v>316</v>
      </c>
      <c r="C435" s="21" t="s">
        <v>649</v>
      </c>
      <c r="D435" s="22" t="str">
        <f>_xlfn.TEXTJOIN(" ",TRUE,Employees_Data[[#This Row],[First Name]],Employees_Data[[#This Row],[Last Name]])</f>
        <v>Emar Eisaf</v>
      </c>
      <c r="E435" s="21" t="s">
        <v>44</v>
      </c>
      <c r="F435" s="23">
        <v>43136</v>
      </c>
      <c r="G435" s="24">
        <f ca="1">DATEDIF(Employees!$F435,TODAY(),"Y")</f>
        <v>8</v>
      </c>
      <c r="H435" s="21" t="s">
        <v>26</v>
      </c>
      <c r="I435" s="21" t="s">
        <v>71</v>
      </c>
      <c r="J435" s="21" t="s">
        <v>60</v>
      </c>
      <c r="K435" s="25">
        <v>1848</v>
      </c>
      <c r="L435" s="25">
        <v>22176</v>
      </c>
      <c r="M435" s="21">
        <v>3</v>
      </c>
      <c r="N435" s="21">
        <v>0</v>
      </c>
      <c r="O435" s="21">
        <v>0</v>
      </c>
      <c r="P435" s="21">
        <v>2</v>
      </c>
      <c r="Q435" s="21" t="str">
        <f t="shared" ca="1" si="1"/>
        <v>Not Eligible</v>
      </c>
    </row>
    <row r="436" spans="1:17" ht="15.5" x14ac:dyDescent="0.35">
      <c r="A436" s="20">
        <v>435</v>
      </c>
      <c r="B436" s="21" t="s">
        <v>61</v>
      </c>
      <c r="C436" s="21" t="s">
        <v>650</v>
      </c>
      <c r="D436" s="22" t="str">
        <f>_xlfn.TEXTJOIN(" ",TRUE,Employees_Data[[#This Row],[First Name]],Employees_Data[[#This Row],[Last Name]])</f>
        <v>Iin Bitahish</v>
      </c>
      <c r="E436" s="21" t="s">
        <v>44</v>
      </c>
      <c r="F436" s="23">
        <v>44082</v>
      </c>
      <c r="G436" s="24">
        <f ca="1">DATEDIF(Employees!$F436,TODAY(),"Y")</f>
        <v>6</v>
      </c>
      <c r="H436" s="21" t="s">
        <v>52</v>
      </c>
      <c r="I436" s="21" t="s">
        <v>27</v>
      </c>
      <c r="J436" s="21" t="s">
        <v>60</v>
      </c>
      <c r="K436" s="25">
        <v>2069</v>
      </c>
      <c r="L436" s="25">
        <v>24828</v>
      </c>
      <c r="M436" s="21">
        <v>3</v>
      </c>
      <c r="N436" s="21">
        <v>2</v>
      </c>
      <c r="O436" s="21">
        <v>5</v>
      </c>
      <c r="P436" s="21">
        <v>6</v>
      </c>
      <c r="Q436" s="21" t="str">
        <f t="shared" ca="1" si="1"/>
        <v>Not Eligible</v>
      </c>
    </row>
    <row r="437" spans="1:17" ht="15.5" x14ac:dyDescent="0.35">
      <c r="A437" s="20">
        <v>436</v>
      </c>
      <c r="B437" s="21" t="s">
        <v>651</v>
      </c>
      <c r="C437" s="21" t="s">
        <v>652</v>
      </c>
      <c r="D437" s="22" t="str">
        <f>_xlfn.TEXTJOIN(" ",TRUE,Employees_Data[[#This Row],[First Name]],Employees_Data[[#This Row],[Last Name]])</f>
        <v>Abdalrhim Eimaruh</v>
      </c>
      <c r="E437" s="21" t="s">
        <v>25</v>
      </c>
      <c r="F437" s="23">
        <v>44122</v>
      </c>
      <c r="G437" s="24">
        <f ca="1">DATEDIF(Employees!$F437,TODAY(),"Y")</f>
        <v>6</v>
      </c>
      <c r="H437" s="21" t="s">
        <v>99</v>
      </c>
      <c r="I437" s="21" t="s">
        <v>40</v>
      </c>
      <c r="J437" s="21" t="s">
        <v>60</v>
      </c>
      <c r="K437" s="25">
        <v>1072</v>
      </c>
      <c r="L437" s="25">
        <v>12864</v>
      </c>
      <c r="M437" s="21">
        <v>4.5</v>
      </c>
      <c r="N437" s="21">
        <v>0</v>
      </c>
      <c r="O437" s="21">
        <v>0</v>
      </c>
      <c r="P437" s="21">
        <v>6</v>
      </c>
      <c r="Q437" s="21" t="str">
        <f t="shared" ca="1" si="1"/>
        <v>Not Eligible</v>
      </c>
    </row>
    <row r="438" spans="1:17" ht="15.5" x14ac:dyDescent="0.35">
      <c r="A438" s="20">
        <v>437</v>
      </c>
      <c r="B438" s="21" t="s">
        <v>653</v>
      </c>
      <c r="C438" s="21" t="s">
        <v>654</v>
      </c>
      <c r="D438" s="22" t="str">
        <f>_xlfn.TEXTJOIN(" ",TRUE,Employees_Data[[#This Row],[First Name]],Employees_Data[[#This Row],[Last Name]])</f>
        <v>Bashaer Hadalah</v>
      </c>
      <c r="E438" s="21" t="s">
        <v>44</v>
      </c>
      <c r="F438" s="23">
        <v>43813</v>
      </c>
      <c r="G438" s="24">
        <f ca="1">DATEDIF(Employees!$F438,TODAY(),"Y")</f>
        <v>6</v>
      </c>
      <c r="H438" s="21" t="s">
        <v>59</v>
      </c>
      <c r="I438" s="21" t="s">
        <v>27</v>
      </c>
      <c r="J438" s="21" t="s">
        <v>54</v>
      </c>
      <c r="K438" s="25">
        <v>1984</v>
      </c>
      <c r="L438" s="25">
        <v>23808</v>
      </c>
      <c r="M438" s="21">
        <v>1</v>
      </c>
      <c r="N438" s="21">
        <v>1</v>
      </c>
      <c r="O438" s="21">
        <v>0</v>
      </c>
      <c r="P438" s="21">
        <v>8</v>
      </c>
      <c r="Q438" s="21" t="str">
        <f t="shared" ca="1" si="1"/>
        <v>Not Eligible</v>
      </c>
    </row>
    <row r="439" spans="1:17" ht="15.5" x14ac:dyDescent="0.35">
      <c r="A439" s="20">
        <v>438</v>
      </c>
      <c r="B439" s="21" t="s">
        <v>484</v>
      </c>
      <c r="C439" s="21" t="s">
        <v>655</v>
      </c>
      <c r="D439" s="22" t="str">
        <f>_xlfn.TEXTJOIN(" ",TRUE,Employees_Data[[#This Row],[First Name]],Employees_Data[[#This Row],[Last Name]])</f>
        <v>Sana Maeruf</v>
      </c>
      <c r="E439" s="21" t="s">
        <v>44</v>
      </c>
      <c r="F439" s="23">
        <v>44064</v>
      </c>
      <c r="G439" s="24">
        <f ca="1">DATEDIF(Employees!$F439,TODAY(),"Y")</f>
        <v>6</v>
      </c>
      <c r="H439" s="21" t="s">
        <v>65</v>
      </c>
      <c r="I439" s="21" t="s">
        <v>27</v>
      </c>
      <c r="J439" s="21" t="s">
        <v>60</v>
      </c>
      <c r="K439" s="25">
        <v>999</v>
      </c>
      <c r="L439" s="25">
        <v>11988</v>
      </c>
      <c r="M439" s="21">
        <v>1</v>
      </c>
      <c r="N439" s="21">
        <v>5</v>
      </c>
      <c r="O439" s="21">
        <v>0</v>
      </c>
      <c r="P439" s="21">
        <v>61</v>
      </c>
      <c r="Q439" s="21" t="str">
        <f t="shared" ca="1" si="1"/>
        <v>Not Eligible</v>
      </c>
    </row>
    <row r="440" spans="1:17" ht="15.5" x14ac:dyDescent="0.35">
      <c r="A440" s="20">
        <v>439</v>
      </c>
      <c r="B440" s="21" t="s">
        <v>323</v>
      </c>
      <c r="C440" s="21" t="s">
        <v>656</v>
      </c>
      <c r="D440" s="22" t="str">
        <f>_xlfn.TEXTJOIN(" ",TRUE,Employees_Data[[#This Row],[First Name]],Employees_Data[[#This Row],[Last Name]])</f>
        <v>Amir Alnuwnu</v>
      </c>
      <c r="E440" s="21" t="s">
        <v>25</v>
      </c>
      <c r="F440" s="23">
        <v>43966</v>
      </c>
      <c r="G440" s="24">
        <f ca="1">DATEDIF(Employees!$F440,TODAY(),"Y")</f>
        <v>6</v>
      </c>
      <c r="H440" s="21" t="s">
        <v>26</v>
      </c>
      <c r="I440" s="21" t="s">
        <v>71</v>
      </c>
      <c r="J440" s="21" t="s">
        <v>29</v>
      </c>
      <c r="K440" s="25">
        <v>2915</v>
      </c>
      <c r="L440" s="25">
        <v>34980</v>
      </c>
      <c r="M440" s="21">
        <v>3</v>
      </c>
      <c r="N440" s="21">
        <v>0</v>
      </c>
      <c r="O440" s="21">
        <v>0</v>
      </c>
      <c r="P440" s="21">
        <v>5</v>
      </c>
      <c r="Q440" s="21" t="str">
        <f t="shared" ca="1" si="1"/>
        <v>Not Eligible</v>
      </c>
    </row>
    <row r="441" spans="1:17" ht="15.5" x14ac:dyDescent="0.35">
      <c r="A441" s="20">
        <v>440</v>
      </c>
      <c r="B441" s="21" t="s">
        <v>88</v>
      </c>
      <c r="C441" s="21" t="s">
        <v>657</v>
      </c>
      <c r="D441" s="22" t="str">
        <f>_xlfn.TEXTJOIN(" ",TRUE,Employees_Data[[#This Row],[First Name]],Employees_Data[[#This Row],[Last Name]])</f>
        <v>Salim Albarghali</v>
      </c>
      <c r="E441" s="21" t="s">
        <v>25</v>
      </c>
      <c r="F441" s="23">
        <v>43770</v>
      </c>
      <c r="G441" s="24">
        <f ca="1">DATEDIF(Employees!$F441,TODAY(),"Y")</f>
        <v>6</v>
      </c>
      <c r="H441" s="21" t="s">
        <v>76</v>
      </c>
      <c r="I441" s="21" t="s">
        <v>27</v>
      </c>
      <c r="J441" s="21" t="s">
        <v>575</v>
      </c>
      <c r="K441" s="25">
        <v>3158</v>
      </c>
      <c r="L441" s="25">
        <v>37896</v>
      </c>
      <c r="M441" s="21">
        <v>4.5</v>
      </c>
      <c r="N441" s="21">
        <v>3</v>
      </c>
      <c r="O441" s="21">
        <v>0</v>
      </c>
      <c r="P441" s="21">
        <v>7</v>
      </c>
      <c r="Q441" s="21" t="str">
        <f t="shared" ca="1" si="1"/>
        <v>Not Eligible</v>
      </c>
    </row>
    <row r="442" spans="1:17" ht="15.5" x14ac:dyDescent="0.35">
      <c r="A442" s="20">
        <v>441</v>
      </c>
      <c r="B442" s="21" t="s">
        <v>61</v>
      </c>
      <c r="C442" s="21" t="s">
        <v>359</v>
      </c>
      <c r="D442" s="22" t="str">
        <f>_xlfn.TEXTJOIN(" ",TRUE,Employees_Data[[#This Row],[First Name]],Employees_Data[[#This Row],[Last Name]])</f>
        <v>Iin Murad</v>
      </c>
      <c r="E442" s="21" t="s">
        <v>44</v>
      </c>
      <c r="F442" s="23">
        <v>42977</v>
      </c>
      <c r="G442" s="24">
        <f ca="1">DATEDIF(Employees!$F442,TODAY(),"Y")</f>
        <v>9</v>
      </c>
      <c r="H442" s="21" t="s">
        <v>73</v>
      </c>
      <c r="I442" s="21" t="s">
        <v>27</v>
      </c>
      <c r="J442" s="21" t="s">
        <v>60</v>
      </c>
      <c r="K442" s="25">
        <v>711</v>
      </c>
      <c r="L442" s="25">
        <v>8532</v>
      </c>
      <c r="M442" s="21">
        <v>5</v>
      </c>
      <c r="N442" s="21">
        <v>0</v>
      </c>
      <c r="O442" s="21">
        <v>0</v>
      </c>
      <c r="P442" s="21">
        <v>10</v>
      </c>
      <c r="Q442" s="21" t="str">
        <f t="shared" ca="1" si="1"/>
        <v>Not Eligible</v>
      </c>
    </row>
    <row r="443" spans="1:17" ht="15.5" x14ac:dyDescent="0.35">
      <c r="A443" s="20">
        <v>442</v>
      </c>
      <c r="B443" s="21" t="s">
        <v>658</v>
      </c>
      <c r="C443" s="21" t="s">
        <v>659</v>
      </c>
      <c r="D443" s="22" t="str">
        <f>_xlfn.TEXTJOIN(" ",TRUE,Employees_Data[[#This Row],[First Name]],Employees_Data[[#This Row],[Last Name]])</f>
        <v>Baha Aldiyn Marzuq</v>
      </c>
      <c r="E443" s="21" t="s">
        <v>25</v>
      </c>
      <c r="F443" s="23">
        <v>43195</v>
      </c>
      <c r="G443" s="24">
        <f ca="1">DATEDIF(Employees!$F443,TODAY(),"Y")</f>
        <v>8</v>
      </c>
      <c r="H443" s="21" t="s">
        <v>26</v>
      </c>
      <c r="I443" s="21" t="s">
        <v>40</v>
      </c>
      <c r="J443" s="21" t="s">
        <v>29</v>
      </c>
      <c r="K443" s="25">
        <v>899</v>
      </c>
      <c r="L443" s="25">
        <v>10788</v>
      </c>
      <c r="M443" s="21">
        <v>5</v>
      </c>
      <c r="N443" s="21">
        <v>6</v>
      </c>
      <c r="O443" s="21">
        <v>0</v>
      </c>
      <c r="P443" s="21">
        <v>38</v>
      </c>
      <c r="Q443" s="21" t="str">
        <f t="shared" ca="1" si="1"/>
        <v>Not Eligible</v>
      </c>
    </row>
    <row r="444" spans="1:17" ht="15.5" x14ac:dyDescent="0.35">
      <c r="A444" s="20">
        <v>443</v>
      </c>
      <c r="B444" s="21" t="s">
        <v>284</v>
      </c>
      <c r="C444" s="21" t="s">
        <v>660</v>
      </c>
      <c r="D444" s="22" t="str">
        <f>_xlfn.TEXTJOIN(" ",TRUE,Employees_Data[[#This Row],[First Name]],Employees_Data[[#This Row],[Last Name]])</f>
        <v>Abd Alruhmin Hamj</v>
      </c>
      <c r="E444" s="21" t="s">
        <v>25</v>
      </c>
      <c r="F444" s="23">
        <v>43900</v>
      </c>
      <c r="G444" s="24">
        <f ca="1">DATEDIF(Employees!$F444,TODAY(),"Y")</f>
        <v>6</v>
      </c>
      <c r="H444" s="21" t="s">
        <v>65</v>
      </c>
      <c r="I444" s="21" t="s">
        <v>27</v>
      </c>
      <c r="J444" s="21" t="s">
        <v>54</v>
      </c>
      <c r="K444" s="25">
        <v>2571</v>
      </c>
      <c r="L444" s="25">
        <v>30852</v>
      </c>
      <c r="M444" s="21">
        <v>3</v>
      </c>
      <c r="N444" s="21">
        <v>1</v>
      </c>
      <c r="O444" s="21">
        <v>0</v>
      </c>
      <c r="P444" s="21">
        <v>6</v>
      </c>
      <c r="Q444" s="21" t="str">
        <f t="shared" ca="1" si="1"/>
        <v>Not Eligible</v>
      </c>
    </row>
    <row r="445" spans="1:17" ht="15.5" x14ac:dyDescent="0.35">
      <c r="A445" s="20">
        <v>444</v>
      </c>
      <c r="B445" s="21" t="s">
        <v>55</v>
      </c>
      <c r="C445" s="21" t="s">
        <v>661</v>
      </c>
      <c r="D445" s="22" t="str">
        <f>_xlfn.TEXTJOIN(" ",TRUE,Employees_Data[[#This Row],[First Name]],Employees_Data[[#This Row],[Last Name]])</f>
        <v>Ahmad Bradey</v>
      </c>
      <c r="E445" s="21" t="s">
        <v>25</v>
      </c>
      <c r="F445" s="23">
        <v>43265</v>
      </c>
      <c r="G445" s="24">
        <f ca="1">DATEDIF(Employees!$F445,TODAY(),"Y")</f>
        <v>8</v>
      </c>
      <c r="H445" s="21" t="s">
        <v>26</v>
      </c>
      <c r="I445" s="21" t="s">
        <v>27</v>
      </c>
      <c r="J445" s="21" t="s">
        <v>575</v>
      </c>
      <c r="K445" s="25">
        <v>2437</v>
      </c>
      <c r="L445" s="25">
        <v>29244</v>
      </c>
      <c r="M445" s="21">
        <v>5</v>
      </c>
      <c r="N445" s="21">
        <v>0</v>
      </c>
      <c r="O445" s="21">
        <v>4</v>
      </c>
      <c r="P445" s="21">
        <v>8</v>
      </c>
      <c r="Q445" s="21" t="str">
        <f t="shared" ca="1" si="1"/>
        <v>Not Eligible</v>
      </c>
    </row>
    <row r="446" spans="1:17" ht="15.5" x14ac:dyDescent="0.35">
      <c r="A446" s="20">
        <v>445</v>
      </c>
      <c r="B446" s="21" t="s">
        <v>662</v>
      </c>
      <c r="C446" s="21" t="s">
        <v>663</v>
      </c>
      <c r="D446" s="22" t="str">
        <f>_xlfn.TEXTJOIN(" ",TRUE,Employees_Data[[#This Row],[First Name]],Employees_Data[[#This Row],[Last Name]])</f>
        <v>Sabah Qadish</v>
      </c>
      <c r="E446" s="21" t="s">
        <v>44</v>
      </c>
      <c r="F446" s="23">
        <v>43542</v>
      </c>
      <c r="G446" s="24">
        <f ca="1">DATEDIF(Employees!$F446,TODAY(),"Y")</f>
        <v>7</v>
      </c>
      <c r="H446" s="21" t="s">
        <v>52</v>
      </c>
      <c r="I446" s="21" t="s">
        <v>27</v>
      </c>
      <c r="J446" s="21" t="s">
        <v>575</v>
      </c>
      <c r="K446" s="25">
        <v>2453</v>
      </c>
      <c r="L446" s="25">
        <v>29436</v>
      </c>
      <c r="M446" s="21">
        <v>5</v>
      </c>
      <c r="N446" s="21">
        <v>1</v>
      </c>
      <c r="O446" s="21">
        <v>0</v>
      </c>
      <c r="P446" s="21">
        <v>6</v>
      </c>
      <c r="Q446" s="21" t="str">
        <f t="shared" ca="1" si="1"/>
        <v>Not Eligible</v>
      </c>
    </row>
    <row r="447" spans="1:17" ht="15.5" x14ac:dyDescent="0.35">
      <c r="A447" s="20">
        <v>446</v>
      </c>
      <c r="B447" s="21" t="s">
        <v>664</v>
      </c>
      <c r="C447" s="21" t="s">
        <v>164</v>
      </c>
      <c r="D447" s="22" t="str">
        <f>_xlfn.TEXTJOIN(" ",TRUE,Employees_Data[[#This Row],[First Name]],Employees_Data[[#This Row],[Last Name]])</f>
        <v>Asra Almisri</v>
      </c>
      <c r="E447" s="21" t="s">
        <v>44</v>
      </c>
      <c r="F447" s="23">
        <v>43279</v>
      </c>
      <c r="G447" s="24">
        <f ca="1">DATEDIF(Employees!$F447,TODAY(),"Y")</f>
        <v>8</v>
      </c>
      <c r="H447" s="21" t="s">
        <v>52</v>
      </c>
      <c r="I447" s="21" t="s">
        <v>27</v>
      </c>
      <c r="J447" s="21" t="s">
        <v>575</v>
      </c>
      <c r="K447" s="25">
        <v>1839</v>
      </c>
      <c r="L447" s="25">
        <v>22068</v>
      </c>
      <c r="M447" s="21">
        <v>5</v>
      </c>
      <c r="N447" s="21">
        <v>1</v>
      </c>
      <c r="O447" s="21">
        <v>0</v>
      </c>
      <c r="P447" s="21">
        <v>9</v>
      </c>
      <c r="Q447" s="21" t="str">
        <f t="shared" ca="1" si="1"/>
        <v>Not Eligible</v>
      </c>
    </row>
    <row r="448" spans="1:17" ht="15.5" x14ac:dyDescent="0.35">
      <c r="A448" s="20">
        <v>447</v>
      </c>
      <c r="B448" s="21" t="s">
        <v>149</v>
      </c>
      <c r="C448" s="21" t="s">
        <v>665</v>
      </c>
      <c r="D448" s="22" t="str">
        <f>_xlfn.TEXTJOIN(" ",TRUE,Employees_Data[[#This Row],[First Name]],Employees_Data[[#This Row],[Last Name]])</f>
        <v>Faras Kawaara</v>
      </c>
      <c r="E448" s="21" t="s">
        <v>25</v>
      </c>
      <c r="F448" s="23">
        <v>42787</v>
      </c>
      <c r="G448" s="24">
        <f ca="1">DATEDIF(Employees!$F448,TODAY(),"Y")</f>
        <v>9</v>
      </c>
      <c r="H448" s="21" t="s">
        <v>26</v>
      </c>
      <c r="I448" s="21" t="s">
        <v>53</v>
      </c>
      <c r="J448" s="21" t="s">
        <v>29</v>
      </c>
      <c r="K448" s="25">
        <v>2306</v>
      </c>
      <c r="L448" s="25">
        <v>27672</v>
      </c>
      <c r="M448" s="21">
        <v>1</v>
      </c>
      <c r="N448" s="21">
        <v>6</v>
      </c>
      <c r="O448" s="21">
        <v>0</v>
      </c>
      <c r="P448" s="21">
        <v>7</v>
      </c>
      <c r="Q448" s="21" t="str">
        <f t="shared" ca="1" si="1"/>
        <v>Not Eligible</v>
      </c>
    </row>
    <row r="449" spans="1:17" ht="15.5" x14ac:dyDescent="0.35">
      <c r="A449" s="20">
        <v>448</v>
      </c>
      <c r="B449" s="21" t="s">
        <v>57</v>
      </c>
      <c r="C449" s="21" t="s">
        <v>666</v>
      </c>
      <c r="D449" s="22" t="str">
        <f>_xlfn.TEXTJOIN(" ",TRUE,Employees_Data[[#This Row],[First Name]],Employees_Data[[#This Row],[Last Name]])</f>
        <v>Muhamad Abunfis</v>
      </c>
      <c r="E449" s="21" t="s">
        <v>25</v>
      </c>
      <c r="F449" s="23">
        <v>43269</v>
      </c>
      <c r="G449" s="24">
        <f ca="1">DATEDIF(Employees!$F449,TODAY(),"Y")</f>
        <v>8</v>
      </c>
      <c r="H449" s="21" t="s">
        <v>59</v>
      </c>
      <c r="I449" s="21" t="s">
        <v>71</v>
      </c>
      <c r="J449" s="21" t="s">
        <v>54</v>
      </c>
      <c r="K449" s="25">
        <v>970</v>
      </c>
      <c r="L449" s="25">
        <v>11640</v>
      </c>
      <c r="M449" s="21">
        <v>1</v>
      </c>
      <c r="N449" s="21">
        <v>0</v>
      </c>
      <c r="O449" s="21">
        <v>0</v>
      </c>
      <c r="P449" s="21">
        <v>5</v>
      </c>
      <c r="Q449" s="21" t="str">
        <f t="shared" ca="1" si="1"/>
        <v>Not Eligible</v>
      </c>
    </row>
    <row r="450" spans="1:17" ht="15.5" x14ac:dyDescent="0.35">
      <c r="A450" s="20">
        <v>449</v>
      </c>
      <c r="B450" s="21" t="s">
        <v>667</v>
      </c>
      <c r="C450" s="21" t="s">
        <v>513</v>
      </c>
      <c r="D450" s="22" t="str">
        <f>_xlfn.TEXTJOIN(" ",TRUE,Employees_Data[[#This Row],[First Name]],Employees_Data[[#This Row],[Last Name]])</f>
        <v>Lawiy Shiah</v>
      </c>
      <c r="E450" s="21" t="s">
        <v>25</v>
      </c>
      <c r="F450" s="23">
        <v>43224</v>
      </c>
      <c r="G450" s="24">
        <f ca="1">DATEDIF(Employees!$F450,TODAY(),"Y")</f>
        <v>8</v>
      </c>
      <c r="H450" s="21" t="s">
        <v>99</v>
      </c>
      <c r="I450" s="21" t="s">
        <v>27</v>
      </c>
      <c r="J450" s="21" t="s">
        <v>60</v>
      </c>
      <c r="K450" s="25">
        <v>3140</v>
      </c>
      <c r="L450" s="25">
        <v>37680</v>
      </c>
      <c r="M450" s="21">
        <v>3</v>
      </c>
      <c r="N450" s="21">
        <v>6</v>
      </c>
      <c r="O450" s="21">
        <v>1</v>
      </c>
      <c r="P450" s="21">
        <v>5</v>
      </c>
      <c r="Q450" s="21" t="str">
        <f t="shared" ca="1" si="1"/>
        <v>Not Eligible</v>
      </c>
    </row>
    <row r="451" spans="1:17" ht="15.5" x14ac:dyDescent="0.35">
      <c r="A451" s="20">
        <v>450</v>
      </c>
      <c r="B451" s="21" t="s">
        <v>668</v>
      </c>
      <c r="C451" s="21" t="s">
        <v>669</v>
      </c>
      <c r="D451" s="22" t="str">
        <f>_xlfn.TEXTJOIN(" ",TRUE,Employees_Data[[#This Row],[First Name]],Employees_Data[[#This Row],[Last Name]])</f>
        <v>Rama Alsaghir</v>
      </c>
      <c r="E451" s="21" t="s">
        <v>44</v>
      </c>
      <c r="F451" s="23">
        <v>42835</v>
      </c>
      <c r="G451" s="24">
        <f ca="1">DATEDIF(Employees!$F451,TODAY(),"Y")</f>
        <v>9</v>
      </c>
      <c r="H451" s="21" t="s">
        <v>110</v>
      </c>
      <c r="I451" s="21" t="s">
        <v>27</v>
      </c>
      <c r="J451" s="21" t="s">
        <v>54</v>
      </c>
      <c r="K451" s="25">
        <v>1176</v>
      </c>
      <c r="L451" s="25">
        <v>14112</v>
      </c>
      <c r="M451" s="21">
        <v>5</v>
      </c>
      <c r="N451" s="21">
        <v>2</v>
      </c>
      <c r="O451" s="21">
        <v>0</v>
      </c>
      <c r="P451" s="21">
        <v>6</v>
      </c>
      <c r="Q451" s="21" t="str">
        <f t="shared" ca="1" si="1"/>
        <v>Not Eligible</v>
      </c>
    </row>
    <row r="452" spans="1:17" ht="15.5" x14ac:dyDescent="0.35">
      <c r="A452" s="20">
        <v>451</v>
      </c>
      <c r="B452" s="21" t="s">
        <v>55</v>
      </c>
      <c r="C452" s="21" t="s">
        <v>670</v>
      </c>
      <c r="D452" s="22" t="str">
        <f>_xlfn.TEXTJOIN(" ",TRUE,Employees_Data[[#This Row],[First Name]],Employees_Data[[#This Row],[Last Name]])</f>
        <v>Ahmad Qadimati</v>
      </c>
      <c r="E452" s="21" t="s">
        <v>25</v>
      </c>
      <c r="F452" s="23">
        <v>43698</v>
      </c>
      <c r="G452" s="24">
        <f ca="1">DATEDIF(Employees!$F452,TODAY(),"Y")</f>
        <v>7</v>
      </c>
      <c r="H452" s="21" t="s">
        <v>76</v>
      </c>
      <c r="I452" s="21" t="s">
        <v>53</v>
      </c>
      <c r="J452" s="21" t="s">
        <v>575</v>
      </c>
      <c r="K452" s="25">
        <v>2742</v>
      </c>
      <c r="L452" s="25">
        <v>32904</v>
      </c>
      <c r="M452" s="21">
        <v>5</v>
      </c>
      <c r="N452" s="21">
        <v>0</v>
      </c>
      <c r="O452" s="21">
        <v>0</v>
      </c>
      <c r="P452" s="21">
        <v>9</v>
      </c>
      <c r="Q452" s="21" t="str">
        <f t="shared" ca="1" si="1"/>
        <v>Not Eligible</v>
      </c>
    </row>
    <row r="453" spans="1:17" ht="15.5" x14ac:dyDescent="0.35">
      <c r="A453" s="20">
        <v>452</v>
      </c>
      <c r="B453" s="21" t="s">
        <v>671</v>
      </c>
      <c r="C453" s="21" t="s">
        <v>672</v>
      </c>
      <c r="D453" s="22" t="str">
        <f>_xlfn.TEXTJOIN(" ",TRUE,Employees_Data[[#This Row],[First Name]],Employees_Data[[#This Row],[Last Name]])</f>
        <v>Qays Dahna</v>
      </c>
      <c r="E453" s="21" t="s">
        <v>25</v>
      </c>
      <c r="F453" s="23">
        <v>42996</v>
      </c>
      <c r="G453" s="24">
        <f ca="1">DATEDIF(Employees!$F453,TODAY(),"Y")</f>
        <v>9</v>
      </c>
      <c r="H453" s="21" t="s">
        <v>26</v>
      </c>
      <c r="I453" s="21" t="s">
        <v>27</v>
      </c>
      <c r="J453" s="21" t="s">
        <v>29</v>
      </c>
      <c r="K453" s="25">
        <v>734</v>
      </c>
      <c r="L453" s="25">
        <v>8808</v>
      </c>
      <c r="M453" s="21">
        <v>3</v>
      </c>
      <c r="N453" s="21">
        <v>0</v>
      </c>
      <c r="O453" s="21">
        <v>0</v>
      </c>
      <c r="P453" s="21">
        <v>0</v>
      </c>
      <c r="Q453" s="21" t="str">
        <f t="shared" ca="1" si="1"/>
        <v>Not Eligible</v>
      </c>
    </row>
    <row r="454" spans="1:17" ht="15.5" x14ac:dyDescent="0.35">
      <c r="A454" s="20">
        <v>453</v>
      </c>
      <c r="B454" s="21" t="s">
        <v>673</v>
      </c>
      <c r="C454" s="21" t="s">
        <v>674</v>
      </c>
      <c r="D454" s="22" t="str">
        <f>_xlfn.TEXTJOIN(" ",TRUE,Employees_Data[[#This Row],[First Name]],Employees_Data[[#This Row],[Last Name]])</f>
        <v>Raja Eaziza</v>
      </c>
      <c r="E454" s="21" t="s">
        <v>25</v>
      </c>
      <c r="F454" s="23">
        <v>43133</v>
      </c>
      <c r="G454" s="24">
        <f ca="1">DATEDIF(Employees!$F454,TODAY(),"Y")</f>
        <v>8</v>
      </c>
      <c r="H454" s="21" t="s">
        <v>52</v>
      </c>
      <c r="I454" s="21" t="s">
        <v>71</v>
      </c>
      <c r="J454" s="21" t="s">
        <v>54</v>
      </c>
      <c r="K454" s="25">
        <v>894</v>
      </c>
      <c r="L454" s="25">
        <v>10728</v>
      </c>
      <c r="M454" s="21">
        <v>3</v>
      </c>
      <c r="N454" s="21">
        <v>6</v>
      </c>
      <c r="O454" s="21">
        <v>0</v>
      </c>
      <c r="P454" s="21">
        <v>93</v>
      </c>
      <c r="Q454" s="21" t="str">
        <f t="shared" ca="1" si="1"/>
        <v>Eligible</v>
      </c>
    </row>
    <row r="455" spans="1:17" ht="15.5" x14ac:dyDescent="0.35">
      <c r="A455" s="20">
        <v>454</v>
      </c>
      <c r="B455" s="21" t="s">
        <v>316</v>
      </c>
      <c r="C455" s="21" t="s">
        <v>675</v>
      </c>
      <c r="D455" s="22" t="str">
        <f>_xlfn.TEXTJOIN(" ",TRUE,Employees_Data[[#This Row],[First Name]],Employees_Data[[#This Row],[Last Name]])</f>
        <v>Emar Nakaash</v>
      </c>
      <c r="E455" s="21" t="s">
        <v>44</v>
      </c>
      <c r="F455" s="23">
        <v>44144</v>
      </c>
      <c r="G455" s="24">
        <f ca="1">DATEDIF(Employees!$F455,TODAY(),"Y")</f>
        <v>5</v>
      </c>
      <c r="H455" s="21" t="s">
        <v>65</v>
      </c>
      <c r="I455" s="21" t="s">
        <v>40</v>
      </c>
      <c r="J455" s="21" t="s">
        <v>575</v>
      </c>
      <c r="K455" s="25">
        <v>2640</v>
      </c>
      <c r="L455" s="25">
        <v>31680</v>
      </c>
      <c r="M455" s="21">
        <v>4.5</v>
      </c>
      <c r="N455" s="21">
        <v>1</v>
      </c>
      <c r="O455" s="21">
        <v>5</v>
      </c>
      <c r="P455" s="21">
        <v>4</v>
      </c>
      <c r="Q455" s="21" t="str">
        <f t="shared" ca="1" si="1"/>
        <v>Not Eligible</v>
      </c>
    </row>
    <row r="456" spans="1:17" ht="15.5" x14ac:dyDescent="0.35">
      <c r="A456" s="20">
        <v>455</v>
      </c>
      <c r="B456" s="21" t="s">
        <v>227</v>
      </c>
      <c r="C456" s="21" t="s">
        <v>676</v>
      </c>
      <c r="D456" s="22" t="str">
        <f>_xlfn.TEXTJOIN(" ",TRUE,Employees_Data[[#This Row],[First Name]],Employees_Data[[#This Row],[Last Name]])</f>
        <v>Ranya Khuluf</v>
      </c>
      <c r="E456" s="21" t="s">
        <v>44</v>
      </c>
      <c r="F456" s="23">
        <v>43497</v>
      </c>
      <c r="G456" s="24">
        <f ca="1">DATEDIF(Employees!$F456,TODAY(),"Y")</f>
        <v>7</v>
      </c>
      <c r="H456" s="21" t="s">
        <v>52</v>
      </c>
      <c r="I456" s="21" t="s">
        <v>27</v>
      </c>
      <c r="J456" s="21" t="s">
        <v>60</v>
      </c>
      <c r="K456" s="25">
        <v>1059</v>
      </c>
      <c r="L456" s="25">
        <v>12708</v>
      </c>
      <c r="M456" s="21">
        <v>2</v>
      </c>
      <c r="N456" s="21">
        <v>0</v>
      </c>
      <c r="O456" s="21">
        <v>0</v>
      </c>
      <c r="P456" s="21">
        <v>14</v>
      </c>
      <c r="Q456" s="21" t="str">
        <f t="shared" ca="1" si="1"/>
        <v>Not Eligible</v>
      </c>
    </row>
    <row r="457" spans="1:17" ht="15.5" x14ac:dyDescent="0.35">
      <c r="A457" s="20">
        <v>456</v>
      </c>
      <c r="B457" s="21" t="s">
        <v>514</v>
      </c>
      <c r="C457" s="21" t="s">
        <v>677</v>
      </c>
      <c r="D457" s="22" t="str">
        <f>_xlfn.TEXTJOIN(" ",TRUE,Employees_Data[[#This Row],[First Name]],Employees_Data[[#This Row],[Last Name]])</f>
        <v>Kinda Zaki</v>
      </c>
      <c r="E457" s="21" t="s">
        <v>44</v>
      </c>
      <c r="F457" s="23">
        <v>43260</v>
      </c>
      <c r="G457" s="24">
        <f ca="1">DATEDIF(Employees!$F457,TODAY(),"Y")</f>
        <v>8</v>
      </c>
      <c r="H457" s="21" t="s">
        <v>59</v>
      </c>
      <c r="I457" s="21" t="s">
        <v>315</v>
      </c>
      <c r="J457" s="21" t="s">
        <v>60</v>
      </c>
      <c r="K457" s="25">
        <v>3337</v>
      </c>
      <c r="L457" s="25">
        <v>40044</v>
      </c>
      <c r="M457" s="21">
        <v>3</v>
      </c>
      <c r="N457" s="21">
        <v>0</v>
      </c>
      <c r="O457" s="21">
        <v>2</v>
      </c>
      <c r="P457" s="21">
        <v>6</v>
      </c>
      <c r="Q457" s="21" t="str">
        <f t="shared" ca="1" si="1"/>
        <v>Not Eligible</v>
      </c>
    </row>
    <row r="458" spans="1:17" ht="15.5" x14ac:dyDescent="0.35">
      <c r="A458" s="20">
        <v>457</v>
      </c>
      <c r="B458" s="21" t="s">
        <v>57</v>
      </c>
      <c r="C458" s="21" t="s">
        <v>678</v>
      </c>
      <c r="D458" s="22" t="str">
        <f>_xlfn.TEXTJOIN(" ",TRUE,Employees_Data[[#This Row],[First Name]],Employees_Data[[#This Row],[Last Name]])</f>
        <v>Muhamad Asamh Tubae</v>
      </c>
      <c r="E458" s="21" t="s">
        <v>25</v>
      </c>
      <c r="F458" s="23">
        <v>44063</v>
      </c>
      <c r="G458" s="24">
        <f ca="1">DATEDIF(Employees!$F458,TODAY(),"Y")</f>
        <v>6</v>
      </c>
      <c r="H458" s="21" t="s">
        <v>99</v>
      </c>
      <c r="I458" s="21" t="s">
        <v>27</v>
      </c>
      <c r="J458" s="21" t="s">
        <v>60</v>
      </c>
      <c r="K458" s="25">
        <v>3154</v>
      </c>
      <c r="L458" s="25">
        <v>37848</v>
      </c>
      <c r="M458" s="21">
        <v>3</v>
      </c>
      <c r="N458" s="21">
        <v>0</v>
      </c>
      <c r="O458" s="21">
        <v>0</v>
      </c>
      <c r="P458" s="21">
        <v>6</v>
      </c>
      <c r="Q458" s="21" t="str">
        <f t="shared" ca="1" si="1"/>
        <v>Not Eligible</v>
      </c>
    </row>
    <row r="459" spans="1:17" ht="15.5" x14ac:dyDescent="0.35">
      <c r="A459" s="20">
        <v>458</v>
      </c>
      <c r="B459" s="21" t="s">
        <v>55</v>
      </c>
      <c r="C459" s="21" t="s">
        <v>679</v>
      </c>
      <c r="D459" s="22" t="str">
        <f>_xlfn.TEXTJOIN(" ",TRUE,Employees_Data[[#This Row],[First Name]],Employees_Data[[#This Row],[Last Name]])</f>
        <v>Ahmad Daeas</v>
      </c>
      <c r="E459" s="21" t="s">
        <v>25</v>
      </c>
      <c r="F459" s="23">
        <v>43508</v>
      </c>
      <c r="G459" s="24">
        <f ca="1">DATEDIF(Employees!$F459,TODAY(),"Y")</f>
        <v>7</v>
      </c>
      <c r="H459" s="21" t="s">
        <v>76</v>
      </c>
      <c r="I459" s="21" t="s">
        <v>27</v>
      </c>
      <c r="J459" s="21" t="s">
        <v>54</v>
      </c>
      <c r="K459" s="25">
        <v>1618</v>
      </c>
      <c r="L459" s="25">
        <v>19416</v>
      </c>
      <c r="M459" s="21">
        <v>3</v>
      </c>
      <c r="N459" s="21">
        <v>1</v>
      </c>
      <c r="O459" s="21">
        <v>0</v>
      </c>
      <c r="P459" s="21">
        <v>1</v>
      </c>
      <c r="Q459" s="21" t="str">
        <f t="shared" ca="1" si="1"/>
        <v>Not Eligible</v>
      </c>
    </row>
    <row r="460" spans="1:17" ht="15.5" x14ac:dyDescent="0.35">
      <c r="A460" s="20">
        <v>459</v>
      </c>
      <c r="B460" s="21" t="s">
        <v>57</v>
      </c>
      <c r="C460" s="21" t="s">
        <v>680</v>
      </c>
      <c r="D460" s="22" t="str">
        <f>_xlfn.TEXTJOIN(" ",TRUE,Employees_Data[[#This Row],[First Name]],Employees_Data[[#This Row],[Last Name]])</f>
        <v>Muhamad Shadi Alkhiat</v>
      </c>
      <c r="E460" s="21" t="s">
        <v>25</v>
      </c>
      <c r="F460" s="23">
        <v>42786</v>
      </c>
      <c r="G460" s="24">
        <f ca="1">DATEDIF(Employees!$F460,TODAY(),"Y")</f>
        <v>9</v>
      </c>
      <c r="H460" s="21" t="s">
        <v>99</v>
      </c>
      <c r="I460" s="21" t="s">
        <v>53</v>
      </c>
      <c r="J460" s="21" t="s">
        <v>54</v>
      </c>
      <c r="K460" s="25">
        <v>1248</v>
      </c>
      <c r="L460" s="25">
        <v>14976</v>
      </c>
      <c r="M460" s="21">
        <v>5</v>
      </c>
      <c r="N460" s="21">
        <v>0</v>
      </c>
      <c r="O460" s="21">
        <v>6</v>
      </c>
      <c r="P460" s="21">
        <v>7</v>
      </c>
      <c r="Q460" s="21" t="str">
        <f t="shared" ca="1" si="1"/>
        <v>Not Eligible</v>
      </c>
    </row>
    <row r="461" spans="1:17" ht="15.5" x14ac:dyDescent="0.35">
      <c r="A461" s="20">
        <v>460</v>
      </c>
      <c r="B461" s="21" t="s">
        <v>681</v>
      </c>
      <c r="C461" s="21" t="s">
        <v>682</v>
      </c>
      <c r="D461" s="22" t="str">
        <f>_xlfn.TEXTJOIN(" ",TRUE,Employees_Data[[#This Row],[First Name]],Employees_Data[[#This Row],[Last Name]])</f>
        <v>Omaimah Tqi Aldiyn</v>
      </c>
      <c r="E461" s="21" t="s">
        <v>44</v>
      </c>
      <c r="F461" s="23">
        <v>42978</v>
      </c>
      <c r="G461" s="24">
        <f ca="1">DATEDIF(Employees!$F461,TODAY(),"Y")</f>
        <v>9</v>
      </c>
      <c r="H461" s="21" t="s">
        <v>99</v>
      </c>
      <c r="I461" s="21" t="s">
        <v>27</v>
      </c>
      <c r="J461" s="21" t="s">
        <v>83</v>
      </c>
      <c r="K461" s="25">
        <v>1523</v>
      </c>
      <c r="L461" s="25">
        <v>18276</v>
      </c>
      <c r="M461" s="21">
        <v>3</v>
      </c>
      <c r="N461" s="21">
        <v>6</v>
      </c>
      <c r="O461" s="21">
        <v>5</v>
      </c>
      <c r="P461" s="21">
        <v>4</v>
      </c>
      <c r="Q461" s="21" t="str">
        <f t="shared" ca="1" si="1"/>
        <v>Not Eligible</v>
      </c>
    </row>
    <row r="462" spans="1:17" ht="15.5" x14ac:dyDescent="0.35">
      <c r="A462" s="20">
        <v>461</v>
      </c>
      <c r="B462" s="21" t="s">
        <v>683</v>
      </c>
      <c r="C462" s="21" t="s">
        <v>684</v>
      </c>
      <c r="D462" s="22" t="str">
        <f>_xlfn.TEXTJOIN(" ",TRUE,Employees_Data[[#This Row],[First Name]],Employees_Data[[#This Row],[Last Name]])</f>
        <v>Tahani Yasir</v>
      </c>
      <c r="E462" s="21" t="s">
        <v>44</v>
      </c>
      <c r="F462" s="23">
        <v>43475</v>
      </c>
      <c r="G462" s="24">
        <f ca="1">DATEDIF(Employees!$F462,TODAY(),"Y")</f>
        <v>7</v>
      </c>
      <c r="H462" s="21" t="s">
        <v>52</v>
      </c>
      <c r="I462" s="21" t="s">
        <v>27</v>
      </c>
      <c r="J462" s="21" t="s">
        <v>60</v>
      </c>
      <c r="K462" s="25">
        <v>1275</v>
      </c>
      <c r="L462" s="25">
        <v>15300</v>
      </c>
      <c r="M462" s="21">
        <v>4.5</v>
      </c>
      <c r="N462" s="21">
        <v>3</v>
      </c>
      <c r="O462" s="21">
        <v>0</v>
      </c>
      <c r="P462" s="21">
        <v>9</v>
      </c>
      <c r="Q462" s="21" t="str">
        <f t="shared" ca="1" si="1"/>
        <v>Not Eligible</v>
      </c>
    </row>
    <row r="463" spans="1:17" ht="15.5" x14ac:dyDescent="0.35">
      <c r="A463" s="20">
        <v>462</v>
      </c>
      <c r="B463" s="21" t="s">
        <v>388</v>
      </c>
      <c r="C463" s="21" t="s">
        <v>685</v>
      </c>
      <c r="D463" s="22" t="str">
        <f>_xlfn.TEXTJOIN(" ",TRUE,Employees_Data[[#This Row],[First Name]],Employees_Data[[#This Row],[Last Name]])</f>
        <v>Hasan Alfywmi</v>
      </c>
      <c r="E463" s="21" t="s">
        <v>25</v>
      </c>
      <c r="F463" s="23">
        <v>43472</v>
      </c>
      <c r="G463" s="24">
        <f ca="1">DATEDIF(Employees!$F463,TODAY(),"Y")</f>
        <v>7</v>
      </c>
      <c r="H463" s="21" t="s">
        <v>65</v>
      </c>
      <c r="I463" s="21" t="s">
        <v>71</v>
      </c>
      <c r="J463" s="21" t="s">
        <v>60</v>
      </c>
      <c r="K463" s="25">
        <v>1549</v>
      </c>
      <c r="L463" s="25">
        <v>18588</v>
      </c>
      <c r="M463" s="21">
        <v>3</v>
      </c>
      <c r="N463" s="21">
        <v>2</v>
      </c>
      <c r="O463" s="21">
        <v>0</v>
      </c>
      <c r="P463" s="21">
        <v>5</v>
      </c>
      <c r="Q463" s="21" t="str">
        <f t="shared" ca="1" si="1"/>
        <v>Not Eligible</v>
      </c>
    </row>
    <row r="464" spans="1:17" ht="15.5" x14ac:dyDescent="0.35">
      <c r="A464" s="20">
        <v>463</v>
      </c>
      <c r="B464" s="21" t="s">
        <v>392</v>
      </c>
      <c r="C464" s="21" t="s">
        <v>686</v>
      </c>
      <c r="D464" s="22" t="str">
        <f>_xlfn.TEXTJOIN(" ",TRUE,Employees_Data[[#This Row],[First Name]],Employees_Data[[#This Row],[Last Name]])</f>
        <v>Zahir Zarie</v>
      </c>
      <c r="E464" s="21" t="s">
        <v>25</v>
      </c>
      <c r="F464" s="23">
        <v>43618</v>
      </c>
      <c r="G464" s="24">
        <f ca="1">DATEDIF(Employees!$F464,TODAY(),"Y")</f>
        <v>7</v>
      </c>
      <c r="H464" s="21" t="s">
        <v>110</v>
      </c>
      <c r="I464" s="21" t="s">
        <v>40</v>
      </c>
      <c r="J464" s="21" t="s">
        <v>575</v>
      </c>
      <c r="K464" s="25">
        <v>1786</v>
      </c>
      <c r="L464" s="25">
        <v>21432</v>
      </c>
      <c r="M464" s="21">
        <v>3</v>
      </c>
      <c r="N464" s="21">
        <v>4</v>
      </c>
      <c r="O464" s="21">
        <v>4</v>
      </c>
      <c r="P464" s="21">
        <v>1</v>
      </c>
      <c r="Q464" s="21" t="str">
        <f t="shared" ca="1" si="1"/>
        <v>Not Eligible</v>
      </c>
    </row>
    <row r="465" spans="1:17" ht="15.5" x14ac:dyDescent="0.35">
      <c r="A465" s="20">
        <v>464</v>
      </c>
      <c r="B465" s="21" t="s">
        <v>57</v>
      </c>
      <c r="C465" s="21" t="s">
        <v>687</v>
      </c>
      <c r="D465" s="22" t="str">
        <f>_xlfn.TEXTJOIN(" ",TRUE,Employees_Data[[#This Row],[First Name]],Employees_Data[[#This Row],[Last Name]])</f>
        <v>Muhamad Eaqad</v>
      </c>
      <c r="E465" s="21" t="s">
        <v>25</v>
      </c>
      <c r="F465" s="23">
        <v>43557</v>
      </c>
      <c r="G465" s="24">
        <f ca="1">DATEDIF(Employees!$F465,TODAY(),"Y")</f>
        <v>7</v>
      </c>
      <c r="H465" s="21" t="s">
        <v>99</v>
      </c>
      <c r="I465" s="21" t="s">
        <v>40</v>
      </c>
      <c r="J465" s="21" t="s">
        <v>54</v>
      </c>
      <c r="K465" s="25">
        <v>1908</v>
      </c>
      <c r="L465" s="25">
        <v>22896</v>
      </c>
      <c r="M465" s="21">
        <v>1</v>
      </c>
      <c r="N465" s="21">
        <v>0</v>
      </c>
      <c r="O465" s="21">
        <v>5</v>
      </c>
      <c r="P465" s="21">
        <v>7</v>
      </c>
      <c r="Q465" s="21" t="str">
        <f t="shared" ca="1" si="1"/>
        <v>Not Eligible</v>
      </c>
    </row>
    <row r="466" spans="1:17" ht="15.5" x14ac:dyDescent="0.35">
      <c r="A466" s="20">
        <v>465</v>
      </c>
      <c r="B466" s="21" t="s">
        <v>55</v>
      </c>
      <c r="C466" s="21" t="s">
        <v>534</v>
      </c>
      <c r="D466" s="22" t="str">
        <f>_xlfn.TEXTJOIN(" ",TRUE,Employees_Data[[#This Row],[First Name]],Employees_Data[[#This Row],[Last Name]])</f>
        <v>Ahmad Hamuwd</v>
      </c>
      <c r="E466" s="21" t="s">
        <v>25</v>
      </c>
      <c r="F466" s="23">
        <v>43249</v>
      </c>
      <c r="G466" s="24">
        <f ca="1">DATEDIF(Employees!$F466,TODAY(),"Y")</f>
        <v>8</v>
      </c>
      <c r="H466" s="21" t="s">
        <v>76</v>
      </c>
      <c r="I466" s="21" t="s">
        <v>53</v>
      </c>
      <c r="J466" s="21" t="s">
        <v>60</v>
      </c>
      <c r="K466" s="25">
        <v>2321</v>
      </c>
      <c r="L466" s="25">
        <v>27852</v>
      </c>
      <c r="M466" s="21">
        <v>5</v>
      </c>
      <c r="N466" s="21">
        <v>0</v>
      </c>
      <c r="O466" s="21">
        <v>0</v>
      </c>
      <c r="P466" s="21">
        <v>6</v>
      </c>
      <c r="Q466" s="21" t="str">
        <f t="shared" ca="1" si="1"/>
        <v>Not Eligible</v>
      </c>
    </row>
    <row r="467" spans="1:17" ht="15.5" x14ac:dyDescent="0.35">
      <c r="A467" s="20">
        <v>466</v>
      </c>
      <c r="B467" s="21" t="s">
        <v>688</v>
      </c>
      <c r="C467" s="21" t="s">
        <v>689</v>
      </c>
      <c r="D467" s="22" t="str">
        <f>_xlfn.TEXTJOIN(" ",TRUE,Employees_Data[[#This Row],[First Name]],Employees_Data[[#This Row],[Last Name]])</f>
        <v>Ismaeil Jdwe</v>
      </c>
      <c r="E467" s="21" t="s">
        <v>25</v>
      </c>
      <c r="F467" s="23">
        <v>44109</v>
      </c>
      <c r="G467" s="24">
        <f ca="1">DATEDIF(Employees!$F467,TODAY(),"Y")</f>
        <v>6</v>
      </c>
      <c r="H467" s="21" t="s">
        <v>76</v>
      </c>
      <c r="I467" s="21" t="s">
        <v>53</v>
      </c>
      <c r="J467" s="21" t="s">
        <v>54</v>
      </c>
      <c r="K467" s="25">
        <v>899</v>
      </c>
      <c r="L467" s="25">
        <v>10788</v>
      </c>
      <c r="M467" s="21">
        <v>1</v>
      </c>
      <c r="N467" s="21">
        <v>4</v>
      </c>
      <c r="O467" s="21">
        <v>0</v>
      </c>
      <c r="P467" s="21">
        <v>27</v>
      </c>
      <c r="Q467" s="21" t="str">
        <f t="shared" ca="1" si="1"/>
        <v>Not Eligible</v>
      </c>
    </row>
    <row r="468" spans="1:17" ht="15.5" x14ac:dyDescent="0.35">
      <c r="A468" s="20">
        <v>467</v>
      </c>
      <c r="B468" s="21" t="s">
        <v>57</v>
      </c>
      <c r="C468" s="21" t="s">
        <v>690</v>
      </c>
      <c r="D468" s="22" t="str">
        <f>_xlfn.TEXTJOIN(" ",TRUE,Employees_Data[[#This Row],[First Name]],Employees_Data[[#This Row],[Last Name]])</f>
        <v>Muhamad Saeid Alzarey</v>
      </c>
      <c r="E468" s="21" t="s">
        <v>25</v>
      </c>
      <c r="F468" s="23">
        <v>43822</v>
      </c>
      <c r="G468" s="24">
        <f ca="1">DATEDIF(Employees!$F468,TODAY(),"Y")</f>
        <v>6</v>
      </c>
      <c r="H468" s="21" t="s">
        <v>110</v>
      </c>
      <c r="I468" s="21" t="s">
        <v>27</v>
      </c>
      <c r="J468" s="21" t="s">
        <v>60</v>
      </c>
      <c r="K468" s="25">
        <v>1168</v>
      </c>
      <c r="L468" s="25">
        <v>14016</v>
      </c>
      <c r="M468" s="21">
        <v>5</v>
      </c>
      <c r="N468" s="21">
        <v>0</v>
      </c>
      <c r="O468" s="21">
        <v>0</v>
      </c>
      <c r="P468" s="21">
        <v>8</v>
      </c>
      <c r="Q468" s="21" t="str">
        <f t="shared" ca="1" si="1"/>
        <v>Not Eligible</v>
      </c>
    </row>
    <row r="469" spans="1:17" ht="15.5" x14ac:dyDescent="0.35">
      <c r="A469" s="20">
        <v>468</v>
      </c>
      <c r="B469" s="21" t="s">
        <v>691</v>
      </c>
      <c r="C469" s="21" t="s">
        <v>692</v>
      </c>
      <c r="D469" s="22" t="str">
        <f>_xlfn.TEXTJOIN(" ",TRUE,Employees_Data[[#This Row],[First Name]],Employees_Data[[#This Row],[Last Name]])</f>
        <v>Bakr Eubdallah</v>
      </c>
      <c r="E469" s="21" t="s">
        <v>25</v>
      </c>
      <c r="F469" s="23">
        <v>43194</v>
      </c>
      <c r="G469" s="24">
        <f ca="1">DATEDIF(Employees!$F469,TODAY(),"Y")</f>
        <v>8</v>
      </c>
      <c r="H469" s="21" t="s">
        <v>115</v>
      </c>
      <c r="I469" s="21" t="s">
        <v>27</v>
      </c>
      <c r="J469" s="21" t="s">
        <v>54</v>
      </c>
      <c r="K469" s="25">
        <v>2169</v>
      </c>
      <c r="L469" s="25">
        <v>26028</v>
      </c>
      <c r="M469" s="21">
        <v>1</v>
      </c>
      <c r="N469" s="21">
        <v>4</v>
      </c>
      <c r="O469" s="21">
        <v>0</v>
      </c>
      <c r="P469" s="21">
        <v>2</v>
      </c>
      <c r="Q469" s="21" t="str">
        <f t="shared" ca="1" si="1"/>
        <v>Not Eligible</v>
      </c>
    </row>
    <row r="470" spans="1:17" ht="15.5" x14ac:dyDescent="0.35">
      <c r="A470" s="20">
        <v>469</v>
      </c>
      <c r="B470" s="21" t="s">
        <v>57</v>
      </c>
      <c r="C470" s="21" t="s">
        <v>406</v>
      </c>
      <c r="D470" s="22" t="str">
        <f>_xlfn.TEXTJOIN(" ",TRUE,Employees_Data[[#This Row],[First Name]],Employees_Data[[#This Row],[Last Name]])</f>
        <v>Muhamad Basil</v>
      </c>
      <c r="E470" s="21" t="s">
        <v>25</v>
      </c>
      <c r="F470" s="23">
        <v>43900</v>
      </c>
      <c r="G470" s="24">
        <f ca="1">DATEDIF(Employees!$F470,TODAY(),"Y")</f>
        <v>6</v>
      </c>
      <c r="H470" s="21" t="s">
        <v>221</v>
      </c>
      <c r="I470" s="21" t="s">
        <v>315</v>
      </c>
      <c r="J470" s="21" t="s">
        <v>54</v>
      </c>
      <c r="K470" s="25">
        <v>2819</v>
      </c>
      <c r="L470" s="25">
        <v>33828</v>
      </c>
      <c r="M470" s="21">
        <v>4.5</v>
      </c>
      <c r="N470" s="21">
        <v>5</v>
      </c>
      <c r="O470" s="21">
        <v>0</v>
      </c>
      <c r="P470" s="21">
        <v>51</v>
      </c>
      <c r="Q470" s="21" t="str">
        <f t="shared" ca="1" si="1"/>
        <v>Eligible</v>
      </c>
    </row>
    <row r="471" spans="1:17" ht="15.5" x14ac:dyDescent="0.35">
      <c r="A471" s="20">
        <v>470</v>
      </c>
      <c r="B471" s="21" t="s">
        <v>55</v>
      </c>
      <c r="C471" s="21" t="s">
        <v>693</v>
      </c>
      <c r="D471" s="22" t="str">
        <f>_xlfn.TEXTJOIN(" ",TRUE,Employees_Data[[#This Row],[First Name]],Employees_Data[[#This Row],[Last Name]])</f>
        <v>Ahmad Alnajar</v>
      </c>
      <c r="E471" s="21" t="s">
        <v>25</v>
      </c>
      <c r="F471" s="23">
        <v>43403</v>
      </c>
      <c r="G471" s="24">
        <f ca="1">DATEDIF(Employees!$F471,TODAY(),"Y")</f>
        <v>7</v>
      </c>
      <c r="H471" s="21" t="s">
        <v>73</v>
      </c>
      <c r="I471" s="21" t="s">
        <v>53</v>
      </c>
      <c r="J471" s="21" t="s">
        <v>60</v>
      </c>
      <c r="K471" s="25">
        <v>847</v>
      </c>
      <c r="L471" s="25">
        <v>10164</v>
      </c>
      <c r="M471" s="21">
        <v>3</v>
      </c>
      <c r="N471" s="21">
        <v>0</v>
      </c>
      <c r="O471" s="21">
        <v>0</v>
      </c>
      <c r="P471" s="21">
        <v>3</v>
      </c>
      <c r="Q471" s="21" t="str">
        <f t="shared" ca="1" si="1"/>
        <v>Not Eligible</v>
      </c>
    </row>
    <row r="472" spans="1:17" ht="15.5" x14ac:dyDescent="0.35">
      <c r="A472" s="20">
        <v>471</v>
      </c>
      <c r="B472" s="21" t="s">
        <v>57</v>
      </c>
      <c r="C472" s="21" t="s">
        <v>562</v>
      </c>
      <c r="D472" s="22" t="str">
        <f>_xlfn.TEXTJOIN(" ",TRUE,Employees_Data[[#This Row],[First Name]],Employees_Data[[#This Row],[Last Name]])</f>
        <v>Muhamad Alsaman</v>
      </c>
      <c r="E472" s="21" t="s">
        <v>25</v>
      </c>
      <c r="F472" s="23">
        <v>43900</v>
      </c>
      <c r="G472" s="24">
        <f ca="1">DATEDIF(Employees!$F472,TODAY(),"Y")</f>
        <v>6</v>
      </c>
      <c r="H472" s="21" t="s">
        <v>65</v>
      </c>
      <c r="I472" s="21" t="s">
        <v>27</v>
      </c>
      <c r="J472" s="21" t="s">
        <v>29</v>
      </c>
      <c r="K472" s="25">
        <v>2308</v>
      </c>
      <c r="L472" s="25">
        <v>27696</v>
      </c>
      <c r="M472" s="21">
        <v>2</v>
      </c>
      <c r="N472" s="21">
        <v>0</v>
      </c>
      <c r="O472" s="21">
        <v>0</v>
      </c>
      <c r="P472" s="21">
        <v>13</v>
      </c>
      <c r="Q472" s="21" t="str">
        <f t="shared" ca="1" si="1"/>
        <v>Not Eligible</v>
      </c>
    </row>
    <row r="473" spans="1:17" ht="15.5" x14ac:dyDescent="0.35">
      <c r="A473" s="20">
        <v>472</v>
      </c>
      <c r="B473" s="21" t="s">
        <v>106</v>
      </c>
      <c r="C473" s="21" t="s">
        <v>694</v>
      </c>
      <c r="D473" s="22" t="str">
        <f>_xlfn.TEXTJOIN(" ",TRUE,Employees_Data[[#This Row],[First Name]],Employees_Data[[#This Row],[Last Name]])</f>
        <v>Lina Wayly</v>
      </c>
      <c r="E473" s="21" t="s">
        <v>44</v>
      </c>
      <c r="F473" s="23">
        <v>43435</v>
      </c>
      <c r="G473" s="24">
        <f ca="1">DATEDIF(Employees!$F473,TODAY(),"Y")</f>
        <v>7</v>
      </c>
      <c r="H473" s="21" t="s">
        <v>52</v>
      </c>
      <c r="I473" s="21" t="s">
        <v>27</v>
      </c>
      <c r="J473" s="21" t="s">
        <v>575</v>
      </c>
      <c r="K473" s="25">
        <v>1692</v>
      </c>
      <c r="L473" s="25">
        <v>20304</v>
      </c>
      <c r="M473" s="21">
        <v>4.5</v>
      </c>
      <c r="N473" s="21">
        <v>4</v>
      </c>
      <c r="O473" s="21">
        <v>0</v>
      </c>
      <c r="P473" s="21">
        <v>6</v>
      </c>
      <c r="Q473" s="21" t="str">
        <f t="shared" ca="1" si="1"/>
        <v>Not Eligible</v>
      </c>
    </row>
    <row r="474" spans="1:17" ht="15.5" x14ac:dyDescent="0.35">
      <c r="A474" s="20">
        <v>473</v>
      </c>
      <c r="B474" s="21" t="s">
        <v>695</v>
      </c>
      <c r="C474" s="21" t="s">
        <v>180</v>
      </c>
      <c r="D474" s="22" t="str">
        <f>_xlfn.TEXTJOIN(" ",TRUE,Employees_Data[[#This Row],[First Name]],Employees_Data[[#This Row],[Last Name]])</f>
        <v>Raghid Hutayniun</v>
      </c>
      <c r="E474" s="21" t="s">
        <v>25</v>
      </c>
      <c r="F474" s="23">
        <v>43159</v>
      </c>
      <c r="G474" s="24">
        <f ca="1">DATEDIF(Employees!$F474,TODAY(),"Y")</f>
        <v>8</v>
      </c>
      <c r="H474" s="21" t="s">
        <v>99</v>
      </c>
      <c r="I474" s="21" t="s">
        <v>27</v>
      </c>
      <c r="J474" s="21" t="s">
        <v>54</v>
      </c>
      <c r="K474" s="25">
        <v>1372</v>
      </c>
      <c r="L474" s="25">
        <v>16464</v>
      </c>
      <c r="M474" s="21">
        <v>1</v>
      </c>
      <c r="N474" s="21">
        <v>0</v>
      </c>
      <c r="O474" s="21">
        <v>0</v>
      </c>
      <c r="P474" s="21">
        <v>4</v>
      </c>
      <c r="Q474" s="21" t="str">
        <f t="shared" ca="1" si="1"/>
        <v>Not Eligible</v>
      </c>
    </row>
    <row r="475" spans="1:17" ht="15.5" x14ac:dyDescent="0.35">
      <c r="A475" s="20">
        <v>474</v>
      </c>
      <c r="B475" s="21" t="s">
        <v>431</v>
      </c>
      <c r="C475" s="21" t="s">
        <v>696</v>
      </c>
      <c r="D475" s="22" t="str">
        <f>_xlfn.TEXTJOIN(" ",TRUE,Employees_Data[[#This Row],[First Name]],Employees_Data[[#This Row],[Last Name]])</f>
        <v>Ruba Alsiraj</v>
      </c>
      <c r="E475" s="21" t="s">
        <v>44</v>
      </c>
      <c r="F475" s="23">
        <v>43617</v>
      </c>
      <c r="G475" s="24">
        <f ca="1">DATEDIF(Employees!$F475,TODAY(),"Y")</f>
        <v>7</v>
      </c>
      <c r="H475" s="21" t="s">
        <v>65</v>
      </c>
      <c r="I475" s="21" t="s">
        <v>27</v>
      </c>
      <c r="J475" s="21" t="s">
        <v>575</v>
      </c>
      <c r="K475" s="25">
        <v>2594</v>
      </c>
      <c r="L475" s="25">
        <v>31128</v>
      </c>
      <c r="M475" s="21">
        <v>3</v>
      </c>
      <c r="N475" s="21">
        <v>5</v>
      </c>
      <c r="O475" s="21">
        <v>0</v>
      </c>
      <c r="P475" s="21">
        <v>0</v>
      </c>
      <c r="Q475" s="21" t="str">
        <f t="shared" ca="1" si="1"/>
        <v>Not Eligible</v>
      </c>
    </row>
    <row r="476" spans="1:17" ht="15.5" x14ac:dyDescent="0.35">
      <c r="A476" s="20">
        <v>475</v>
      </c>
      <c r="B476" s="21" t="s">
        <v>478</v>
      </c>
      <c r="C476" s="21" t="s">
        <v>697</v>
      </c>
      <c r="D476" s="22" t="str">
        <f>_xlfn.TEXTJOIN(" ",TRUE,Employees_Data[[#This Row],[First Name]],Employees_Data[[#This Row],[Last Name]])</f>
        <v>Adnan Allaadhiqanii</v>
      </c>
      <c r="E476" s="21" t="s">
        <v>25</v>
      </c>
      <c r="F476" s="23">
        <v>43237</v>
      </c>
      <c r="G476" s="24">
        <f ca="1">DATEDIF(Employees!$F476,TODAY(),"Y")</f>
        <v>8</v>
      </c>
      <c r="H476" s="21" t="s">
        <v>26</v>
      </c>
      <c r="I476" s="21" t="s">
        <v>27</v>
      </c>
      <c r="J476" s="21" t="s">
        <v>60</v>
      </c>
      <c r="K476" s="25">
        <v>1082</v>
      </c>
      <c r="L476" s="25">
        <v>12984</v>
      </c>
      <c r="M476" s="21">
        <v>5</v>
      </c>
      <c r="N476" s="21">
        <v>1</v>
      </c>
      <c r="O476" s="21">
        <v>4</v>
      </c>
      <c r="P476" s="21">
        <v>8</v>
      </c>
      <c r="Q476" s="21" t="str">
        <f t="shared" ca="1" si="1"/>
        <v>Not Eligible</v>
      </c>
    </row>
    <row r="477" spans="1:17" ht="15.5" x14ac:dyDescent="0.35">
      <c r="A477" s="20">
        <v>476</v>
      </c>
      <c r="B477" s="21" t="s">
        <v>57</v>
      </c>
      <c r="C477" s="21" t="s">
        <v>328</v>
      </c>
      <c r="D477" s="22" t="str">
        <f>_xlfn.TEXTJOIN(" ",TRUE,Employees_Data[[#This Row],[First Name]],Employees_Data[[#This Row],[Last Name]])</f>
        <v>Muhamad Shaeban</v>
      </c>
      <c r="E477" s="21" t="s">
        <v>25</v>
      </c>
      <c r="F477" s="23">
        <v>43413</v>
      </c>
      <c r="G477" s="24">
        <f ca="1">DATEDIF(Employees!$F477,TODAY(),"Y")</f>
        <v>7</v>
      </c>
      <c r="H477" s="21" t="s">
        <v>52</v>
      </c>
      <c r="I477" s="21" t="s">
        <v>27</v>
      </c>
      <c r="J477" s="21" t="s">
        <v>29</v>
      </c>
      <c r="K477" s="25">
        <v>1929</v>
      </c>
      <c r="L477" s="25">
        <v>23148</v>
      </c>
      <c r="M477" s="21">
        <v>5</v>
      </c>
      <c r="N477" s="21">
        <v>3</v>
      </c>
      <c r="O477" s="21">
        <v>0</v>
      </c>
      <c r="P477" s="21">
        <v>43</v>
      </c>
      <c r="Q477" s="21" t="str">
        <f t="shared" ca="1" si="1"/>
        <v>Not Eligible</v>
      </c>
    </row>
    <row r="478" spans="1:17" ht="15.5" x14ac:dyDescent="0.35">
      <c r="A478" s="20">
        <v>477</v>
      </c>
      <c r="B478" s="21" t="s">
        <v>698</v>
      </c>
      <c r="C478" s="21" t="s">
        <v>102</v>
      </c>
      <c r="D478" s="22" t="str">
        <f>_xlfn.TEXTJOIN(" ",TRUE,Employees_Data[[#This Row],[First Name]],Employees_Data[[#This Row],[Last Name]])</f>
        <v>Ghyath Abu</v>
      </c>
      <c r="E478" s="21" t="s">
        <v>25</v>
      </c>
      <c r="F478" s="23">
        <v>43720</v>
      </c>
      <c r="G478" s="24">
        <f ca="1">DATEDIF(Employees!$F478,TODAY(),"Y")</f>
        <v>7</v>
      </c>
      <c r="H478" s="21" t="s">
        <v>52</v>
      </c>
      <c r="I478" s="21" t="s">
        <v>40</v>
      </c>
      <c r="J478" s="21" t="s">
        <v>54</v>
      </c>
      <c r="K478" s="25">
        <v>1883</v>
      </c>
      <c r="L478" s="25">
        <v>22596</v>
      </c>
      <c r="M478" s="21">
        <v>3</v>
      </c>
      <c r="N478" s="21">
        <v>3</v>
      </c>
      <c r="O478" s="21">
        <v>0</v>
      </c>
      <c r="P478" s="21">
        <v>3</v>
      </c>
      <c r="Q478" s="21" t="str">
        <f t="shared" ca="1" si="1"/>
        <v>Not Eligible</v>
      </c>
    </row>
    <row r="479" spans="1:17" ht="15.5" x14ac:dyDescent="0.35">
      <c r="A479" s="20">
        <v>478</v>
      </c>
      <c r="B479" s="21" t="s">
        <v>406</v>
      </c>
      <c r="C479" s="21" t="s">
        <v>529</v>
      </c>
      <c r="D479" s="22" t="str">
        <f>_xlfn.TEXTJOIN(" ",TRUE,Employees_Data[[#This Row],[First Name]],Employees_Data[[#This Row],[Last Name]])</f>
        <v>Basil Farahat</v>
      </c>
      <c r="E479" s="21" t="s">
        <v>25</v>
      </c>
      <c r="F479" s="23">
        <v>43594</v>
      </c>
      <c r="G479" s="24">
        <f ca="1">DATEDIF(Employees!$F479,TODAY(),"Y")</f>
        <v>7</v>
      </c>
      <c r="H479" s="21" t="s">
        <v>65</v>
      </c>
      <c r="I479" s="21" t="s">
        <v>53</v>
      </c>
      <c r="J479" s="21" t="s">
        <v>29</v>
      </c>
      <c r="K479" s="25">
        <v>874</v>
      </c>
      <c r="L479" s="25">
        <v>10488</v>
      </c>
      <c r="M479" s="21">
        <v>3</v>
      </c>
      <c r="N479" s="21">
        <v>0</v>
      </c>
      <c r="O479" s="21">
        <v>0</v>
      </c>
      <c r="P479" s="21">
        <v>7</v>
      </c>
      <c r="Q479" s="21" t="str">
        <f t="shared" ca="1" si="1"/>
        <v>Not Eligible</v>
      </c>
    </row>
    <row r="480" spans="1:17" ht="15.5" x14ac:dyDescent="0.35">
      <c r="A480" s="20">
        <v>479</v>
      </c>
      <c r="B480" s="21" t="s">
        <v>186</v>
      </c>
      <c r="C480" s="21" t="s">
        <v>699</v>
      </c>
      <c r="D480" s="22" t="str">
        <f>_xlfn.TEXTJOIN(" ",TRUE,Employees_Data[[#This Row],[First Name]],Employees_Data[[#This Row],[Last Name]])</f>
        <v>Khalid Siriul</v>
      </c>
      <c r="E480" s="21" t="s">
        <v>25</v>
      </c>
      <c r="F480" s="23">
        <v>42603</v>
      </c>
      <c r="G480" s="24">
        <f ca="1">DATEDIF(Employees!$F480,TODAY(),"Y")</f>
        <v>10</v>
      </c>
      <c r="H480" s="21" t="s">
        <v>26</v>
      </c>
      <c r="I480" s="21" t="s">
        <v>40</v>
      </c>
      <c r="J480" s="21" t="s">
        <v>29</v>
      </c>
      <c r="K480" s="25">
        <v>2780</v>
      </c>
      <c r="L480" s="25">
        <v>33360</v>
      </c>
      <c r="M480" s="21">
        <v>3</v>
      </c>
      <c r="N480" s="21">
        <v>3</v>
      </c>
      <c r="O480" s="21">
        <v>0</v>
      </c>
      <c r="P480" s="21">
        <v>2</v>
      </c>
      <c r="Q480" s="21" t="str">
        <f t="shared" ca="1" si="1"/>
        <v>Not Eligible</v>
      </c>
    </row>
    <row r="481" spans="1:17" ht="15.5" x14ac:dyDescent="0.35">
      <c r="A481" s="20">
        <v>480</v>
      </c>
      <c r="B481" s="21" t="s">
        <v>228</v>
      </c>
      <c r="C481" s="21" t="s">
        <v>152</v>
      </c>
      <c r="D481" s="22" t="str">
        <f>_xlfn.TEXTJOIN(" ",TRUE,Employees_Data[[#This Row],[First Name]],Employees_Data[[#This Row],[Last Name]])</f>
        <v>Salah Aldiyn Salayk</v>
      </c>
      <c r="E481" s="21" t="s">
        <v>25</v>
      </c>
      <c r="F481" s="23">
        <v>43832</v>
      </c>
      <c r="G481" s="24">
        <f ca="1">DATEDIF(Employees!$F481,TODAY(),"Y")</f>
        <v>6</v>
      </c>
      <c r="H481" s="21" t="s">
        <v>73</v>
      </c>
      <c r="I481" s="21" t="s">
        <v>71</v>
      </c>
      <c r="J481" s="21" t="s">
        <v>83</v>
      </c>
      <c r="K481" s="25">
        <v>1980</v>
      </c>
      <c r="L481" s="25">
        <v>23760</v>
      </c>
      <c r="M481" s="21">
        <v>2</v>
      </c>
      <c r="N481" s="21">
        <v>3</v>
      </c>
      <c r="O481" s="21">
        <v>0</v>
      </c>
      <c r="P481" s="21">
        <v>0</v>
      </c>
      <c r="Q481" s="21" t="str">
        <f t="shared" ca="1" si="1"/>
        <v>Not Eligible</v>
      </c>
    </row>
    <row r="482" spans="1:17" ht="15.5" x14ac:dyDescent="0.35">
      <c r="A482" s="20">
        <v>481</v>
      </c>
      <c r="B482" s="21" t="s">
        <v>93</v>
      </c>
      <c r="C482" s="21" t="s">
        <v>700</v>
      </c>
      <c r="D482" s="22" t="str">
        <f>_xlfn.TEXTJOIN(" ",TRUE,Employees_Data[[#This Row],[First Name]],Employees_Data[[#This Row],[Last Name]])</f>
        <v>Bilal Einziin</v>
      </c>
      <c r="E482" s="21" t="s">
        <v>25</v>
      </c>
      <c r="F482" s="23">
        <v>43832</v>
      </c>
      <c r="G482" s="24">
        <f ca="1">DATEDIF(Employees!$F482,TODAY(),"Y")</f>
        <v>6</v>
      </c>
      <c r="H482" s="21" t="s">
        <v>47</v>
      </c>
      <c r="I482" s="21" t="s">
        <v>71</v>
      </c>
      <c r="J482" s="21" t="s">
        <v>54</v>
      </c>
      <c r="K482" s="25">
        <v>2611</v>
      </c>
      <c r="L482" s="25">
        <v>31332</v>
      </c>
      <c r="M482" s="21">
        <v>5</v>
      </c>
      <c r="N482" s="21">
        <v>4</v>
      </c>
      <c r="O482" s="21">
        <v>0</v>
      </c>
      <c r="P482" s="21">
        <v>9</v>
      </c>
      <c r="Q482" s="21" t="str">
        <f t="shared" ca="1" si="1"/>
        <v>Not Eligible</v>
      </c>
    </row>
    <row r="483" spans="1:17" ht="15.5" x14ac:dyDescent="0.35">
      <c r="A483" s="20">
        <v>482</v>
      </c>
      <c r="B483" s="21" t="s">
        <v>701</v>
      </c>
      <c r="C483" s="21" t="s">
        <v>702</v>
      </c>
      <c r="D483" s="22" t="str">
        <f>_xlfn.TEXTJOIN(" ",TRUE,Employees_Data[[#This Row],[First Name]],Employees_Data[[#This Row],[Last Name]])</f>
        <v>Abdalrhmin Aljuju</v>
      </c>
      <c r="E483" s="21" t="s">
        <v>25</v>
      </c>
      <c r="F483" s="23">
        <v>43141</v>
      </c>
      <c r="G483" s="24">
        <f ca="1">DATEDIF(Employees!$F483,TODAY(),"Y")</f>
        <v>8</v>
      </c>
      <c r="H483" s="21" t="s">
        <v>221</v>
      </c>
      <c r="I483" s="21" t="s">
        <v>71</v>
      </c>
      <c r="J483" s="21" t="s">
        <v>575</v>
      </c>
      <c r="K483" s="25">
        <v>1881</v>
      </c>
      <c r="L483" s="25">
        <v>22572</v>
      </c>
      <c r="M483" s="21">
        <v>5</v>
      </c>
      <c r="N483" s="21">
        <v>1</v>
      </c>
      <c r="O483" s="21">
        <v>0</v>
      </c>
      <c r="P483" s="21">
        <v>1</v>
      </c>
      <c r="Q483" s="21" t="str">
        <f t="shared" ca="1" si="1"/>
        <v>Not Eligible</v>
      </c>
    </row>
    <row r="484" spans="1:17" ht="15.5" x14ac:dyDescent="0.35">
      <c r="A484" s="20">
        <v>483</v>
      </c>
      <c r="B484" s="21" t="s">
        <v>703</v>
      </c>
      <c r="C484" s="21" t="s">
        <v>704</v>
      </c>
      <c r="D484" s="22" t="str">
        <f>_xlfn.TEXTJOIN(" ",TRUE,Employees_Data[[#This Row],[First Name]],Employees_Data[[#This Row],[Last Name]])</f>
        <v>Lawy Nadaf</v>
      </c>
      <c r="E484" s="21" t="s">
        <v>25</v>
      </c>
      <c r="F484" s="23">
        <v>42530</v>
      </c>
      <c r="G484" s="24">
        <f ca="1">DATEDIF(Employees!$F484,TODAY(),"Y")</f>
        <v>10</v>
      </c>
      <c r="H484" s="21" t="s">
        <v>52</v>
      </c>
      <c r="I484" s="21" t="s">
        <v>27</v>
      </c>
      <c r="J484" s="21" t="s">
        <v>29</v>
      </c>
      <c r="K484" s="25">
        <v>1517</v>
      </c>
      <c r="L484" s="25">
        <v>18204</v>
      </c>
      <c r="M484" s="21">
        <v>5</v>
      </c>
      <c r="N484" s="21">
        <v>4</v>
      </c>
      <c r="O484" s="21">
        <v>0</v>
      </c>
      <c r="P484" s="21">
        <v>6</v>
      </c>
      <c r="Q484" s="21" t="str">
        <f t="shared" ca="1" si="1"/>
        <v>Not Eligible</v>
      </c>
    </row>
    <row r="485" spans="1:17" ht="15.5" x14ac:dyDescent="0.35">
      <c r="A485" s="20">
        <v>484</v>
      </c>
      <c r="B485" s="21" t="s">
        <v>207</v>
      </c>
      <c r="C485" s="21" t="s">
        <v>57</v>
      </c>
      <c r="D485" s="22" t="str">
        <f>_xlfn.TEXTJOIN(" ",TRUE,Employees_Data[[#This Row],[First Name]],Employees_Data[[#This Row],[Last Name]])</f>
        <v>Ali Muhamad</v>
      </c>
      <c r="E485" s="21" t="s">
        <v>25</v>
      </c>
      <c r="F485" s="23">
        <v>43825</v>
      </c>
      <c r="G485" s="24">
        <f ca="1">DATEDIF(Employees!$F485,TODAY(),"Y")</f>
        <v>6</v>
      </c>
      <c r="H485" s="21" t="s">
        <v>59</v>
      </c>
      <c r="I485" s="21" t="s">
        <v>27</v>
      </c>
      <c r="J485" s="21" t="s">
        <v>29</v>
      </c>
      <c r="K485" s="25">
        <v>1459</v>
      </c>
      <c r="L485" s="25">
        <v>17508</v>
      </c>
      <c r="M485" s="21">
        <v>4.5</v>
      </c>
      <c r="N485" s="21">
        <v>0</v>
      </c>
      <c r="O485" s="21">
        <v>0</v>
      </c>
      <c r="P485" s="21">
        <v>10</v>
      </c>
      <c r="Q485" s="21" t="str">
        <f t="shared" ca="1" si="1"/>
        <v>Not Eligible</v>
      </c>
    </row>
    <row r="486" spans="1:17" ht="15.5" x14ac:dyDescent="0.35">
      <c r="A486" s="20">
        <v>485</v>
      </c>
      <c r="B486" s="21" t="s">
        <v>240</v>
      </c>
      <c r="C486" s="21" t="s">
        <v>705</v>
      </c>
      <c r="D486" s="22" t="str">
        <f>_xlfn.TEXTJOIN(" ",TRUE,Employees_Data[[#This Row],[First Name]],Employees_Data[[#This Row],[Last Name]])</f>
        <v>Mahir Bikar</v>
      </c>
      <c r="E486" s="21" t="s">
        <v>25</v>
      </c>
      <c r="F486" s="23">
        <v>43761</v>
      </c>
      <c r="G486" s="24">
        <f ca="1">DATEDIF(Employees!$F486,TODAY(),"Y")</f>
        <v>7</v>
      </c>
      <c r="H486" s="21" t="s">
        <v>110</v>
      </c>
      <c r="I486" s="21" t="s">
        <v>40</v>
      </c>
      <c r="J486" s="21" t="s">
        <v>54</v>
      </c>
      <c r="K486" s="25">
        <v>2383</v>
      </c>
      <c r="L486" s="25">
        <v>28596</v>
      </c>
      <c r="M486" s="21">
        <v>3</v>
      </c>
      <c r="N486" s="21">
        <v>0</v>
      </c>
      <c r="O486" s="21">
        <v>0</v>
      </c>
      <c r="P486" s="21">
        <v>0</v>
      </c>
      <c r="Q486" s="21" t="str">
        <f t="shared" ca="1" si="1"/>
        <v>Not Eligible</v>
      </c>
    </row>
    <row r="487" spans="1:17" ht="15.5" x14ac:dyDescent="0.35">
      <c r="A487" s="20">
        <v>486</v>
      </c>
      <c r="B487" s="21" t="s">
        <v>72</v>
      </c>
      <c r="C487" s="21" t="s">
        <v>479</v>
      </c>
      <c r="D487" s="22" t="str">
        <f>_xlfn.TEXTJOIN(" ",TRUE,Employees_Data[[#This Row],[First Name]],Employees_Data[[#This Row],[Last Name]])</f>
        <v>Iad Alhusayn</v>
      </c>
      <c r="E487" s="21" t="s">
        <v>25</v>
      </c>
      <c r="F487" s="23">
        <v>43168</v>
      </c>
      <c r="G487" s="24">
        <f ca="1">DATEDIF(Employees!$F487,TODAY(),"Y")</f>
        <v>8</v>
      </c>
      <c r="H487" s="21" t="s">
        <v>99</v>
      </c>
      <c r="I487" s="21" t="s">
        <v>27</v>
      </c>
      <c r="J487" s="21" t="s">
        <v>83</v>
      </c>
      <c r="K487" s="25">
        <v>1420</v>
      </c>
      <c r="L487" s="25">
        <v>17040</v>
      </c>
      <c r="M487" s="21">
        <v>5</v>
      </c>
      <c r="N487" s="21">
        <v>2</v>
      </c>
      <c r="O487" s="21">
        <v>6</v>
      </c>
      <c r="P487" s="21">
        <v>7</v>
      </c>
      <c r="Q487" s="21" t="str">
        <f t="shared" ca="1" si="1"/>
        <v>Not Eligible</v>
      </c>
    </row>
    <row r="488" spans="1:17" ht="15.5" x14ac:dyDescent="0.35">
      <c r="A488" s="20">
        <v>487</v>
      </c>
      <c r="B488" s="21" t="s">
        <v>376</v>
      </c>
      <c r="C488" s="21" t="s">
        <v>706</v>
      </c>
      <c r="D488" s="22" t="str">
        <f>_xlfn.TEXTJOIN(" ",TRUE,Employees_Data[[#This Row],[First Name]],Employees_Data[[#This Row],[Last Name]])</f>
        <v>Husam Ziada</v>
      </c>
      <c r="E488" s="21" t="s">
        <v>25</v>
      </c>
      <c r="F488" s="23">
        <v>43358</v>
      </c>
      <c r="G488" s="24">
        <f ca="1">DATEDIF(Employees!$F488,TODAY(),"Y")</f>
        <v>8</v>
      </c>
      <c r="H488" s="21" t="s">
        <v>47</v>
      </c>
      <c r="I488" s="21" t="s">
        <v>27</v>
      </c>
      <c r="J488" s="21" t="s">
        <v>60</v>
      </c>
      <c r="K488" s="25">
        <v>1382</v>
      </c>
      <c r="L488" s="25">
        <v>16584</v>
      </c>
      <c r="M488" s="21">
        <v>4.5</v>
      </c>
      <c r="N488" s="21">
        <v>0</v>
      </c>
      <c r="O488" s="21">
        <v>1</v>
      </c>
      <c r="P488" s="21">
        <v>14</v>
      </c>
      <c r="Q488" s="21" t="str">
        <f t="shared" ca="1" si="1"/>
        <v>Not Eligible</v>
      </c>
    </row>
    <row r="489" spans="1:17" ht="15.5" x14ac:dyDescent="0.35">
      <c r="A489" s="20">
        <v>488</v>
      </c>
      <c r="B489" s="21" t="s">
        <v>55</v>
      </c>
      <c r="C489" s="21" t="s">
        <v>707</v>
      </c>
      <c r="D489" s="22" t="str">
        <f>_xlfn.TEXTJOIN(" ",TRUE,Employees_Data[[#This Row],[First Name]],Employees_Data[[#This Row],[Last Name]])</f>
        <v>Ahmad Eashur</v>
      </c>
      <c r="E489" s="21" t="s">
        <v>25</v>
      </c>
      <c r="F489" s="23">
        <v>44097</v>
      </c>
      <c r="G489" s="24">
        <f ca="1">DATEDIF(Employees!$F489,TODAY(),"Y")</f>
        <v>6</v>
      </c>
      <c r="H489" s="21" t="s">
        <v>73</v>
      </c>
      <c r="I489" s="21" t="s">
        <v>53</v>
      </c>
      <c r="J489" s="21" t="s">
        <v>29</v>
      </c>
      <c r="K489" s="25">
        <v>1920</v>
      </c>
      <c r="L489" s="25">
        <v>23040</v>
      </c>
      <c r="M489" s="21">
        <v>5</v>
      </c>
      <c r="N489" s="21">
        <v>0</v>
      </c>
      <c r="O489" s="21">
        <v>5</v>
      </c>
      <c r="P489" s="21">
        <v>1</v>
      </c>
      <c r="Q489" s="21" t="str">
        <f t="shared" ca="1" si="1"/>
        <v>Not Eligible</v>
      </c>
    </row>
    <row r="490" spans="1:17" ht="15.5" x14ac:dyDescent="0.35">
      <c r="A490" s="20">
        <v>489</v>
      </c>
      <c r="B490" s="21" t="s">
        <v>55</v>
      </c>
      <c r="C490" s="21" t="s">
        <v>708</v>
      </c>
      <c r="D490" s="22" t="str">
        <f>_xlfn.TEXTJOIN(" ",TRUE,Employees_Data[[#This Row],[First Name]],Employees_Data[[#This Row],[Last Name]])</f>
        <v>Ahmad Naqawuh</v>
      </c>
      <c r="E490" s="21" t="s">
        <v>25</v>
      </c>
      <c r="F490" s="23">
        <v>44091</v>
      </c>
      <c r="G490" s="24">
        <f ca="1">DATEDIF(Employees!$F490,TODAY(),"Y")</f>
        <v>6</v>
      </c>
      <c r="H490" s="21" t="s">
        <v>99</v>
      </c>
      <c r="I490" s="21" t="s">
        <v>27</v>
      </c>
      <c r="J490" s="21" t="s">
        <v>60</v>
      </c>
      <c r="K490" s="25">
        <v>1202</v>
      </c>
      <c r="L490" s="25">
        <v>14424</v>
      </c>
      <c r="M490" s="21">
        <v>4.5</v>
      </c>
      <c r="N490" s="21">
        <v>0</v>
      </c>
      <c r="O490" s="21">
        <v>0</v>
      </c>
      <c r="P490" s="21">
        <v>92</v>
      </c>
      <c r="Q490" s="21" t="str">
        <f t="shared" ca="1" si="1"/>
        <v>Eligible</v>
      </c>
    </row>
    <row r="491" spans="1:17" ht="15.5" x14ac:dyDescent="0.35">
      <c r="A491" s="20">
        <v>490</v>
      </c>
      <c r="B491" s="21" t="s">
        <v>709</v>
      </c>
      <c r="C491" s="21" t="s">
        <v>710</v>
      </c>
      <c r="D491" s="22" t="str">
        <f>_xlfn.TEXTJOIN(" ",TRUE,Employees_Data[[#This Row],[First Name]],Employees_Data[[#This Row],[Last Name]])</f>
        <v>Tamadur Barghuth</v>
      </c>
      <c r="E491" s="21" t="s">
        <v>44</v>
      </c>
      <c r="F491" s="23">
        <v>43156</v>
      </c>
      <c r="G491" s="24">
        <f ca="1">DATEDIF(Employees!$F491,TODAY(),"Y")</f>
        <v>8</v>
      </c>
      <c r="H491" s="21" t="s">
        <v>81</v>
      </c>
      <c r="I491" s="21" t="s">
        <v>40</v>
      </c>
      <c r="J491" s="21" t="s">
        <v>29</v>
      </c>
      <c r="K491" s="25">
        <v>1158</v>
      </c>
      <c r="L491" s="25">
        <v>13896</v>
      </c>
      <c r="M491" s="21">
        <v>5</v>
      </c>
      <c r="N491" s="21">
        <v>0</v>
      </c>
      <c r="O491" s="21">
        <v>0</v>
      </c>
      <c r="P491" s="21">
        <v>7</v>
      </c>
      <c r="Q491" s="21" t="str">
        <f t="shared" ca="1" si="1"/>
        <v>Not Eligible</v>
      </c>
    </row>
    <row r="492" spans="1:17" ht="15.5" x14ac:dyDescent="0.35">
      <c r="A492" s="20">
        <v>491</v>
      </c>
      <c r="B492" s="21" t="s">
        <v>346</v>
      </c>
      <c r="C492" s="21" t="s">
        <v>711</v>
      </c>
      <c r="D492" s="22" t="str">
        <f>_xlfn.TEXTJOIN(" ",TRUE,Employees_Data[[#This Row],[First Name]],Employees_Data[[#This Row],[Last Name]])</f>
        <v>Diea Jazar</v>
      </c>
      <c r="E492" s="21" t="s">
        <v>25</v>
      </c>
      <c r="F492" s="23">
        <v>43850</v>
      </c>
      <c r="G492" s="24">
        <f ca="1">DATEDIF(Employees!$F492,TODAY(),"Y")</f>
        <v>6</v>
      </c>
      <c r="H492" s="21" t="s">
        <v>26</v>
      </c>
      <c r="I492" s="21" t="s">
        <v>27</v>
      </c>
      <c r="J492" s="21" t="s">
        <v>60</v>
      </c>
      <c r="K492" s="25">
        <v>1447</v>
      </c>
      <c r="L492" s="25">
        <v>17364</v>
      </c>
      <c r="M492" s="21">
        <v>3</v>
      </c>
      <c r="N492" s="21">
        <v>0</v>
      </c>
      <c r="O492" s="21">
        <v>0</v>
      </c>
      <c r="P492" s="21">
        <v>7</v>
      </c>
      <c r="Q492" s="21" t="str">
        <f t="shared" ca="1" si="1"/>
        <v>Not Eligible</v>
      </c>
    </row>
    <row r="493" spans="1:17" ht="15.5" x14ac:dyDescent="0.35">
      <c r="A493" s="20">
        <v>492</v>
      </c>
      <c r="B493" s="21" t="s">
        <v>244</v>
      </c>
      <c r="C493" s="21" t="s">
        <v>712</v>
      </c>
      <c r="D493" s="22" t="str">
        <f>_xlfn.TEXTJOIN(" ",TRUE,Employees_Data[[#This Row],[First Name]],Employees_Data[[#This Row],[Last Name]])</f>
        <v>Bashshar Mareiun</v>
      </c>
      <c r="E493" s="21" t="s">
        <v>25</v>
      </c>
      <c r="F493" s="23">
        <v>43731</v>
      </c>
      <c r="G493" s="24">
        <f ca="1">DATEDIF(Employees!$F493,TODAY(),"Y")</f>
        <v>7</v>
      </c>
      <c r="H493" s="21" t="s">
        <v>63</v>
      </c>
      <c r="I493" s="21" t="s">
        <v>40</v>
      </c>
      <c r="J493" s="21" t="s">
        <v>575</v>
      </c>
      <c r="K493" s="25">
        <v>1598</v>
      </c>
      <c r="L493" s="25">
        <v>19176</v>
      </c>
      <c r="M493" s="21">
        <v>3</v>
      </c>
      <c r="N493" s="21">
        <v>0</v>
      </c>
      <c r="O493" s="21">
        <v>0</v>
      </c>
      <c r="P493" s="21">
        <v>95</v>
      </c>
      <c r="Q493" s="21" t="str">
        <f t="shared" ca="1" si="1"/>
        <v>Eligible</v>
      </c>
    </row>
    <row r="494" spans="1:17" ht="15.5" x14ac:dyDescent="0.35">
      <c r="A494" s="20">
        <v>493</v>
      </c>
      <c r="B494" s="21" t="s">
        <v>713</v>
      </c>
      <c r="C494" s="21" t="s">
        <v>714</v>
      </c>
      <c r="D494" s="22" t="str">
        <f>_xlfn.TEXTJOIN(" ",TRUE,Employees_Data[[#This Row],[First Name]],Employees_Data[[#This Row],[Last Name]])</f>
        <v>Abdaleziz Eiwad</v>
      </c>
      <c r="E494" s="21" t="s">
        <v>25</v>
      </c>
      <c r="F494" s="23">
        <v>43974</v>
      </c>
      <c r="G494" s="24">
        <f ca="1">DATEDIF(Employees!$F494,TODAY(),"Y")</f>
        <v>6</v>
      </c>
      <c r="H494" s="21" t="s">
        <v>99</v>
      </c>
      <c r="I494" s="21" t="s">
        <v>53</v>
      </c>
      <c r="J494" s="21" t="s">
        <v>575</v>
      </c>
      <c r="K494" s="25">
        <v>1714</v>
      </c>
      <c r="L494" s="25">
        <v>20568</v>
      </c>
      <c r="M494" s="21">
        <v>5</v>
      </c>
      <c r="N494" s="21">
        <v>6</v>
      </c>
      <c r="O494" s="21">
        <v>0</v>
      </c>
      <c r="P494" s="21">
        <v>11</v>
      </c>
      <c r="Q494" s="21" t="str">
        <f t="shared" ca="1" si="1"/>
        <v>Not Eligible</v>
      </c>
    </row>
    <row r="495" spans="1:17" ht="15.5" x14ac:dyDescent="0.35">
      <c r="A495" s="20">
        <v>494</v>
      </c>
      <c r="B495" s="21" t="s">
        <v>323</v>
      </c>
      <c r="C495" s="21" t="s">
        <v>715</v>
      </c>
      <c r="D495" s="22" t="str">
        <f>_xlfn.TEXTJOIN(" ",TRUE,Employees_Data[[#This Row],[First Name]],Employees_Data[[#This Row],[Last Name]])</f>
        <v>Amir Alkhawam</v>
      </c>
      <c r="E495" s="21" t="s">
        <v>25</v>
      </c>
      <c r="F495" s="23">
        <v>43038</v>
      </c>
      <c r="G495" s="24">
        <f ca="1">DATEDIF(Employees!$F495,TODAY(),"Y")</f>
        <v>8</v>
      </c>
      <c r="H495" s="21" t="s">
        <v>115</v>
      </c>
      <c r="I495" s="21" t="s">
        <v>53</v>
      </c>
      <c r="J495" s="21" t="s">
        <v>29</v>
      </c>
      <c r="K495" s="25">
        <v>2994</v>
      </c>
      <c r="L495" s="25">
        <v>35928</v>
      </c>
      <c r="M495" s="21">
        <v>4.5</v>
      </c>
      <c r="N495" s="21">
        <v>1</v>
      </c>
      <c r="O495" s="21">
        <v>0</v>
      </c>
      <c r="P495" s="21">
        <v>4</v>
      </c>
      <c r="Q495" s="21" t="str">
        <f t="shared" ca="1" si="1"/>
        <v>Not Eligible</v>
      </c>
    </row>
    <row r="496" spans="1:17" ht="15.5" x14ac:dyDescent="0.35">
      <c r="A496" s="20">
        <v>495</v>
      </c>
      <c r="B496" s="21" t="s">
        <v>716</v>
      </c>
      <c r="C496" s="21" t="s">
        <v>717</v>
      </c>
      <c r="D496" s="22" t="str">
        <f>_xlfn.TEXTJOIN(" ",TRUE,Employees_Data[[#This Row],[First Name]],Employees_Data[[#This Row],[Last Name]])</f>
        <v>Alia Maseud</v>
      </c>
      <c r="E496" s="21" t="s">
        <v>25</v>
      </c>
      <c r="F496" s="23">
        <v>43838</v>
      </c>
      <c r="G496" s="24">
        <f ca="1">DATEDIF(Employees!$F496,TODAY(),"Y")</f>
        <v>6</v>
      </c>
      <c r="H496" s="21" t="s">
        <v>52</v>
      </c>
      <c r="I496" s="21" t="s">
        <v>40</v>
      </c>
      <c r="J496" s="21" t="s">
        <v>575</v>
      </c>
      <c r="K496" s="25">
        <v>2125</v>
      </c>
      <c r="L496" s="25">
        <v>25500</v>
      </c>
      <c r="M496" s="21">
        <v>4.5</v>
      </c>
      <c r="N496" s="21">
        <v>6</v>
      </c>
      <c r="O496" s="21">
        <v>0</v>
      </c>
      <c r="P496" s="21">
        <v>6</v>
      </c>
      <c r="Q496" s="21" t="str">
        <f t="shared" ca="1" si="1"/>
        <v>Not Eligible</v>
      </c>
    </row>
    <row r="497" spans="1:17" ht="15.5" x14ac:dyDescent="0.35">
      <c r="A497" s="20">
        <v>496</v>
      </c>
      <c r="B497" s="21" t="s">
        <v>664</v>
      </c>
      <c r="C497" s="21" t="s">
        <v>718</v>
      </c>
      <c r="D497" s="22" t="str">
        <f>_xlfn.TEXTJOIN(" ",TRUE,Employees_Data[[#This Row],[First Name]],Employees_Data[[#This Row],[Last Name]])</f>
        <v>Asra Abuhani</v>
      </c>
      <c r="E497" s="21" t="s">
        <v>44</v>
      </c>
      <c r="F497" s="23">
        <v>43493</v>
      </c>
      <c r="G497" s="24">
        <f ca="1">DATEDIF(Employees!$F497,TODAY(),"Y")</f>
        <v>7</v>
      </c>
      <c r="H497" s="21" t="s">
        <v>99</v>
      </c>
      <c r="I497" s="21" t="s">
        <v>27</v>
      </c>
      <c r="J497" s="21" t="s">
        <v>54</v>
      </c>
      <c r="K497" s="25">
        <v>3059</v>
      </c>
      <c r="L497" s="25">
        <v>36708</v>
      </c>
      <c r="M497" s="21">
        <v>4.5</v>
      </c>
      <c r="N497" s="21">
        <v>5</v>
      </c>
      <c r="O497" s="21">
        <v>0</v>
      </c>
      <c r="P497" s="21">
        <v>9</v>
      </c>
      <c r="Q497" s="21" t="str">
        <f t="shared" ca="1" si="1"/>
        <v>Not Eligible</v>
      </c>
    </row>
    <row r="498" spans="1:17" ht="15.5" x14ac:dyDescent="0.35">
      <c r="A498" s="20">
        <v>497</v>
      </c>
      <c r="B498" s="21" t="s">
        <v>55</v>
      </c>
      <c r="C498" s="21" t="s">
        <v>719</v>
      </c>
      <c r="D498" s="22" t="str">
        <f>_xlfn.TEXTJOIN(" ",TRUE,Employees_Data[[#This Row],[First Name]],Employees_Data[[#This Row],[Last Name]])</f>
        <v>Ahmad Alshamy</v>
      </c>
      <c r="E498" s="21" t="s">
        <v>25</v>
      </c>
      <c r="F498" s="23">
        <v>43482</v>
      </c>
      <c r="G498" s="24">
        <f ca="1">DATEDIF(Employees!$F498,TODAY(),"Y")</f>
        <v>7</v>
      </c>
      <c r="H498" s="21" t="s">
        <v>65</v>
      </c>
      <c r="I498" s="21" t="s">
        <v>53</v>
      </c>
      <c r="J498" s="21" t="s">
        <v>54</v>
      </c>
      <c r="K498" s="25">
        <v>2077</v>
      </c>
      <c r="L498" s="25">
        <v>24924</v>
      </c>
      <c r="M498" s="21">
        <v>5</v>
      </c>
      <c r="N498" s="21">
        <v>6</v>
      </c>
      <c r="O498" s="21">
        <v>0</v>
      </c>
      <c r="P498" s="21">
        <v>4</v>
      </c>
      <c r="Q498" s="21" t="str">
        <f t="shared" ca="1" si="1"/>
        <v>Not Eligible</v>
      </c>
    </row>
    <row r="499" spans="1:17" ht="15.5" x14ac:dyDescent="0.35">
      <c r="A499" s="20">
        <v>498</v>
      </c>
      <c r="B499" s="21" t="s">
        <v>720</v>
      </c>
      <c r="C499" s="21" t="s">
        <v>721</v>
      </c>
      <c r="D499" s="22" t="str">
        <f>_xlfn.TEXTJOIN(" ",TRUE,Employees_Data[[#This Row],[First Name]],Employees_Data[[#This Row],[Last Name]])</f>
        <v>Baha Eusqul</v>
      </c>
      <c r="E499" s="21" t="s">
        <v>25</v>
      </c>
      <c r="F499" s="23">
        <v>43351</v>
      </c>
      <c r="G499" s="24">
        <f ca="1">DATEDIF(Employees!$F499,TODAY(),"Y")</f>
        <v>8</v>
      </c>
      <c r="H499" s="21" t="s">
        <v>52</v>
      </c>
      <c r="I499" s="21" t="s">
        <v>27</v>
      </c>
      <c r="J499" s="21" t="s">
        <v>29</v>
      </c>
      <c r="K499" s="25">
        <v>1962</v>
      </c>
      <c r="L499" s="25">
        <v>23544</v>
      </c>
      <c r="M499" s="21">
        <v>4.5</v>
      </c>
      <c r="N499" s="21">
        <v>6</v>
      </c>
      <c r="O499" s="21">
        <v>0</v>
      </c>
      <c r="P499" s="21">
        <v>10</v>
      </c>
      <c r="Q499" s="21" t="str">
        <f t="shared" ca="1" si="1"/>
        <v>Not Eligible</v>
      </c>
    </row>
    <row r="500" spans="1:17" ht="15.5" x14ac:dyDescent="0.35">
      <c r="A500" s="20">
        <v>499</v>
      </c>
      <c r="B500" s="21" t="s">
        <v>57</v>
      </c>
      <c r="C500" s="21" t="s">
        <v>722</v>
      </c>
      <c r="D500" s="22" t="str">
        <f>_xlfn.TEXTJOIN(" ",TRUE,Employees_Data[[#This Row],[First Name]],Employees_Data[[#This Row],[Last Name]])</f>
        <v>Muhamad Hylmyh</v>
      </c>
      <c r="E500" s="21" t="s">
        <v>25</v>
      </c>
      <c r="F500" s="23">
        <v>43600</v>
      </c>
      <c r="G500" s="24">
        <f ca="1">DATEDIF(Employees!$F500,TODAY(),"Y")</f>
        <v>7</v>
      </c>
      <c r="H500" s="21" t="s">
        <v>73</v>
      </c>
      <c r="I500" s="21" t="s">
        <v>27</v>
      </c>
      <c r="J500" s="21" t="s">
        <v>60</v>
      </c>
      <c r="K500" s="25">
        <v>1573</v>
      </c>
      <c r="L500" s="25">
        <v>18876</v>
      </c>
      <c r="M500" s="21">
        <v>3</v>
      </c>
      <c r="N500" s="21">
        <v>6</v>
      </c>
      <c r="O500" s="21">
        <v>0</v>
      </c>
      <c r="P500" s="21">
        <v>2</v>
      </c>
      <c r="Q500" s="21" t="str">
        <f t="shared" ca="1" si="1"/>
        <v>Not Eligible</v>
      </c>
    </row>
    <row r="501" spans="1:17" ht="15.5" x14ac:dyDescent="0.35">
      <c r="A501" s="20">
        <v>500</v>
      </c>
      <c r="B501" s="21" t="s">
        <v>451</v>
      </c>
      <c r="C501" s="21" t="s">
        <v>723</v>
      </c>
      <c r="D501" s="22" t="str">
        <f>_xlfn.TEXTJOIN(" ",TRUE,Employees_Data[[#This Row],[First Name]],Employees_Data[[#This Row],[Last Name]])</f>
        <v>Khadijah Turkamani</v>
      </c>
      <c r="E501" s="21" t="s">
        <v>44</v>
      </c>
      <c r="F501" s="23">
        <v>43642</v>
      </c>
      <c r="G501" s="24">
        <f ca="1">DATEDIF(Employees!$F501,TODAY(),"Y")</f>
        <v>7</v>
      </c>
      <c r="H501" s="21" t="s">
        <v>65</v>
      </c>
      <c r="I501" s="21" t="s">
        <v>40</v>
      </c>
      <c r="J501" s="21" t="s">
        <v>60</v>
      </c>
      <c r="K501" s="25">
        <v>882</v>
      </c>
      <c r="L501" s="25">
        <v>10584</v>
      </c>
      <c r="M501" s="21">
        <v>5</v>
      </c>
      <c r="N501" s="21">
        <v>0</v>
      </c>
      <c r="O501" s="21">
        <v>0</v>
      </c>
      <c r="P501" s="21">
        <v>8</v>
      </c>
      <c r="Q501" s="21" t="str">
        <f t="shared" ca="1" si="1"/>
        <v>Not Eligible</v>
      </c>
    </row>
    <row r="502" spans="1:17" ht="15.5" x14ac:dyDescent="0.35">
      <c r="A502" s="20">
        <v>501</v>
      </c>
      <c r="B502" s="21" t="s">
        <v>664</v>
      </c>
      <c r="C502" s="21" t="s">
        <v>724</v>
      </c>
      <c r="D502" s="22" t="str">
        <f>_xlfn.TEXTJOIN(" ",TRUE,Employees_Data[[#This Row],[First Name]],Employees_Data[[#This Row],[Last Name]])</f>
        <v>Asra Jameah</v>
      </c>
      <c r="E502" s="21" t="s">
        <v>44</v>
      </c>
      <c r="F502" s="23">
        <v>43398</v>
      </c>
      <c r="G502" s="24">
        <f ca="1">DATEDIF(Employees!$F502,TODAY(),"Y")</f>
        <v>8</v>
      </c>
      <c r="H502" s="21" t="s">
        <v>52</v>
      </c>
      <c r="I502" s="21" t="s">
        <v>27</v>
      </c>
      <c r="J502" s="21" t="s">
        <v>29</v>
      </c>
      <c r="K502" s="25">
        <v>1036</v>
      </c>
      <c r="L502" s="25">
        <v>12432</v>
      </c>
      <c r="M502" s="21">
        <v>5</v>
      </c>
      <c r="N502" s="21">
        <v>0</v>
      </c>
      <c r="O502" s="21">
        <v>6</v>
      </c>
      <c r="P502" s="21">
        <v>2</v>
      </c>
      <c r="Q502" s="21" t="str">
        <f t="shared" ca="1" si="1"/>
        <v>Not Eligible</v>
      </c>
    </row>
    <row r="503" spans="1:17" ht="15.5" x14ac:dyDescent="0.35">
      <c r="A503" s="20">
        <v>502</v>
      </c>
      <c r="B503" s="21" t="s">
        <v>725</v>
      </c>
      <c r="C503" s="21" t="s">
        <v>726</v>
      </c>
      <c r="D503" s="22" t="str">
        <f>_xlfn.TEXTJOIN(" ",TRUE,Employees_Data[[#This Row],[First Name]],Employees_Data[[#This Row],[Last Name]])</f>
        <v>Akram Alhulwanii</v>
      </c>
      <c r="E503" s="21" t="s">
        <v>25</v>
      </c>
      <c r="F503" s="23">
        <v>42381</v>
      </c>
      <c r="G503" s="24">
        <f ca="1">DATEDIF(Employees!$F503,TODAY(),"Y")</f>
        <v>10</v>
      </c>
      <c r="H503" s="21" t="s">
        <v>73</v>
      </c>
      <c r="I503" s="21" t="s">
        <v>27</v>
      </c>
      <c r="J503" s="21" t="s">
        <v>575</v>
      </c>
      <c r="K503" s="25">
        <v>2790</v>
      </c>
      <c r="L503" s="25">
        <v>33480</v>
      </c>
      <c r="M503" s="21">
        <v>1</v>
      </c>
      <c r="N503" s="21">
        <v>1</v>
      </c>
      <c r="O503" s="21">
        <v>0</v>
      </c>
      <c r="P503" s="21">
        <v>8</v>
      </c>
      <c r="Q503" s="21" t="str">
        <f t="shared" ca="1" si="1"/>
        <v>Not Eligible</v>
      </c>
    </row>
    <row r="504" spans="1:17" ht="15.5" x14ac:dyDescent="0.35">
      <c r="A504" s="20">
        <v>503</v>
      </c>
      <c r="B504" s="21" t="s">
        <v>91</v>
      </c>
      <c r="C504" s="21" t="s">
        <v>164</v>
      </c>
      <c r="D504" s="22" t="str">
        <f>_xlfn.TEXTJOIN(" ",TRUE,Employees_Data[[#This Row],[First Name]],Employees_Data[[#This Row],[Last Name]])</f>
        <v>Samir Almisri</v>
      </c>
      <c r="E504" s="21" t="s">
        <v>25</v>
      </c>
      <c r="F504" s="23">
        <v>43693</v>
      </c>
      <c r="G504" s="24">
        <f ca="1">DATEDIF(Employees!$F504,TODAY(),"Y")</f>
        <v>7</v>
      </c>
      <c r="H504" s="21" t="s">
        <v>52</v>
      </c>
      <c r="I504" s="21" t="s">
        <v>27</v>
      </c>
      <c r="J504" s="21" t="s">
        <v>54</v>
      </c>
      <c r="K504" s="25">
        <v>1951</v>
      </c>
      <c r="L504" s="25">
        <v>23412</v>
      </c>
      <c r="M504" s="21">
        <v>4.5</v>
      </c>
      <c r="N504" s="21">
        <v>1</v>
      </c>
      <c r="O504" s="21">
        <v>0</v>
      </c>
      <c r="P504" s="21">
        <v>8</v>
      </c>
      <c r="Q504" s="21" t="str">
        <f t="shared" ca="1" si="1"/>
        <v>Not Eligible</v>
      </c>
    </row>
    <row r="505" spans="1:17" ht="15.5" x14ac:dyDescent="0.35">
      <c r="A505" s="20">
        <v>504</v>
      </c>
      <c r="B505" s="21" t="s">
        <v>55</v>
      </c>
      <c r="C505" s="21" t="s">
        <v>411</v>
      </c>
      <c r="D505" s="22" t="str">
        <f>_xlfn.TEXTJOIN(" ",TRUE,Employees_Data[[#This Row],[First Name]],Employees_Data[[#This Row],[Last Name]])</f>
        <v>Ahmad Iidris</v>
      </c>
      <c r="E505" s="21" t="s">
        <v>25</v>
      </c>
      <c r="F505" s="23">
        <v>43289</v>
      </c>
      <c r="G505" s="24">
        <f ca="1">DATEDIF(Employees!$F505,TODAY(),"Y")</f>
        <v>8</v>
      </c>
      <c r="H505" s="21" t="s">
        <v>26</v>
      </c>
      <c r="I505" s="21" t="s">
        <v>27</v>
      </c>
      <c r="J505" s="21" t="s">
        <v>54</v>
      </c>
      <c r="K505" s="25">
        <v>2255</v>
      </c>
      <c r="L505" s="25">
        <v>27060</v>
      </c>
      <c r="M505" s="21">
        <v>5</v>
      </c>
      <c r="N505" s="21">
        <v>0</v>
      </c>
      <c r="O505" s="21">
        <v>4</v>
      </c>
      <c r="P505" s="21">
        <v>10</v>
      </c>
      <c r="Q505" s="21" t="str">
        <f t="shared" ca="1" si="1"/>
        <v>Not Eligible</v>
      </c>
    </row>
    <row r="506" spans="1:17" ht="15.5" x14ac:dyDescent="0.35">
      <c r="A506" s="20">
        <v>505</v>
      </c>
      <c r="B506" s="21" t="s">
        <v>727</v>
      </c>
      <c r="C506" s="21" t="s">
        <v>728</v>
      </c>
      <c r="D506" s="22" t="str">
        <f>_xlfn.TEXTJOIN(" ",TRUE,Employees_Data[[#This Row],[First Name]],Employees_Data[[#This Row],[Last Name]])</f>
        <v>Khawla Dawi</v>
      </c>
      <c r="E506" s="21" t="s">
        <v>44</v>
      </c>
      <c r="F506" s="23">
        <v>42903</v>
      </c>
      <c r="G506" s="24">
        <f ca="1">DATEDIF(Employees!$F506,TODAY(),"Y")</f>
        <v>9</v>
      </c>
      <c r="H506" s="21" t="s">
        <v>140</v>
      </c>
      <c r="I506" s="21" t="s">
        <v>27</v>
      </c>
      <c r="J506" s="21" t="s">
        <v>575</v>
      </c>
      <c r="K506" s="25">
        <v>3388</v>
      </c>
      <c r="L506" s="25">
        <v>40656</v>
      </c>
      <c r="M506" s="21">
        <v>3</v>
      </c>
      <c r="N506" s="21">
        <v>3</v>
      </c>
      <c r="O506" s="21">
        <v>0</v>
      </c>
      <c r="P506" s="21">
        <v>0</v>
      </c>
      <c r="Q506" s="21" t="str">
        <f t="shared" ca="1" si="1"/>
        <v>Not Eligible</v>
      </c>
    </row>
    <row r="507" spans="1:17" ht="15.5" x14ac:dyDescent="0.35">
      <c r="A507" s="20">
        <v>506</v>
      </c>
      <c r="B507" s="21" t="s">
        <v>729</v>
      </c>
      <c r="C507" s="21" t="s">
        <v>730</v>
      </c>
      <c r="D507" s="22" t="str">
        <f>_xlfn.TEXTJOIN(" ",TRUE,Employees_Data[[#This Row],[First Name]],Employees_Data[[#This Row],[Last Name]])</f>
        <v>Rayid Zazana</v>
      </c>
      <c r="E507" s="21" t="s">
        <v>25</v>
      </c>
      <c r="F507" s="23">
        <v>44123</v>
      </c>
      <c r="G507" s="24">
        <f ca="1">DATEDIF(Employees!$F507,TODAY(),"Y")</f>
        <v>6</v>
      </c>
      <c r="H507" s="21" t="s">
        <v>81</v>
      </c>
      <c r="I507" s="21" t="s">
        <v>27</v>
      </c>
      <c r="J507" s="21" t="s">
        <v>29</v>
      </c>
      <c r="K507" s="25">
        <v>707</v>
      </c>
      <c r="L507" s="25">
        <v>8484</v>
      </c>
      <c r="M507" s="21">
        <v>2</v>
      </c>
      <c r="N507" s="21">
        <v>1</v>
      </c>
      <c r="O507" s="21">
        <v>0</v>
      </c>
      <c r="P507" s="21">
        <v>9</v>
      </c>
      <c r="Q507" s="21" t="str">
        <f t="shared" ca="1" si="1"/>
        <v>Not Eligible</v>
      </c>
    </row>
    <row r="508" spans="1:17" ht="15.5" x14ac:dyDescent="0.35">
      <c r="A508" s="20">
        <v>507</v>
      </c>
      <c r="B508" s="21" t="s">
        <v>213</v>
      </c>
      <c r="C508" s="21" t="s">
        <v>731</v>
      </c>
      <c r="D508" s="22" t="str">
        <f>_xlfn.TEXTJOIN(" ",TRUE,Employees_Data[[#This Row],[First Name]],Employees_Data[[#This Row],[Last Name]])</f>
        <v>Razan Iybw</v>
      </c>
      <c r="E508" s="21" t="s">
        <v>44</v>
      </c>
      <c r="F508" s="23">
        <v>43996</v>
      </c>
      <c r="G508" s="24">
        <f ca="1">DATEDIF(Employees!$F508,TODAY(),"Y")</f>
        <v>6</v>
      </c>
      <c r="H508" s="21" t="s">
        <v>115</v>
      </c>
      <c r="I508" s="21" t="s">
        <v>27</v>
      </c>
      <c r="J508" s="21" t="s">
        <v>54</v>
      </c>
      <c r="K508" s="25">
        <v>1161</v>
      </c>
      <c r="L508" s="25">
        <v>13932</v>
      </c>
      <c r="M508" s="21">
        <v>5</v>
      </c>
      <c r="N508" s="21">
        <v>0</v>
      </c>
      <c r="O508" s="21">
        <v>0</v>
      </c>
      <c r="P508" s="21">
        <v>9</v>
      </c>
      <c r="Q508" s="21" t="str">
        <f t="shared" ca="1" si="1"/>
        <v>Not Eligible</v>
      </c>
    </row>
    <row r="509" spans="1:17" ht="15.5" x14ac:dyDescent="0.35">
      <c r="A509" s="20">
        <v>508</v>
      </c>
      <c r="B509" s="21" t="s">
        <v>732</v>
      </c>
      <c r="C509" s="21" t="s">
        <v>733</v>
      </c>
      <c r="D509" s="22" t="str">
        <f>_xlfn.TEXTJOIN(" ",TRUE,Employees_Data[[#This Row],[First Name]],Employees_Data[[#This Row],[Last Name]])</f>
        <v>Jamil Ghabur</v>
      </c>
      <c r="E509" s="21" t="s">
        <v>25</v>
      </c>
      <c r="F509" s="23">
        <v>43572</v>
      </c>
      <c r="G509" s="24">
        <f ca="1">DATEDIF(Employees!$F509,TODAY(),"Y")</f>
        <v>7</v>
      </c>
      <c r="H509" s="21" t="s">
        <v>26</v>
      </c>
      <c r="I509" s="21" t="s">
        <v>53</v>
      </c>
      <c r="J509" s="21" t="s">
        <v>54</v>
      </c>
      <c r="K509" s="25">
        <v>1165</v>
      </c>
      <c r="L509" s="25">
        <v>13980</v>
      </c>
      <c r="M509" s="21">
        <v>5</v>
      </c>
      <c r="N509" s="21">
        <v>0</v>
      </c>
      <c r="O509" s="21">
        <v>0</v>
      </c>
      <c r="P509" s="21">
        <v>9</v>
      </c>
      <c r="Q509" s="21" t="str">
        <f t="shared" ca="1" si="1"/>
        <v>Not Eligible</v>
      </c>
    </row>
    <row r="510" spans="1:17" ht="15.5" x14ac:dyDescent="0.35">
      <c r="A510" s="20">
        <v>509</v>
      </c>
      <c r="B510" s="21" t="s">
        <v>82</v>
      </c>
      <c r="C510" s="21" t="s">
        <v>616</v>
      </c>
      <c r="D510" s="22" t="str">
        <f>_xlfn.TEXTJOIN(" ",TRUE,Employees_Data[[#This Row],[First Name]],Employees_Data[[#This Row],[Last Name]])</f>
        <v>Alaa Sultan</v>
      </c>
      <c r="E510" s="21" t="s">
        <v>44</v>
      </c>
      <c r="F510" s="23">
        <v>43542</v>
      </c>
      <c r="G510" s="24">
        <f ca="1">DATEDIF(Employees!$F510,TODAY(),"Y")</f>
        <v>7</v>
      </c>
      <c r="H510" s="21" t="s">
        <v>73</v>
      </c>
      <c r="I510" s="21" t="s">
        <v>53</v>
      </c>
      <c r="J510" s="21" t="s">
        <v>54</v>
      </c>
      <c r="K510" s="25">
        <v>1351</v>
      </c>
      <c r="L510" s="25">
        <v>16212</v>
      </c>
      <c r="M510" s="21">
        <v>5</v>
      </c>
      <c r="N510" s="21">
        <v>0</v>
      </c>
      <c r="O510" s="21">
        <v>0</v>
      </c>
      <c r="P510" s="21">
        <v>7</v>
      </c>
      <c r="Q510" s="21" t="str">
        <f t="shared" ca="1" si="1"/>
        <v>Not Eligible</v>
      </c>
    </row>
    <row r="511" spans="1:17" ht="15.5" x14ac:dyDescent="0.35">
      <c r="A511" s="20">
        <v>510</v>
      </c>
      <c r="B511" s="21" t="s">
        <v>616</v>
      </c>
      <c r="C511" s="21" t="s">
        <v>734</v>
      </c>
      <c r="D511" s="22" t="str">
        <f>_xlfn.TEXTJOIN(" ",TRUE,Employees_Data[[#This Row],[First Name]],Employees_Data[[#This Row],[Last Name]])</f>
        <v>Sultan Taysir</v>
      </c>
      <c r="E511" s="21" t="s">
        <v>25</v>
      </c>
      <c r="F511" s="23">
        <v>42649</v>
      </c>
      <c r="G511" s="24">
        <f ca="1">DATEDIF(Employees!$F511,TODAY(),"Y")</f>
        <v>10</v>
      </c>
      <c r="H511" s="21" t="s">
        <v>59</v>
      </c>
      <c r="I511" s="21" t="s">
        <v>27</v>
      </c>
      <c r="J511" s="21" t="s">
        <v>575</v>
      </c>
      <c r="K511" s="25">
        <v>1406</v>
      </c>
      <c r="L511" s="25">
        <v>16872</v>
      </c>
      <c r="M511" s="21">
        <v>3</v>
      </c>
      <c r="N511" s="21">
        <v>0</v>
      </c>
      <c r="O511" s="21">
        <v>3</v>
      </c>
      <c r="P511" s="21">
        <v>7</v>
      </c>
      <c r="Q511" s="21" t="str">
        <f t="shared" ca="1" si="1"/>
        <v>Not Eligible</v>
      </c>
    </row>
    <row r="512" spans="1:17" ht="15.5" x14ac:dyDescent="0.35">
      <c r="A512" s="20">
        <v>511</v>
      </c>
      <c r="B512" s="21" t="s">
        <v>735</v>
      </c>
      <c r="C512" s="21" t="s">
        <v>736</v>
      </c>
      <c r="D512" s="22" t="str">
        <f>_xlfn.TEXTJOIN(" ",TRUE,Employees_Data[[#This Row],[First Name]],Employees_Data[[#This Row],[Last Name]])</f>
        <v>Hanan Kurdiun</v>
      </c>
      <c r="E512" s="21" t="s">
        <v>44</v>
      </c>
      <c r="F512" s="23">
        <v>43473</v>
      </c>
      <c r="G512" s="24">
        <f ca="1">DATEDIF(Employees!$F512,TODAY(),"Y")</f>
        <v>7</v>
      </c>
      <c r="H512" s="21" t="s">
        <v>65</v>
      </c>
      <c r="I512" s="21" t="s">
        <v>40</v>
      </c>
      <c r="J512" s="21" t="s">
        <v>54</v>
      </c>
      <c r="K512" s="25">
        <v>1699</v>
      </c>
      <c r="L512" s="25">
        <v>20388</v>
      </c>
      <c r="M512" s="21">
        <v>5</v>
      </c>
      <c r="N512" s="21">
        <v>0</v>
      </c>
      <c r="O512" s="21">
        <v>2</v>
      </c>
      <c r="P512" s="21">
        <v>5</v>
      </c>
      <c r="Q512" s="21" t="str">
        <f t="shared" ref="Q512:Q690" ca="1" si="2">IF(AND(G512&gt;=5,M512&gt;=3,OR(P512&gt;50,K512&gt;7000)),"Eligible","Not Eligible")</f>
        <v>Not Eligible</v>
      </c>
    </row>
    <row r="513" spans="1:17" ht="15.5" x14ac:dyDescent="0.35">
      <c r="A513" s="20">
        <v>512</v>
      </c>
      <c r="B513" s="21" t="s">
        <v>406</v>
      </c>
      <c r="C513" s="21" t="s">
        <v>360</v>
      </c>
      <c r="D513" s="22" t="str">
        <f>_xlfn.TEXTJOIN(" ",TRUE,Employees_Data[[#This Row],[First Name]],Employees_Data[[#This Row],[Last Name]])</f>
        <v>Basil Salih</v>
      </c>
      <c r="E513" s="21" t="s">
        <v>25</v>
      </c>
      <c r="F513" s="23">
        <v>43043</v>
      </c>
      <c r="G513" s="24">
        <f ca="1">DATEDIF(Employees!$F513,TODAY(),"Y")</f>
        <v>8</v>
      </c>
      <c r="H513" s="21" t="s">
        <v>76</v>
      </c>
      <c r="I513" s="21" t="s">
        <v>27</v>
      </c>
      <c r="J513" s="21" t="s">
        <v>60</v>
      </c>
      <c r="K513" s="25">
        <v>3007</v>
      </c>
      <c r="L513" s="25">
        <v>36084</v>
      </c>
      <c r="M513" s="21">
        <v>5</v>
      </c>
      <c r="N513" s="21">
        <v>0</v>
      </c>
      <c r="O513" s="21">
        <v>6</v>
      </c>
      <c r="P513" s="21">
        <v>11</v>
      </c>
      <c r="Q513" s="21" t="str">
        <f t="shared" ca="1" si="2"/>
        <v>Not Eligible</v>
      </c>
    </row>
    <row r="514" spans="1:17" ht="15.5" x14ac:dyDescent="0.35">
      <c r="A514" s="20">
        <v>513</v>
      </c>
      <c r="B514" s="21" t="s">
        <v>737</v>
      </c>
      <c r="C514" s="21" t="s">
        <v>738</v>
      </c>
      <c r="D514" s="22" t="str">
        <f>_xlfn.TEXTJOIN(" ",TRUE,Employees_Data[[#This Row],[First Name]],Employees_Data[[#This Row],[Last Name]])</f>
        <v>Rita Dib</v>
      </c>
      <c r="E514" s="21" t="s">
        <v>44</v>
      </c>
      <c r="F514" s="23">
        <v>44008</v>
      </c>
      <c r="G514" s="24">
        <f ca="1">DATEDIF(Employees!$F514,TODAY(),"Y")</f>
        <v>6</v>
      </c>
      <c r="H514" s="21" t="s">
        <v>59</v>
      </c>
      <c r="I514" s="21" t="s">
        <v>27</v>
      </c>
      <c r="J514" s="21" t="s">
        <v>54</v>
      </c>
      <c r="K514" s="25">
        <v>879</v>
      </c>
      <c r="L514" s="25">
        <v>10548</v>
      </c>
      <c r="M514" s="21">
        <v>3</v>
      </c>
      <c r="N514" s="21">
        <v>0</v>
      </c>
      <c r="O514" s="21">
        <v>0</v>
      </c>
      <c r="P514" s="21">
        <v>1</v>
      </c>
      <c r="Q514" s="21" t="str">
        <f t="shared" ca="1" si="2"/>
        <v>Not Eligible</v>
      </c>
    </row>
    <row r="515" spans="1:17" ht="15.5" x14ac:dyDescent="0.35">
      <c r="A515" s="20">
        <v>514</v>
      </c>
      <c r="B515" s="21" t="s">
        <v>57</v>
      </c>
      <c r="C515" s="21" t="s">
        <v>739</v>
      </c>
      <c r="D515" s="22" t="str">
        <f>_xlfn.TEXTJOIN(" ",TRUE,Employees_Data[[#This Row],[First Name]],Employees_Data[[#This Row],[Last Name]])</f>
        <v>Muhamad Alghush</v>
      </c>
      <c r="E515" s="21" t="s">
        <v>25</v>
      </c>
      <c r="F515" s="23">
        <v>43586</v>
      </c>
      <c r="G515" s="24">
        <f ca="1">DATEDIF(Employees!$F515,TODAY(),"Y")</f>
        <v>7</v>
      </c>
      <c r="H515" s="21" t="s">
        <v>99</v>
      </c>
      <c r="I515" s="21" t="s">
        <v>315</v>
      </c>
      <c r="J515" s="21" t="s">
        <v>60</v>
      </c>
      <c r="K515" s="25">
        <v>2537</v>
      </c>
      <c r="L515" s="25">
        <v>30444</v>
      </c>
      <c r="M515" s="21">
        <v>2</v>
      </c>
      <c r="N515" s="21">
        <v>0</v>
      </c>
      <c r="O515" s="21">
        <v>0</v>
      </c>
      <c r="P515" s="21">
        <v>3</v>
      </c>
      <c r="Q515" s="21" t="str">
        <f t="shared" ca="1" si="2"/>
        <v>Not Eligible</v>
      </c>
    </row>
    <row r="516" spans="1:17" ht="15.5" x14ac:dyDescent="0.35">
      <c r="A516" s="20">
        <v>515</v>
      </c>
      <c r="B516" s="21" t="s">
        <v>57</v>
      </c>
      <c r="C516" s="21" t="s">
        <v>389</v>
      </c>
      <c r="D516" s="22" t="str">
        <f>_xlfn.TEXTJOIN(" ",TRUE,Employees_Data[[#This Row],[First Name]],Employees_Data[[#This Row],[Last Name]])</f>
        <v>Muhamad Iismaeil</v>
      </c>
      <c r="E516" s="21" t="s">
        <v>25</v>
      </c>
      <c r="F516" s="23">
        <v>44150</v>
      </c>
      <c r="G516" s="24">
        <f ca="1">DATEDIF(Employees!$F516,TODAY(),"Y")</f>
        <v>5</v>
      </c>
      <c r="H516" s="21" t="s">
        <v>65</v>
      </c>
      <c r="I516" s="21" t="s">
        <v>27</v>
      </c>
      <c r="J516" s="21" t="s">
        <v>60</v>
      </c>
      <c r="K516" s="25">
        <v>2663</v>
      </c>
      <c r="L516" s="25">
        <v>31956</v>
      </c>
      <c r="M516" s="21">
        <v>3</v>
      </c>
      <c r="N516" s="21">
        <v>0</v>
      </c>
      <c r="O516" s="21">
        <v>0</v>
      </c>
      <c r="P516" s="21">
        <v>2</v>
      </c>
      <c r="Q516" s="21" t="str">
        <f t="shared" ca="1" si="2"/>
        <v>Not Eligible</v>
      </c>
    </row>
    <row r="517" spans="1:17" ht="15.5" x14ac:dyDescent="0.35">
      <c r="A517" s="20">
        <v>516</v>
      </c>
      <c r="B517" s="21" t="s">
        <v>416</v>
      </c>
      <c r="C517" s="21" t="s">
        <v>333</v>
      </c>
      <c r="D517" s="22" t="str">
        <f>_xlfn.TEXTJOIN(" ",TRUE,Employees_Data[[#This Row],[First Name]],Employees_Data[[#This Row],[Last Name]])</f>
        <v>Khaldun Alsaedi</v>
      </c>
      <c r="E517" s="21" t="s">
        <v>25</v>
      </c>
      <c r="F517" s="23">
        <v>44119</v>
      </c>
      <c r="G517" s="24">
        <f ca="1">DATEDIF(Employees!$F517,TODAY(),"Y")</f>
        <v>6</v>
      </c>
      <c r="H517" s="21" t="s">
        <v>26</v>
      </c>
      <c r="I517" s="21" t="s">
        <v>27</v>
      </c>
      <c r="J517" s="21" t="s">
        <v>54</v>
      </c>
      <c r="K517" s="25">
        <v>2494</v>
      </c>
      <c r="L517" s="25">
        <v>29928</v>
      </c>
      <c r="M517" s="21">
        <v>4.5</v>
      </c>
      <c r="N517" s="21">
        <v>2</v>
      </c>
      <c r="O517" s="21">
        <v>0</v>
      </c>
      <c r="P517" s="21">
        <v>2</v>
      </c>
      <c r="Q517" s="21" t="str">
        <f t="shared" ca="1" si="2"/>
        <v>Not Eligible</v>
      </c>
    </row>
    <row r="518" spans="1:17" ht="15.5" x14ac:dyDescent="0.35">
      <c r="A518" s="20">
        <v>517</v>
      </c>
      <c r="B518" s="21" t="s">
        <v>740</v>
      </c>
      <c r="C518" s="21" t="s">
        <v>741</v>
      </c>
      <c r="D518" s="22" t="str">
        <f>_xlfn.TEXTJOIN(" ",TRUE,Employees_Data[[#This Row],[First Name]],Employees_Data[[#This Row],[Last Name]])</f>
        <v>Ghaliah Eibad</v>
      </c>
      <c r="E518" s="21" t="s">
        <v>44</v>
      </c>
      <c r="F518" s="23">
        <v>43775</v>
      </c>
      <c r="G518" s="24">
        <f ca="1">DATEDIF(Employees!$F518,TODAY(),"Y")</f>
        <v>6</v>
      </c>
      <c r="H518" s="21" t="s">
        <v>184</v>
      </c>
      <c r="I518" s="21" t="s">
        <v>53</v>
      </c>
      <c r="J518" s="21" t="s">
        <v>60</v>
      </c>
      <c r="K518" s="25">
        <v>2585</v>
      </c>
      <c r="L518" s="25">
        <v>31020</v>
      </c>
      <c r="M518" s="21">
        <v>5</v>
      </c>
      <c r="N518" s="21">
        <v>1</v>
      </c>
      <c r="O518" s="21">
        <v>5</v>
      </c>
      <c r="P518" s="21">
        <v>7</v>
      </c>
      <c r="Q518" s="21" t="str">
        <f t="shared" ca="1" si="2"/>
        <v>Not Eligible</v>
      </c>
    </row>
    <row r="519" spans="1:17" ht="15.5" x14ac:dyDescent="0.35">
      <c r="A519" s="20">
        <v>518</v>
      </c>
      <c r="B519" s="21" t="s">
        <v>57</v>
      </c>
      <c r="C519" s="21" t="s">
        <v>333</v>
      </c>
      <c r="D519" s="22" t="str">
        <f>_xlfn.TEXTJOIN(" ",TRUE,Employees_Data[[#This Row],[First Name]],Employees_Data[[#This Row],[Last Name]])</f>
        <v>Muhamad Alsaedi</v>
      </c>
      <c r="E519" s="21" t="s">
        <v>25</v>
      </c>
      <c r="F519" s="23">
        <v>43809</v>
      </c>
      <c r="G519" s="24">
        <f ca="1">DATEDIF(Employees!$F519,TODAY(),"Y")</f>
        <v>6</v>
      </c>
      <c r="H519" s="21" t="s">
        <v>68</v>
      </c>
      <c r="I519" s="21" t="s">
        <v>53</v>
      </c>
      <c r="J519" s="21" t="s">
        <v>54</v>
      </c>
      <c r="K519" s="25">
        <v>1776</v>
      </c>
      <c r="L519" s="25">
        <v>21312</v>
      </c>
      <c r="M519" s="21">
        <v>2</v>
      </c>
      <c r="N519" s="21">
        <v>0</v>
      </c>
      <c r="O519" s="21">
        <v>0</v>
      </c>
      <c r="P519" s="21">
        <v>0</v>
      </c>
      <c r="Q519" s="21" t="str">
        <f t="shared" ca="1" si="2"/>
        <v>Not Eligible</v>
      </c>
    </row>
    <row r="520" spans="1:17" ht="15.5" x14ac:dyDescent="0.35">
      <c r="A520" s="20">
        <v>519</v>
      </c>
      <c r="B520" s="21" t="s">
        <v>111</v>
      </c>
      <c r="C520" s="21" t="s">
        <v>742</v>
      </c>
      <c r="D520" s="22" t="str">
        <f>_xlfn.TEXTJOIN(" ",TRUE,Employees_Data[[#This Row],[First Name]],Employees_Data[[#This Row],[Last Name]])</f>
        <v>Eala Zaniqa</v>
      </c>
      <c r="E520" s="21" t="s">
        <v>44</v>
      </c>
      <c r="F520" s="23">
        <v>42993</v>
      </c>
      <c r="G520" s="24">
        <f ca="1">DATEDIF(Employees!$F520,TODAY(),"Y")</f>
        <v>9</v>
      </c>
      <c r="H520" s="21" t="s">
        <v>76</v>
      </c>
      <c r="I520" s="21" t="s">
        <v>27</v>
      </c>
      <c r="J520" s="21" t="s">
        <v>60</v>
      </c>
      <c r="K520" s="25">
        <v>3055</v>
      </c>
      <c r="L520" s="25">
        <v>36660</v>
      </c>
      <c r="M520" s="21">
        <v>3</v>
      </c>
      <c r="N520" s="21">
        <v>0</v>
      </c>
      <c r="O520" s="21">
        <v>4</v>
      </c>
      <c r="P520" s="21">
        <v>9</v>
      </c>
      <c r="Q520" s="21" t="str">
        <f t="shared" ca="1" si="2"/>
        <v>Not Eligible</v>
      </c>
    </row>
    <row r="521" spans="1:17" ht="15.5" x14ac:dyDescent="0.35">
      <c r="A521" s="20">
        <v>520</v>
      </c>
      <c r="B521" s="21" t="s">
        <v>89</v>
      </c>
      <c r="C521" s="21" t="s">
        <v>743</v>
      </c>
      <c r="D521" s="22" t="str">
        <f>_xlfn.TEXTJOIN(" ",TRUE,Employees_Data[[#This Row],[First Name]],Employees_Data[[#This Row],[Last Name]])</f>
        <v>Ayham Sharfah</v>
      </c>
      <c r="E521" s="21" t="s">
        <v>25</v>
      </c>
      <c r="F521" s="23">
        <v>43113</v>
      </c>
      <c r="G521" s="24">
        <f ca="1">DATEDIF(Employees!$F521,TODAY(),"Y")</f>
        <v>8</v>
      </c>
      <c r="H521" s="21" t="s">
        <v>52</v>
      </c>
      <c r="I521" s="21" t="s">
        <v>40</v>
      </c>
      <c r="J521" s="21" t="s">
        <v>54</v>
      </c>
      <c r="K521" s="25">
        <v>1707</v>
      </c>
      <c r="L521" s="25">
        <v>20484</v>
      </c>
      <c r="M521" s="21">
        <v>3</v>
      </c>
      <c r="N521" s="21">
        <v>0</v>
      </c>
      <c r="O521" s="21">
        <v>0</v>
      </c>
      <c r="P521" s="21">
        <v>4</v>
      </c>
      <c r="Q521" s="21" t="str">
        <f t="shared" ca="1" si="2"/>
        <v>Not Eligible</v>
      </c>
    </row>
    <row r="522" spans="1:17" ht="15.5" x14ac:dyDescent="0.35">
      <c r="A522" s="20">
        <v>521</v>
      </c>
      <c r="B522" s="21" t="s">
        <v>55</v>
      </c>
      <c r="C522" s="21" t="s">
        <v>744</v>
      </c>
      <c r="D522" s="22" t="str">
        <f>_xlfn.TEXTJOIN(" ",TRUE,Employees_Data[[#This Row],[First Name]],Employees_Data[[#This Row],[Last Name]])</f>
        <v>Ahmad Kazeur</v>
      </c>
      <c r="E522" s="21" t="s">
        <v>25</v>
      </c>
      <c r="F522" s="23">
        <v>43643</v>
      </c>
      <c r="G522" s="24">
        <f ca="1">DATEDIF(Employees!$F522,TODAY(),"Y")</f>
        <v>7</v>
      </c>
      <c r="H522" s="21" t="s">
        <v>76</v>
      </c>
      <c r="I522" s="21" t="s">
        <v>53</v>
      </c>
      <c r="J522" s="21" t="s">
        <v>54</v>
      </c>
      <c r="K522" s="25">
        <v>2719</v>
      </c>
      <c r="L522" s="25">
        <v>32628</v>
      </c>
      <c r="M522" s="21">
        <v>3</v>
      </c>
      <c r="N522" s="21">
        <v>0</v>
      </c>
      <c r="O522" s="21">
        <v>0</v>
      </c>
      <c r="P522" s="21">
        <v>7</v>
      </c>
      <c r="Q522" s="21" t="str">
        <f t="shared" ca="1" si="2"/>
        <v>Not Eligible</v>
      </c>
    </row>
    <row r="523" spans="1:17" ht="15.5" x14ac:dyDescent="0.35">
      <c r="A523" s="20">
        <v>522</v>
      </c>
      <c r="B523" s="21" t="s">
        <v>745</v>
      </c>
      <c r="C523" s="21" t="s">
        <v>204</v>
      </c>
      <c r="D523" s="22" t="str">
        <f>_xlfn.TEXTJOIN(" ",TRUE,Employees_Data[[#This Row],[First Name]],Employees_Data[[#This Row],[Last Name]])</f>
        <v>Mujdi Kiwan</v>
      </c>
      <c r="E523" s="21" t="s">
        <v>25</v>
      </c>
      <c r="F523" s="23">
        <v>44182</v>
      </c>
      <c r="G523" s="24">
        <f ca="1">DATEDIF(Employees!$F523,TODAY(),"Y")</f>
        <v>5</v>
      </c>
      <c r="H523" s="21" t="s">
        <v>81</v>
      </c>
      <c r="I523" s="21" t="s">
        <v>27</v>
      </c>
      <c r="J523" s="21" t="s">
        <v>83</v>
      </c>
      <c r="K523" s="25">
        <v>1715</v>
      </c>
      <c r="L523" s="25">
        <v>20580</v>
      </c>
      <c r="M523" s="21">
        <v>3</v>
      </c>
      <c r="N523" s="21">
        <v>0</v>
      </c>
      <c r="O523" s="21">
        <v>0</v>
      </c>
      <c r="P523" s="21">
        <v>10</v>
      </c>
      <c r="Q523" s="21" t="str">
        <f t="shared" ca="1" si="2"/>
        <v>Not Eligible</v>
      </c>
    </row>
    <row r="524" spans="1:17" ht="15.5" x14ac:dyDescent="0.35">
      <c r="A524" s="20">
        <v>523</v>
      </c>
      <c r="B524" s="21" t="s">
        <v>57</v>
      </c>
      <c r="C524" s="21" t="s">
        <v>746</v>
      </c>
      <c r="D524" s="22" t="str">
        <f>_xlfn.TEXTJOIN(" ",TRUE,Employees_Data[[#This Row],[First Name]],Employees_Data[[#This Row],[Last Name]])</f>
        <v>Muhamad Altynawi</v>
      </c>
      <c r="E524" s="21" t="s">
        <v>25</v>
      </c>
      <c r="F524" s="23">
        <v>43487</v>
      </c>
      <c r="G524" s="24">
        <f ca="1">DATEDIF(Employees!$F524,TODAY(),"Y")</f>
        <v>7</v>
      </c>
      <c r="H524" s="21" t="s">
        <v>52</v>
      </c>
      <c r="I524" s="21" t="s">
        <v>27</v>
      </c>
      <c r="J524" s="21" t="s">
        <v>29</v>
      </c>
      <c r="K524" s="25">
        <v>2181</v>
      </c>
      <c r="L524" s="25">
        <v>26172</v>
      </c>
      <c r="M524" s="21">
        <v>2</v>
      </c>
      <c r="N524" s="21">
        <v>0</v>
      </c>
      <c r="O524" s="21">
        <v>0</v>
      </c>
      <c r="P524" s="21">
        <v>1</v>
      </c>
      <c r="Q524" s="21" t="str">
        <f t="shared" ca="1" si="2"/>
        <v>Not Eligible</v>
      </c>
    </row>
    <row r="525" spans="1:17" ht="15.5" x14ac:dyDescent="0.35">
      <c r="A525" s="20">
        <v>524</v>
      </c>
      <c r="B525" s="21" t="s">
        <v>394</v>
      </c>
      <c r="C525" s="21" t="s">
        <v>592</v>
      </c>
      <c r="D525" s="22" t="str">
        <f>_xlfn.TEXTJOIN(" ",TRUE,Employees_Data[[#This Row],[First Name]],Employees_Data[[#This Row],[Last Name]])</f>
        <v>Lama Alhasan</v>
      </c>
      <c r="E525" s="21" t="s">
        <v>44</v>
      </c>
      <c r="F525" s="23">
        <v>43086</v>
      </c>
      <c r="G525" s="24">
        <f ca="1">DATEDIF(Employees!$F525,TODAY(),"Y")</f>
        <v>8</v>
      </c>
      <c r="H525" s="21" t="s">
        <v>52</v>
      </c>
      <c r="I525" s="21" t="s">
        <v>53</v>
      </c>
      <c r="J525" s="21" t="s">
        <v>60</v>
      </c>
      <c r="K525" s="25">
        <v>1382</v>
      </c>
      <c r="L525" s="25">
        <v>16584</v>
      </c>
      <c r="M525" s="21">
        <v>5</v>
      </c>
      <c r="N525" s="21">
        <v>0</v>
      </c>
      <c r="O525" s="21">
        <v>4</v>
      </c>
      <c r="P525" s="21">
        <v>8</v>
      </c>
      <c r="Q525" s="21" t="str">
        <f t="shared" ca="1" si="2"/>
        <v>Not Eligible</v>
      </c>
    </row>
    <row r="526" spans="1:17" ht="15.5" x14ac:dyDescent="0.35">
      <c r="A526" s="20">
        <v>525</v>
      </c>
      <c r="B526" s="21" t="s">
        <v>394</v>
      </c>
      <c r="C526" s="21" t="s">
        <v>164</v>
      </c>
      <c r="D526" s="22" t="str">
        <f>_xlfn.TEXTJOIN(" ",TRUE,Employees_Data[[#This Row],[First Name]],Employees_Data[[#This Row],[Last Name]])</f>
        <v>Lama Almisri</v>
      </c>
      <c r="E526" s="21" t="s">
        <v>44</v>
      </c>
      <c r="F526" s="23">
        <v>43957</v>
      </c>
      <c r="G526" s="24">
        <f ca="1">DATEDIF(Employees!$F526,TODAY(),"Y")</f>
        <v>6</v>
      </c>
      <c r="H526" s="21" t="s">
        <v>52</v>
      </c>
      <c r="I526" s="21" t="s">
        <v>27</v>
      </c>
      <c r="J526" s="21" t="s">
        <v>60</v>
      </c>
      <c r="K526" s="25">
        <v>3350</v>
      </c>
      <c r="L526" s="25">
        <v>40200</v>
      </c>
      <c r="M526" s="21">
        <v>2</v>
      </c>
      <c r="N526" s="21">
        <v>0</v>
      </c>
      <c r="O526" s="21">
        <v>0</v>
      </c>
      <c r="P526" s="21">
        <v>8</v>
      </c>
      <c r="Q526" s="21" t="str">
        <f t="shared" ca="1" si="2"/>
        <v>Not Eligible</v>
      </c>
    </row>
    <row r="527" spans="1:17" ht="15.5" x14ac:dyDescent="0.35">
      <c r="A527" s="20">
        <v>526</v>
      </c>
      <c r="B527" s="21" t="s">
        <v>747</v>
      </c>
      <c r="C527" s="21" t="s">
        <v>748</v>
      </c>
      <c r="D527" s="22" t="str">
        <f>_xlfn.TEXTJOIN(" ",TRUE,Employees_Data[[#This Row],[First Name]],Employees_Data[[#This Row],[Last Name]])</f>
        <v>Thayir Hamuwda</v>
      </c>
      <c r="E527" s="21" t="s">
        <v>25</v>
      </c>
      <c r="F527" s="23">
        <v>43960</v>
      </c>
      <c r="G527" s="24">
        <f ca="1">DATEDIF(Employees!$F527,TODAY(),"Y")</f>
        <v>6</v>
      </c>
      <c r="H527" s="21" t="s">
        <v>76</v>
      </c>
      <c r="I527" s="21" t="s">
        <v>53</v>
      </c>
      <c r="J527" s="21" t="s">
        <v>575</v>
      </c>
      <c r="K527" s="25">
        <v>1710</v>
      </c>
      <c r="L527" s="25">
        <v>20520</v>
      </c>
      <c r="M527" s="21">
        <v>5</v>
      </c>
      <c r="N527" s="21">
        <v>0</v>
      </c>
      <c r="O527" s="21">
        <v>0</v>
      </c>
      <c r="P527" s="21">
        <v>9</v>
      </c>
      <c r="Q527" s="21" t="str">
        <f t="shared" ca="1" si="2"/>
        <v>Not Eligible</v>
      </c>
    </row>
    <row r="528" spans="1:17" ht="15.5" x14ac:dyDescent="0.35">
      <c r="A528" s="20">
        <v>527</v>
      </c>
      <c r="B528" s="21" t="s">
        <v>749</v>
      </c>
      <c r="C528" s="21" t="s">
        <v>750</v>
      </c>
      <c r="D528" s="22" t="str">
        <f>_xlfn.TEXTJOIN(" ",TRUE,Employees_Data[[#This Row],[First Name]],Employees_Data[[#This Row],[Last Name]])</f>
        <v>Abdallah Zakariaa</v>
      </c>
      <c r="E528" s="21" t="s">
        <v>25</v>
      </c>
      <c r="F528" s="23">
        <v>43593</v>
      </c>
      <c r="G528" s="24">
        <f ca="1">DATEDIF(Employees!$F528,TODAY(),"Y")</f>
        <v>7</v>
      </c>
      <c r="H528" s="21" t="s">
        <v>52</v>
      </c>
      <c r="I528" s="21" t="s">
        <v>53</v>
      </c>
      <c r="J528" s="21" t="s">
        <v>54</v>
      </c>
      <c r="K528" s="25">
        <v>2785</v>
      </c>
      <c r="L528" s="25">
        <v>33420</v>
      </c>
      <c r="M528" s="21">
        <v>1</v>
      </c>
      <c r="N528" s="21">
        <v>0</v>
      </c>
      <c r="O528" s="21">
        <v>4</v>
      </c>
      <c r="P528" s="21">
        <v>3</v>
      </c>
      <c r="Q528" s="21" t="str">
        <f t="shared" ca="1" si="2"/>
        <v>Not Eligible</v>
      </c>
    </row>
    <row r="529" spans="1:17" ht="15.5" x14ac:dyDescent="0.35">
      <c r="A529" s="20">
        <v>528</v>
      </c>
      <c r="B529" s="21" t="s">
        <v>751</v>
      </c>
      <c r="C529" s="21" t="s">
        <v>592</v>
      </c>
      <c r="D529" s="22" t="str">
        <f>_xlfn.TEXTJOIN(" ",TRUE,Employees_Data[[#This Row],[First Name]],Employees_Data[[#This Row],[Last Name]])</f>
        <v>Ikhlas Alhasan</v>
      </c>
      <c r="E529" s="21" t="s">
        <v>44</v>
      </c>
      <c r="F529" s="23">
        <v>43784</v>
      </c>
      <c r="G529" s="24">
        <f ca="1">DATEDIF(Employees!$F529,TODAY(),"Y")</f>
        <v>6</v>
      </c>
      <c r="H529" s="21" t="s">
        <v>221</v>
      </c>
      <c r="I529" s="21" t="s">
        <v>53</v>
      </c>
      <c r="J529" s="21" t="s">
        <v>54</v>
      </c>
      <c r="K529" s="25">
        <v>2425</v>
      </c>
      <c r="L529" s="25">
        <v>29100</v>
      </c>
      <c r="M529" s="21">
        <v>4.5</v>
      </c>
      <c r="N529" s="21">
        <v>0</v>
      </c>
      <c r="O529" s="21">
        <v>0</v>
      </c>
      <c r="P529" s="21">
        <v>10</v>
      </c>
      <c r="Q529" s="21" t="str">
        <f t="shared" ca="1" si="2"/>
        <v>Not Eligible</v>
      </c>
    </row>
    <row r="530" spans="1:17" ht="15.5" x14ac:dyDescent="0.35">
      <c r="A530" s="20">
        <v>529</v>
      </c>
      <c r="B530" s="21" t="s">
        <v>57</v>
      </c>
      <c r="C530" s="21" t="s">
        <v>752</v>
      </c>
      <c r="D530" s="22" t="str">
        <f>_xlfn.TEXTJOIN(" ",TRUE,Employees_Data[[#This Row],[First Name]],Employees_Data[[#This Row],[Last Name]])</f>
        <v>Muhamad Jzayrly</v>
      </c>
      <c r="E530" s="21" t="s">
        <v>25</v>
      </c>
      <c r="F530" s="23">
        <v>43309</v>
      </c>
      <c r="G530" s="24">
        <f ca="1">DATEDIF(Employees!$F530,TODAY(),"Y")</f>
        <v>8</v>
      </c>
      <c r="H530" s="21" t="s">
        <v>81</v>
      </c>
      <c r="I530" s="21" t="s">
        <v>27</v>
      </c>
      <c r="J530" s="21" t="s">
        <v>83</v>
      </c>
      <c r="K530" s="25">
        <v>1117</v>
      </c>
      <c r="L530" s="25">
        <v>13404</v>
      </c>
      <c r="M530" s="21">
        <v>3</v>
      </c>
      <c r="N530" s="21">
        <v>3</v>
      </c>
      <c r="O530" s="21">
        <v>0</v>
      </c>
      <c r="P530" s="21">
        <v>8</v>
      </c>
      <c r="Q530" s="21" t="str">
        <f t="shared" ca="1" si="2"/>
        <v>Not Eligible</v>
      </c>
    </row>
    <row r="531" spans="1:17" ht="15.5" x14ac:dyDescent="0.35">
      <c r="A531" s="20">
        <v>530</v>
      </c>
      <c r="B531" s="21" t="s">
        <v>376</v>
      </c>
      <c r="C531" s="21" t="s">
        <v>753</v>
      </c>
      <c r="D531" s="22" t="str">
        <f>_xlfn.TEXTJOIN(" ",TRUE,Employees_Data[[#This Row],[First Name]],Employees_Data[[#This Row],[Last Name]])</f>
        <v>Husam Badr</v>
      </c>
      <c r="E531" s="21" t="s">
        <v>25</v>
      </c>
      <c r="F531" s="23">
        <v>43582</v>
      </c>
      <c r="G531" s="24">
        <f ca="1">DATEDIF(Employees!$F531,TODAY(),"Y")</f>
        <v>7</v>
      </c>
      <c r="H531" s="21" t="s">
        <v>65</v>
      </c>
      <c r="I531" s="21" t="s">
        <v>27</v>
      </c>
      <c r="J531" s="21" t="s">
        <v>54</v>
      </c>
      <c r="K531" s="25">
        <v>1112</v>
      </c>
      <c r="L531" s="25">
        <v>13344</v>
      </c>
      <c r="M531" s="21">
        <v>5</v>
      </c>
      <c r="N531" s="21">
        <v>1</v>
      </c>
      <c r="O531" s="21">
        <v>6</v>
      </c>
      <c r="P531" s="21">
        <v>40</v>
      </c>
      <c r="Q531" s="21" t="str">
        <f t="shared" ca="1" si="2"/>
        <v>Not Eligible</v>
      </c>
    </row>
    <row r="532" spans="1:17" ht="15.5" x14ac:dyDescent="0.35">
      <c r="A532" s="20">
        <v>531</v>
      </c>
      <c r="B532" s="21" t="s">
        <v>108</v>
      </c>
      <c r="C532" s="21" t="s">
        <v>754</v>
      </c>
      <c r="D532" s="22" t="str">
        <f>_xlfn.TEXTJOIN(" ",TRUE,Employees_Data[[#This Row],[First Name]],Employees_Data[[#This Row],[Last Name]])</f>
        <v>Rami Hunun</v>
      </c>
      <c r="E532" s="21" t="s">
        <v>25</v>
      </c>
      <c r="F532" s="23">
        <v>43944</v>
      </c>
      <c r="G532" s="24">
        <f ca="1">DATEDIF(Employees!$F532,TODAY(),"Y")</f>
        <v>6</v>
      </c>
      <c r="H532" s="21" t="s">
        <v>81</v>
      </c>
      <c r="I532" s="21" t="s">
        <v>27</v>
      </c>
      <c r="J532" s="21" t="s">
        <v>29</v>
      </c>
      <c r="K532" s="25">
        <v>1928</v>
      </c>
      <c r="L532" s="25">
        <v>23136</v>
      </c>
      <c r="M532" s="21">
        <v>4.5</v>
      </c>
      <c r="N532" s="21">
        <v>6</v>
      </c>
      <c r="O532" s="21">
        <v>0</v>
      </c>
      <c r="P532" s="21">
        <v>1</v>
      </c>
      <c r="Q532" s="21" t="str">
        <f t="shared" ca="1" si="2"/>
        <v>Not Eligible</v>
      </c>
    </row>
    <row r="533" spans="1:17" ht="15.5" x14ac:dyDescent="0.35">
      <c r="A533" s="20">
        <v>532</v>
      </c>
      <c r="B533" s="21" t="s">
        <v>716</v>
      </c>
      <c r="C533" s="21" t="s">
        <v>102</v>
      </c>
      <c r="D533" s="22" t="str">
        <f>_xlfn.TEXTJOIN(" ",TRUE,Employees_Data[[#This Row],[First Name]],Employees_Data[[#This Row],[Last Name]])</f>
        <v>Alia Abu</v>
      </c>
      <c r="E533" s="21" t="s">
        <v>44</v>
      </c>
      <c r="F533" s="23">
        <v>43410</v>
      </c>
      <c r="G533" s="24">
        <f ca="1">DATEDIF(Employees!$F533,TODAY(),"Y")</f>
        <v>7</v>
      </c>
      <c r="H533" s="21" t="s">
        <v>76</v>
      </c>
      <c r="I533" s="21" t="s">
        <v>40</v>
      </c>
      <c r="J533" s="21" t="s">
        <v>29</v>
      </c>
      <c r="K533" s="25">
        <v>3300</v>
      </c>
      <c r="L533" s="25">
        <v>39600</v>
      </c>
      <c r="M533" s="21">
        <v>5</v>
      </c>
      <c r="N533" s="21">
        <v>0</v>
      </c>
      <c r="O533" s="21">
        <v>0</v>
      </c>
      <c r="P533" s="21">
        <v>4</v>
      </c>
      <c r="Q533" s="21" t="str">
        <f t="shared" ca="1" si="2"/>
        <v>Not Eligible</v>
      </c>
    </row>
    <row r="534" spans="1:17" ht="15.5" x14ac:dyDescent="0.35">
      <c r="A534" s="20">
        <v>533</v>
      </c>
      <c r="B534" s="21" t="s">
        <v>91</v>
      </c>
      <c r="C534" s="21" t="s">
        <v>755</v>
      </c>
      <c r="D534" s="22" t="str">
        <f>_xlfn.TEXTJOIN(" ",TRUE,Employees_Data[[#This Row],[First Name]],Employees_Data[[#This Row],[Last Name]])</f>
        <v>Samir Sariji</v>
      </c>
      <c r="E534" s="21" t="s">
        <v>25</v>
      </c>
      <c r="F534" s="23">
        <v>44027</v>
      </c>
      <c r="G534" s="24">
        <f ca="1">DATEDIF(Employees!$F534,TODAY(),"Y")</f>
        <v>6</v>
      </c>
      <c r="H534" s="21" t="s">
        <v>81</v>
      </c>
      <c r="I534" s="21" t="s">
        <v>27</v>
      </c>
      <c r="J534" s="21" t="s">
        <v>60</v>
      </c>
      <c r="K534" s="25">
        <v>2378</v>
      </c>
      <c r="L534" s="25">
        <v>28536</v>
      </c>
      <c r="M534" s="21">
        <v>5</v>
      </c>
      <c r="N534" s="21">
        <v>0</v>
      </c>
      <c r="O534" s="21">
        <v>0</v>
      </c>
      <c r="P534" s="21">
        <v>5</v>
      </c>
      <c r="Q534" s="21" t="str">
        <f t="shared" ca="1" si="2"/>
        <v>Not Eligible</v>
      </c>
    </row>
    <row r="535" spans="1:17" ht="15.5" x14ac:dyDescent="0.35">
      <c r="A535" s="20">
        <v>534</v>
      </c>
      <c r="B535" s="21" t="s">
        <v>57</v>
      </c>
      <c r="C535" s="21" t="s">
        <v>756</v>
      </c>
      <c r="D535" s="22" t="str">
        <f>_xlfn.TEXTJOIN(" ",TRUE,Employees_Data[[#This Row],[First Name]],Employees_Data[[#This Row],[Last Name]])</f>
        <v>Muhamad Albieli</v>
      </c>
      <c r="E535" s="21" t="s">
        <v>25</v>
      </c>
      <c r="F535" s="23">
        <v>42547</v>
      </c>
      <c r="G535" s="24">
        <f ca="1">DATEDIF(Employees!$F535,TODAY(),"Y")</f>
        <v>10</v>
      </c>
      <c r="H535" s="21" t="s">
        <v>26</v>
      </c>
      <c r="I535" s="21" t="s">
        <v>53</v>
      </c>
      <c r="J535" s="21" t="s">
        <v>54</v>
      </c>
      <c r="K535" s="25">
        <v>3138</v>
      </c>
      <c r="L535" s="25">
        <v>37656</v>
      </c>
      <c r="M535" s="21">
        <v>5</v>
      </c>
      <c r="N535" s="21">
        <v>0</v>
      </c>
      <c r="O535" s="21">
        <v>0</v>
      </c>
      <c r="P535" s="21">
        <v>10</v>
      </c>
      <c r="Q535" s="21" t="str">
        <f t="shared" ca="1" si="2"/>
        <v>Not Eligible</v>
      </c>
    </row>
    <row r="536" spans="1:17" ht="15.5" x14ac:dyDescent="0.35">
      <c r="A536" s="20">
        <v>535</v>
      </c>
      <c r="B536" s="21" t="s">
        <v>55</v>
      </c>
      <c r="C536" s="21" t="s">
        <v>757</v>
      </c>
      <c r="D536" s="22" t="str">
        <f>_xlfn.TEXTJOIN(" ",TRUE,Employees_Data[[#This Row],[First Name]],Employees_Data[[#This Row],[Last Name]])</f>
        <v>Ahmad Eyd Bndqjy</v>
      </c>
      <c r="E536" s="21" t="s">
        <v>25</v>
      </c>
      <c r="F536" s="23">
        <v>42945</v>
      </c>
      <c r="G536" s="24">
        <f ca="1">DATEDIF(Employees!$F536,TODAY(),"Y")</f>
        <v>9</v>
      </c>
      <c r="H536" s="21" t="s">
        <v>52</v>
      </c>
      <c r="I536" s="21" t="s">
        <v>53</v>
      </c>
      <c r="J536" s="21" t="s">
        <v>54</v>
      </c>
      <c r="K536" s="25">
        <v>1981</v>
      </c>
      <c r="L536" s="25">
        <v>23772</v>
      </c>
      <c r="M536" s="21">
        <v>5</v>
      </c>
      <c r="N536" s="21">
        <v>1</v>
      </c>
      <c r="O536" s="21">
        <v>0</v>
      </c>
      <c r="P536" s="21">
        <v>3</v>
      </c>
      <c r="Q536" s="21" t="str">
        <f t="shared" ca="1" si="2"/>
        <v>Not Eligible</v>
      </c>
    </row>
    <row r="537" spans="1:17" ht="15.5" x14ac:dyDescent="0.35">
      <c r="A537" s="20">
        <v>536</v>
      </c>
      <c r="B537" s="21" t="s">
        <v>580</v>
      </c>
      <c r="C537" s="21" t="s">
        <v>758</v>
      </c>
      <c r="D537" s="22" t="str">
        <f>_xlfn.TEXTJOIN(" ",TRUE,Employees_Data[[#This Row],[First Name]],Employees_Data[[#This Row],[Last Name]])</f>
        <v>Maria Lulu</v>
      </c>
      <c r="E537" s="21" t="s">
        <v>44</v>
      </c>
      <c r="F537" s="23">
        <v>43265</v>
      </c>
      <c r="G537" s="24">
        <f ca="1">DATEDIF(Employees!$F537,TODAY(),"Y")</f>
        <v>8</v>
      </c>
      <c r="H537" s="21" t="s">
        <v>52</v>
      </c>
      <c r="I537" s="21" t="s">
        <v>40</v>
      </c>
      <c r="J537" s="21" t="s">
        <v>60</v>
      </c>
      <c r="K537" s="25">
        <v>1056</v>
      </c>
      <c r="L537" s="25">
        <v>12672</v>
      </c>
      <c r="M537" s="21">
        <v>3</v>
      </c>
      <c r="N537" s="21">
        <v>0</v>
      </c>
      <c r="O537" s="21">
        <v>0</v>
      </c>
      <c r="P537" s="21">
        <v>94</v>
      </c>
      <c r="Q537" s="21" t="str">
        <f t="shared" ca="1" si="2"/>
        <v>Eligible</v>
      </c>
    </row>
    <row r="538" spans="1:17" ht="15.5" x14ac:dyDescent="0.35">
      <c r="A538" s="20">
        <v>537</v>
      </c>
      <c r="B538" s="21" t="s">
        <v>57</v>
      </c>
      <c r="C538" s="21" t="s">
        <v>759</v>
      </c>
      <c r="D538" s="22" t="str">
        <f>_xlfn.TEXTJOIN(" ",TRUE,Employees_Data[[#This Row],[First Name]],Employees_Data[[#This Row],[Last Name]])</f>
        <v>Muhamad Shhybr</v>
      </c>
      <c r="E538" s="21" t="s">
        <v>25</v>
      </c>
      <c r="F538" s="23">
        <v>43830</v>
      </c>
      <c r="G538" s="24">
        <f ca="1">DATEDIF(Employees!$F538,TODAY(),"Y")</f>
        <v>6</v>
      </c>
      <c r="H538" s="21" t="s">
        <v>76</v>
      </c>
      <c r="I538" s="21" t="s">
        <v>27</v>
      </c>
      <c r="J538" s="21" t="s">
        <v>575</v>
      </c>
      <c r="K538" s="25">
        <v>3295</v>
      </c>
      <c r="L538" s="25">
        <v>39540</v>
      </c>
      <c r="M538" s="21">
        <v>5</v>
      </c>
      <c r="N538" s="21">
        <v>0</v>
      </c>
      <c r="O538" s="21">
        <v>0</v>
      </c>
      <c r="P538" s="21">
        <v>2</v>
      </c>
      <c r="Q538" s="21" t="str">
        <f t="shared" ca="1" si="2"/>
        <v>Not Eligible</v>
      </c>
    </row>
    <row r="539" spans="1:17" ht="15.5" x14ac:dyDescent="0.35">
      <c r="A539" s="20">
        <v>538</v>
      </c>
      <c r="B539" s="21" t="s">
        <v>760</v>
      </c>
      <c r="C539" s="21" t="s">
        <v>761</v>
      </c>
      <c r="D539" s="22" t="str">
        <f>_xlfn.TEXTJOIN(" ",TRUE,Employees_Data[[#This Row],[First Name]],Employees_Data[[#This Row],[Last Name]])</f>
        <v>Abdalbasit Aljazayiriu</v>
      </c>
      <c r="E539" s="21" t="s">
        <v>25</v>
      </c>
      <c r="F539" s="23">
        <v>43746</v>
      </c>
      <c r="G539" s="24">
        <f ca="1">DATEDIF(Employees!$F539,TODAY(),"Y")</f>
        <v>7</v>
      </c>
      <c r="H539" s="21" t="s">
        <v>76</v>
      </c>
      <c r="I539" s="21" t="s">
        <v>27</v>
      </c>
      <c r="J539" s="21" t="s">
        <v>60</v>
      </c>
      <c r="K539" s="25">
        <v>1022</v>
      </c>
      <c r="L539" s="25">
        <v>12264</v>
      </c>
      <c r="M539" s="21">
        <v>4.5</v>
      </c>
      <c r="N539" s="21">
        <v>1</v>
      </c>
      <c r="O539" s="21">
        <v>0</v>
      </c>
      <c r="P539" s="21">
        <v>2</v>
      </c>
      <c r="Q539" s="21" t="str">
        <f t="shared" ca="1" si="2"/>
        <v>Not Eligible</v>
      </c>
    </row>
    <row r="540" spans="1:17" ht="15.5" x14ac:dyDescent="0.35">
      <c r="A540" s="20">
        <v>539</v>
      </c>
      <c r="B540" s="21" t="s">
        <v>93</v>
      </c>
      <c r="C540" s="21" t="s">
        <v>762</v>
      </c>
      <c r="D540" s="22" t="str">
        <f>_xlfn.TEXTJOIN(" ",TRUE,Employees_Data[[#This Row],[First Name]],Employees_Data[[#This Row],[Last Name]])</f>
        <v>Bilal Aywbi</v>
      </c>
      <c r="E540" s="21" t="s">
        <v>25</v>
      </c>
      <c r="F540" s="23">
        <v>44125</v>
      </c>
      <c r="G540" s="24">
        <f ca="1">DATEDIF(Employees!$F540,TODAY(),"Y")</f>
        <v>6</v>
      </c>
      <c r="H540" s="21" t="s">
        <v>68</v>
      </c>
      <c r="I540" s="21" t="s">
        <v>53</v>
      </c>
      <c r="J540" s="21" t="s">
        <v>54</v>
      </c>
      <c r="K540" s="25">
        <v>969</v>
      </c>
      <c r="L540" s="25">
        <v>11628</v>
      </c>
      <c r="M540" s="21">
        <v>3</v>
      </c>
      <c r="N540" s="21">
        <v>1</v>
      </c>
      <c r="O540" s="21">
        <v>0</v>
      </c>
      <c r="P540" s="21">
        <v>0</v>
      </c>
      <c r="Q540" s="21" t="str">
        <f t="shared" ca="1" si="2"/>
        <v>Not Eligible</v>
      </c>
    </row>
    <row r="541" spans="1:17" ht="15.5" x14ac:dyDescent="0.35">
      <c r="A541" s="20">
        <v>540</v>
      </c>
      <c r="B541" s="21" t="s">
        <v>55</v>
      </c>
      <c r="C541" s="21" t="s">
        <v>763</v>
      </c>
      <c r="D541" s="22" t="str">
        <f>_xlfn.TEXTJOIN(" ",TRUE,Employees_Data[[#This Row],[First Name]],Employees_Data[[#This Row],[Last Name]])</f>
        <v>Ahmad Dabana</v>
      </c>
      <c r="E541" s="21" t="s">
        <v>25</v>
      </c>
      <c r="F541" s="23">
        <v>43568</v>
      </c>
      <c r="G541" s="24">
        <f ca="1">DATEDIF(Employees!$F541,TODAY(),"Y")</f>
        <v>7</v>
      </c>
      <c r="H541" s="21" t="s">
        <v>115</v>
      </c>
      <c r="I541" s="21" t="s">
        <v>27</v>
      </c>
      <c r="J541" s="21" t="s">
        <v>60</v>
      </c>
      <c r="K541" s="25">
        <v>3354</v>
      </c>
      <c r="L541" s="25">
        <v>40248</v>
      </c>
      <c r="M541" s="21">
        <v>4.5</v>
      </c>
      <c r="N541" s="21">
        <v>3</v>
      </c>
      <c r="O541" s="21">
        <v>0</v>
      </c>
      <c r="P541" s="21">
        <v>1</v>
      </c>
      <c r="Q541" s="21" t="str">
        <f t="shared" ca="1" si="2"/>
        <v>Not Eligible</v>
      </c>
    </row>
    <row r="542" spans="1:17" ht="15.5" x14ac:dyDescent="0.35">
      <c r="A542" s="20">
        <v>541</v>
      </c>
      <c r="B542" s="21" t="s">
        <v>764</v>
      </c>
      <c r="C542" s="21" t="s">
        <v>309</v>
      </c>
      <c r="D542" s="22" t="str">
        <f>_xlfn.TEXTJOIN(" ",TRUE,Employees_Data[[#This Row],[First Name]],Employees_Data[[#This Row],[Last Name]])</f>
        <v>Fawaz Ghazal</v>
      </c>
      <c r="E542" s="21" t="s">
        <v>25</v>
      </c>
      <c r="F542" s="23">
        <v>43851</v>
      </c>
      <c r="G542" s="24">
        <f ca="1">DATEDIF(Employees!$F542,TODAY(),"Y")</f>
        <v>6</v>
      </c>
      <c r="H542" s="21" t="s">
        <v>26</v>
      </c>
      <c r="I542" s="21" t="s">
        <v>27</v>
      </c>
      <c r="J542" s="21" t="s">
        <v>60</v>
      </c>
      <c r="K542" s="25">
        <v>2123</v>
      </c>
      <c r="L542" s="25">
        <v>25476</v>
      </c>
      <c r="M542" s="21">
        <v>5</v>
      </c>
      <c r="N542" s="21">
        <v>0</v>
      </c>
      <c r="O542" s="21">
        <v>0</v>
      </c>
      <c r="P542" s="21">
        <v>15</v>
      </c>
      <c r="Q542" s="21" t="str">
        <f t="shared" ca="1" si="2"/>
        <v>Not Eligible</v>
      </c>
    </row>
    <row r="543" spans="1:17" ht="15.5" x14ac:dyDescent="0.35">
      <c r="A543" s="20">
        <v>542</v>
      </c>
      <c r="B543" s="21" t="s">
        <v>349</v>
      </c>
      <c r="C543" s="21" t="s">
        <v>593</v>
      </c>
      <c r="D543" s="22" t="str">
        <f>_xlfn.TEXTJOIN(" ",TRUE,Employees_Data[[#This Row],[First Name]],Employees_Data[[#This Row],[Last Name]])</f>
        <v>Bisam Altahhan</v>
      </c>
      <c r="E543" s="21" t="s">
        <v>44</v>
      </c>
      <c r="F543" s="23">
        <v>43728</v>
      </c>
      <c r="G543" s="24">
        <f ca="1">DATEDIF(Employees!$F543,TODAY(),"Y")</f>
        <v>7</v>
      </c>
      <c r="H543" s="21" t="s">
        <v>76</v>
      </c>
      <c r="I543" s="21" t="s">
        <v>27</v>
      </c>
      <c r="J543" s="21" t="s">
        <v>29</v>
      </c>
      <c r="K543" s="25">
        <v>897</v>
      </c>
      <c r="L543" s="25">
        <v>10764</v>
      </c>
      <c r="M543" s="21">
        <v>3</v>
      </c>
      <c r="N543" s="21">
        <v>2</v>
      </c>
      <c r="O543" s="21">
        <v>0</v>
      </c>
      <c r="P543" s="21">
        <v>11</v>
      </c>
      <c r="Q543" s="21" t="str">
        <f t="shared" ca="1" si="2"/>
        <v>Not Eligible</v>
      </c>
    </row>
    <row r="544" spans="1:17" ht="15.5" x14ac:dyDescent="0.35">
      <c r="A544" s="20">
        <v>543</v>
      </c>
      <c r="B544" s="21" t="s">
        <v>57</v>
      </c>
      <c r="C544" s="21" t="s">
        <v>323</v>
      </c>
      <c r="D544" s="22" t="str">
        <f>_xlfn.TEXTJOIN(" ",TRUE,Employees_Data[[#This Row],[First Name]],Employees_Data[[#This Row],[Last Name]])</f>
        <v>Muhamad Amir</v>
      </c>
      <c r="E544" s="21" t="s">
        <v>25</v>
      </c>
      <c r="F544" s="23">
        <v>43207</v>
      </c>
      <c r="G544" s="24">
        <f ca="1">DATEDIF(Employees!$F544,TODAY(),"Y")</f>
        <v>8</v>
      </c>
      <c r="H544" s="21" t="s">
        <v>26</v>
      </c>
      <c r="I544" s="21" t="s">
        <v>40</v>
      </c>
      <c r="J544" s="21" t="s">
        <v>54</v>
      </c>
      <c r="K544" s="25">
        <v>2925</v>
      </c>
      <c r="L544" s="25">
        <v>35100</v>
      </c>
      <c r="M544" s="21">
        <v>3</v>
      </c>
      <c r="N544" s="21">
        <v>3</v>
      </c>
      <c r="O544" s="21">
        <v>0</v>
      </c>
      <c r="P544" s="21">
        <v>14</v>
      </c>
      <c r="Q544" s="21" t="str">
        <f t="shared" ca="1" si="2"/>
        <v>Not Eligible</v>
      </c>
    </row>
    <row r="545" spans="1:17" ht="15.5" x14ac:dyDescent="0.35">
      <c r="A545" s="20">
        <v>544</v>
      </c>
      <c r="B545" s="21" t="s">
        <v>324</v>
      </c>
      <c r="C545" s="21" t="s">
        <v>765</v>
      </c>
      <c r="D545" s="22" t="str">
        <f>_xlfn.TEXTJOIN(" ",TRUE,Employees_Data[[#This Row],[First Name]],Employees_Data[[#This Row],[Last Name]])</f>
        <v>Lilas Nafae</v>
      </c>
      <c r="E545" s="21" t="s">
        <v>44</v>
      </c>
      <c r="F545" s="23">
        <v>43348</v>
      </c>
      <c r="G545" s="24">
        <f ca="1">DATEDIF(Employees!$F545,TODAY(),"Y")</f>
        <v>8</v>
      </c>
      <c r="H545" s="21" t="s">
        <v>26</v>
      </c>
      <c r="I545" s="21" t="s">
        <v>27</v>
      </c>
      <c r="J545" s="21" t="s">
        <v>54</v>
      </c>
      <c r="K545" s="25">
        <v>1895</v>
      </c>
      <c r="L545" s="25">
        <v>22740</v>
      </c>
      <c r="M545" s="21">
        <v>2</v>
      </c>
      <c r="N545" s="21">
        <v>0</v>
      </c>
      <c r="O545" s="21">
        <v>5</v>
      </c>
      <c r="P545" s="21">
        <v>81</v>
      </c>
      <c r="Q545" s="21" t="str">
        <f t="shared" ca="1" si="2"/>
        <v>Not Eligible</v>
      </c>
    </row>
    <row r="546" spans="1:17" ht="15.5" x14ac:dyDescent="0.35">
      <c r="A546" s="20">
        <v>545</v>
      </c>
      <c r="B546" s="21" t="s">
        <v>57</v>
      </c>
      <c r="C546" s="21" t="s">
        <v>147</v>
      </c>
      <c r="D546" s="22" t="str">
        <f>_xlfn.TEXTJOIN(" ",TRUE,Employees_Data[[#This Row],[First Name]],Employees_Data[[#This Row],[Last Name]])</f>
        <v>Muhamad Ayman</v>
      </c>
      <c r="E546" s="21" t="s">
        <v>25</v>
      </c>
      <c r="F546" s="23">
        <v>42409</v>
      </c>
      <c r="G546" s="24">
        <f ca="1">DATEDIF(Employees!$F546,TODAY(),"Y")</f>
        <v>10</v>
      </c>
      <c r="H546" s="21" t="s">
        <v>184</v>
      </c>
      <c r="I546" s="21" t="s">
        <v>27</v>
      </c>
      <c r="J546" s="21" t="s">
        <v>29</v>
      </c>
      <c r="K546" s="25">
        <v>2191</v>
      </c>
      <c r="L546" s="25">
        <v>26292</v>
      </c>
      <c r="M546" s="21">
        <v>5</v>
      </c>
      <c r="N546" s="21">
        <v>2</v>
      </c>
      <c r="O546" s="21">
        <v>0</v>
      </c>
      <c r="P546" s="21">
        <v>7</v>
      </c>
      <c r="Q546" s="21" t="str">
        <f t="shared" ca="1" si="2"/>
        <v>Not Eligible</v>
      </c>
    </row>
    <row r="547" spans="1:17" ht="15.5" x14ac:dyDescent="0.35">
      <c r="A547" s="20">
        <v>546</v>
      </c>
      <c r="B547" s="21" t="s">
        <v>766</v>
      </c>
      <c r="C547" s="21" t="s">
        <v>391</v>
      </c>
      <c r="D547" s="22" t="str">
        <f>_xlfn.TEXTJOIN(" ",TRUE,Employees_Data[[#This Row],[First Name]],Employees_Data[[#This Row],[Last Name]])</f>
        <v>Ranim Earabi</v>
      </c>
      <c r="E547" s="21" t="s">
        <v>44</v>
      </c>
      <c r="F547" s="23">
        <v>43890</v>
      </c>
      <c r="G547" s="24">
        <f ca="1">DATEDIF(Employees!$F547,TODAY(),"Y")</f>
        <v>6</v>
      </c>
      <c r="H547" s="21" t="s">
        <v>166</v>
      </c>
      <c r="I547" s="21" t="s">
        <v>27</v>
      </c>
      <c r="J547" s="21" t="s">
        <v>60</v>
      </c>
      <c r="K547" s="25">
        <v>3130</v>
      </c>
      <c r="L547" s="25">
        <v>37560</v>
      </c>
      <c r="M547" s="21">
        <v>3</v>
      </c>
      <c r="N547" s="21">
        <v>0</v>
      </c>
      <c r="O547" s="21">
        <v>0</v>
      </c>
      <c r="P547" s="21">
        <v>5</v>
      </c>
      <c r="Q547" s="21" t="str">
        <f t="shared" ca="1" si="2"/>
        <v>Not Eligible</v>
      </c>
    </row>
    <row r="548" spans="1:17" ht="15.5" x14ac:dyDescent="0.35">
      <c r="A548" s="20">
        <v>547</v>
      </c>
      <c r="B548" s="21" t="s">
        <v>767</v>
      </c>
      <c r="C548" s="21" t="s">
        <v>768</v>
      </c>
      <c r="D548" s="22" t="str">
        <f>_xlfn.TEXTJOIN(" ",TRUE,Employees_Data[[#This Row],[First Name]],Employees_Data[[#This Row],[Last Name]])</f>
        <v>Amani Altujjar</v>
      </c>
      <c r="E548" s="21" t="s">
        <v>44</v>
      </c>
      <c r="F548" s="23">
        <v>42695</v>
      </c>
      <c r="G548" s="24">
        <f ca="1">DATEDIF(Employees!$F548,TODAY(),"Y")</f>
        <v>9</v>
      </c>
      <c r="H548" s="21" t="s">
        <v>59</v>
      </c>
      <c r="I548" s="21" t="s">
        <v>27</v>
      </c>
      <c r="J548" s="21" t="s">
        <v>29</v>
      </c>
      <c r="K548" s="25">
        <v>2654</v>
      </c>
      <c r="L548" s="25">
        <v>31848</v>
      </c>
      <c r="M548" s="21">
        <v>3</v>
      </c>
      <c r="N548" s="21">
        <v>0</v>
      </c>
      <c r="O548" s="21">
        <v>1</v>
      </c>
      <c r="P548" s="21">
        <v>7</v>
      </c>
      <c r="Q548" s="21" t="str">
        <f t="shared" ca="1" si="2"/>
        <v>Not Eligible</v>
      </c>
    </row>
    <row r="549" spans="1:17" ht="15.5" x14ac:dyDescent="0.35">
      <c r="A549" s="20">
        <v>548</v>
      </c>
      <c r="B549" s="21" t="s">
        <v>57</v>
      </c>
      <c r="C549" s="21" t="s">
        <v>769</v>
      </c>
      <c r="D549" s="22" t="str">
        <f>_xlfn.TEXTJOIN(" ",TRUE,Employees_Data[[#This Row],[First Name]],Employees_Data[[#This Row],[Last Name]])</f>
        <v>Muhamad Rashid</v>
      </c>
      <c r="E549" s="21" t="s">
        <v>25</v>
      </c>
      <c r="F549" s="23">
        <v>44192</v>
      </c>
      <c r="G549" s="24">
        <f ca="1">DATEDIF(Employees!$F549,TODAY(),"Y")</f>
        <v>5</v>
      </c>
      <c r="H549" s="21" t="s">
        <v>26</v>
      </c>
      <c r="I549" s="21" t="s">
        <v>40</v>
      </c>
      <c r="J549" s="21" t="s">
        <v>54</v>
      </c>
      <c r="K549" s="25">
        <v>859</v>
      </c>
      <c r="L549" s="25">
        <v>10308</v>
      </c>
      <c r="M549" s="21">
        <v>5</v>
      </c>
      <c r="N549" s="21">
        <v>0</v>
      </c>
      <c r="O549" s="21">
        <v>1</v>
      </c>
      <c r="P549" s="21">
        <v>5</v>
      </c>
      <c r="Q549" s="21" t="str">
        <f t="shared" ca="1" si="2"/>
        <v>Not Eligible</v>
      </c>
    </row>
    <row r="550" spans="1:17" ht="15.5" x14ac:dyDescent="0.35">
      <c r="A550" s="20">
        <v>549</v>
      </c>
      <c r="B550" s="21" t="s">
        <v>770</v>
      </c>
      <c r="C550" s="21" t="s">
        <v>771</v>
      </c>
      <c r="D550" s="22" t="str">
        <f>_xlfn.TEXTJOIN(" ",TRUE,Employees_Data[[#This Row],[First Name]],Employees_Data[[#This Row],[Last Name]])</f>
        <v>Amin Hamid</v>
      </c>
      <c r="E550" s="21" t="s">
        <v>25</v>
      </c>
      <c r="F550" s="23">
        <v>42537</v>
      </c>
      <c r="G550" s="24">
        <f ca="1">DATEDIF(Employees!$F550,TODAY(),"Y")</f>
        <v>10</v>
      </c>
      <c r="H550" s="21" t="s">
        <v>99</v>
      </c>
      <c r="I550" s="21" t="s">
        <v>27</v>
      </c>
      <c r="J550" s="21" t="s">
        <v>60</v>
      </c>
      <c r="K550" s="25">
        <v>1113</v>
      </c>
      <c r="L550" s="25">
        <v>13356</v>
      </c>
      <c r="M550" s="21">
        <v>3</v>
      </c>
      <c r="N550" s="21">
        <v>4</v>
      </c>
      <c r="O550" s="21">
        <v>0</v>
      </c>
      <c r="P550" s="21">
        <v>11</v>
      </c>
      <c r="Q550" s="21" t="str">
        <f t="shared" ca="1" si="2"/>
        <v>Not Eligible</v>
      </c>
    </row>
    <row r="551" spans="1:17" ht="15.5" x14ac:dyDescent="0.35">
      <c r="A551" s="20">
        <v>550</v>
      </c>
      <c r="B551" s="21" t="s">
        <v>186</v>
      </c>
      <c r="C551" s="21" t="s">
        <v>724</v>
      </c>
      <c r="D551" s="22" t="str">
        <f>_xlfn.TEXTJOIN(" ",TRUE,Employees_Data[[#This Row],[First Name]],Employees_Data[[#This Row],[Last Name]])</f>
        <v>Khalid Jameah</v>
      </c>
      <c r="E551" s="21" t="s">
        <v>25</v>
      </c>
      <c r="F551" s="23">
        <v>43725</v>
      </c>
      <c r="G551" s="24">
        <f ca="1">DATEDIF(Employees!$F551,TODAY(),"Y")</f>
        <v>7</v>
      </c>
      <c r="H551" s="21" t="s">
        <v>65</v>
      </c>
      <c r="I551" s="21" t="s">
        <v>27</v>
      </c>
      <c r="J551" s="21" t="s">
        <v>83</v>
      </c>
      <c r="K551" s="25">
        <v>1234</v>
      </c>
      <c r="L551" s="25">
        <v>14808</v>
      </c>
      <c r="M551" s="21">
        <v>5</v>
      </c>
      <c r="N551" s="21">
        <v>1</v>
      </c>
      <c r="O551" s="21">
        <v>5</v>
      </c>
      <c r="P551" s="21">
        <v>10</v>
      </c>
      <c r="Q551" s="21" t="str">
        <f t="shared" ca="1" si="2"/>
        <v>Not Eligible</v>
      </c>
    </row>
    <row r="552" spans="1:17" ht="15.5" x14ac:dyDescent="0.35">
      <c r="A552" s="20">
        <v>551</v>
      </c>
      <c r="B552" s="21" t="s">
        <v>639</v>
      </c>
      <c r="C552" s="21" t="s">
        <v>414</v>
      </c>
      <c r="D552" s="22" t="str">
        <f>_xlfn.TEXTJOIN(" ",TRUE,Employees_Data[[#This Row],[First Name]],Employees_Data[[#This Row],[Last Name]])</f>
        <v>Fahd Shaykh</v>
      </c>
      <c r="E552" s="21" t="s">
        <v>25</v>
      </c>
      <c r="F552" s="23">
        <v>43815</v>
      </c>
      <c r="G552" s="24">
        <f ca="1">DATEDIF(Employees!$F552,TODAY(),"Y")</f>
        <v>6</v>
      </c>
      <c r="H552" s="21" t="s">
        <v>81</v>
      </c>
      <c r="I552" s="21" t="s">
        <v>27</v>
      </c>
      <c r="J552" s="21" t="s">
        <v>60</v>
      </c>
      <c r="K552" s="25">
        <v>2647</v>
      </c>
      <c r="L552" s="25">
        <v>31764</v>
      </c>
      <c r="M552" s="21">
        <v>3</v>
      </c>
      <c r="N552" s="21">
        <v>4</v>
      </c>
      <c r="O552" s="21">
        <v>0</v>
      </c>
      <c r="P552" s="21">
        <v>1</v>
      </c>
      <c r="Q552" s="21" t="str">
        <f t="shared" ca="1" si="2"/>
        <v>Not Eligible</v>
      </c>
    </row>
    <row r="553" spans="1:17" ht="15.5" x14ac:dyDescent="0.35">
      <c r="A553" s="20">
        <v>552</v>
      </c>
      <c r="B553" s="21" t="s">
        <v>324</v>
      </c>
      <c r="C553" s="21" t="s">
        <v>772</v>
      </c>
      <c r="D553" s="22" t="str">
        <f>_xlfn.TEXTJOIN(" ",TRUE,Employees_Data[[#This Row],[First Name]],Employees_Data[[#This Row],[Last Name]])</f>
        <v>Lilas Kashik</v>
      </c>
      <c r="E553" s="21" t="s">
        <v>44</v>
      </c>
      <c r="F553" s="23">
        <v>42583</v>
      </c>
      <c r="G553" s="24">
        <f ca="1">DATEDIF(Employees!$F553,TODAY(),"Y")</f>
        <v>10</v>
      </c>
      <c r="H553" s="21" t="s">
        <v>68</v>
      </c>
      <c r="I553" s="21" t="s">
        <v>40</v>
      </c>
      <c r="J553" s="21" t="s">
        <v>60</v>
      </c>
      <c r="K553" s="25">
        <v>2200</v>
      </c>
      <c r="L553" s="25">
        <v>26400</v>
      </c>
      <c r="M553" s="21">
        <v>1</v>
      </c>
      <c r="N553" s="21">
        <v>1</v>
      </c>
      <c r="O553" s="21">
        <v>0</v>
      </c>
      <c r="P553" s="21">
        <v>6</v>
      </c>
      <c r="Q553" s="21" t="str">
        <f t="shared" ca="1" si="2"/>
        <v>Not Eligible</v>
      </c>
    </row>
    <row r="554" spans="1:17" ht="15.5" x14ac:dyDescent="0.35">
      <c r="A554" s="20">
        <v>553</v>
      </c>
      <c r="B554" s="21" t="s">
        <v>250</v>
      </c>
      <c r="C554" s="21" t="s">
        <v>388</v>
      </c>
      <c r="D554" s="22" t="str">
        <f>_xlfn.TEXTJOIN(" ",TRUE,Employees_Data[[#This Row],[First Name]],Employees_Data[[#This Row],[Last Name]])</f>
        <v>Fatima Hasan</v>
      </c>
      <c r="E554" s="21" t="s">
        <v>44</v>
      </c>
      <c r="F554" s="23">
        <v>43183</v>
      </c>
      <c r="G554" s="24">
        <f ca="1">DATEDIF(Employees!$F554,TODAY(),"Y")</f>
        <v>8</v>
      </c>
      <c r="H554" s="21" t="s">
        <v>47</v>
      </c>
      <c r="I554" s="21" t="s">
        <v>27</v>
      </c>
      <c r="J554" s="21" t="s">
        <v>60</v>
      </c>
      <c r="K554" s="25">
        <v>2381</v>
      </c>
      <c r="L554" s="25">
        <v>28572</v>
      </c>
      <c r="M554" s="21">
        <v>4.5</v>
      </c>
      <c r="N554" s="21">
        <v>2</v>
      </c>
      <c r="O554" s="21">
        <v>0</v>
      </c>
      <c r="P554" s="21">
        <v>10</v>
      </c>
      <c r="Q554" s="21" t="str">
        <f t="shared" ca="1" si="2"/>
        <v>Not Eligible</v>
      </c>
    </row>
    <row r="555" spans="1:17" ht="15.5" x14ac:dyDescent="0.35">
      <c r="A555" s="20">
        <v>554</v>
      </c>
      <c r="B555" s="21" t="s">
        <v>346</v>
      </c>
      <c r="C555" s="21" t="s">
        <v>773</v>
      </c>
      <c r="D555" s="22" t="str">
        <f>_xlfn.TEXTJOIN(" ",TRUE,Employees_Data[[#This Row],[First Name]],Employees_Data[[#This Row],[Last Name]])</f>
        <v>Diea Dakhal</v>
      </c>
      <c r="E555" s="21" t="s">
        <v>25</v>
      </c>
      <c r="F555" s="23">
        <v>43817</v>
      </c>
      <c r="G555" s="24">
        <f ca="1">DATEDIF(Employees!$F555,TODAY(),"Y")</f>
        <v>6</v>
      </c>
      <c r="H555" s="21" t="s">
        <v>65</v>
      </c>
      <c r="I555" s="21" t="s">
        <v>53</v>
      </c>
      <c r="J555" s="21" t="s">
        <v>54</v>
      </c>
      <c r="K555" s="25">
        <v>2329</v>
      </c>
      <c r="L555" s="25">
        <v>27948</v>
      </c>
      <c r="M555" s="21">
        <v>2</v>
      </c>
      <c r="N555" s="21">
        <v>0</v>
      </c>
      <c r="O555" s="21">
        <v>0</v>
      </c>
      <c r="P555" s="21">
        <v>5</v>
      </c>
      <c r="Q555" s="21" t="str">
        <f t="shared" ca="1" si="2"/>
        <v>Not Eligible</v>
      </c>
    </row>
    <row r="556" spans="1:17" ht="15.5" x14ac:dyDescent="0.35">
      <c r="A556" s="20">
        <v>555</v>
      </c>
      <c r="B556" s="21" t="s">
        <v>323</v>
      </c>
      <c r="C556" s="21" t="s">
        <v>774</v>
      </c>
      <c r="D556" s="22" t="str">
        <f>_xlfn.TEXTJOIN(" ",TRUE,Employees_Data[[#This Row],[First Name]],Employees_Data[[#This Row],[Last Name]])</f>
        <v>Amir Karishati</v>
      </c>
      <c r="E556" s="21" t="s">
        <v>25</v>
      </c>
      <c r="F556" s="23">
        <v>43676</v>
      </c>
      <c r="G556" s="24">
        <f ca="1">DATEDIF(Employees!$F556,TODAY(),"Y")</f>
        <v>7</v>
      </c>
      <c r="H556" s="21" t="s">
        <v>52</v>
      </c>
      <c r="I556" s="21" t="s">
        <v>27</v>
      </c>
      <c r="J556" s="21" t="s">
        <v>54</v>
      </c>
      <c r="K556" s="25">
        <v>1075</v>
      </c>
      <c r="L556" s="25">
        <v>12900</v>
      </c>
      <c r="M556" s="21">
        <v>3</v>
      </c>
      <c r="N556" s="21">
        <v>0</v>
      </c>
      <c r="O556" s="21">
        <v>4</v>
      </c>
      <c r="P556" s="21">
        <v>61</v>
      </c>
      <c r="Q556" s="21" t="str">
        <f t="shared" ca="1" si="2"/>
        <v>Eligible</v>
      </c>
    </row>
    <row r="557" spans="1:17" ht="15.5" x14ac:dyDescent="0.35">
      <c r="A557" s="20">
        <v>556</v>
      </c>
      <c r="B557" s="21" t="s">
        <v>353</v>
      </c>
      <c r="C557" s="21" t="s">
        <v>775</v>
      </c>
      <c r="D557" s="22" t="str">
        <f>_xlfn.TEXTJOIN(" ",TRUE,Employees_Data[[#This Row],[First Name]],Employees_Data[[#This Row],[Last Name]])</f>
        <v>Madlin Alsaed</v>
      </c>
      <c r="E557" s="21" t="s">
        <v>44</v>
      </c>
      <c r="F557" s="23">
        <v>43013</v>
      </c>
      <c r="G557" s="24">
        <f ca="1">DATEDIF(Employees!$F557,TODAY(),"Y")</f>
        <v>9</v>
      </c>
      <c r="H557" s="21" t="s">
        <v>81</v>
      </c>
      <c r="I557" s="21" t="s">
        <v>27</v>
      </c>
      <c r="J557" s="21" t="s">
        <v>54</v>
      </c>
      <c r="K557" s="25">
        <v>3110</v>
      </c>
      <c r="L557" s="25">
        <v>37320</v>
      </c>
      <c r="M557" s="21">
        <v>1</v>
      </c>
      <c r="N557" s="21">
        <v>1</v>
      </c>
      <c r="O557" s="21">
        <v>4</v>
      </c>
      <c r="P557" s="21">
        <v>1</v>
      </c>
      <c r="Q557" s="21" t="str">
        <f t="shared" ca="1" si="2"/>
        <v>Not Eligible</v>
      </c>
    </row>
    <row r="558" spans="1:17" ht="15.5" x14ac:dyDescent="0.35">
      <c r="A558" s="20">
        <v>557</v>
      </c>
      <c r="B558" s="21" t="s">
        <v>478</v>
      </c>
      <c r="C558" s="21" t="s">
        <v>776</v>
      </c>
      <c r="D558" s="22" t="str">
        <f>_xlfn.TEXTJOIN(" ",TRUE,Employees_Data[[#This Row],[First Name]],Employees_Data[[#This Row],[Last Name]])</f>
        <v>Adnan Aleaqla</v>
      </c>
      <c r="E558" s="21" t="s">
        <v>25</v>
      </c>
      <c r="F558" s="23">
        <v>42878</v>
      </c>
      <c r="G558" s="24">
        <f ca="1">DATEDIF(Employees!$F558,TODAY(),"Y")</f>
        <v>9</v>
      </c>
      <c r="H558" s="21" t="s">
        <v>52</v>
      </c>
      <c r="I558" s="21" t="s">
        <v>27</v>
      </c>
      <c r="J558" s="21" t="s">
        <v>60</v>
      </c>
      <c r="K558" s="25">
        <v>2777</v>
      </c>
      <c r="L558" s="25">
        <v>33324</v>
      </c>
      <c r="M558" s="21">
        <v>5</v>
      </c>
      <c r="N558" s="21">
        <v>0</v>
      </c>
      <c r="O558" s="21">
        <v>0</v>
      </c>
      <c r="P558" s="21">
        <v>10</v>
      </c>
      <c r="Q558" s="21" t="str">
        <f t="shared" ca="1" si="2"/>
        <v>Not Eligible</v>
      </c>
    </row>
    <row r="559" spans="1:17" ht="15.5" x14ac:dyDescent="0.35">
      <c r="A559" s="20">
        <v>558</v>
      </c>
      <c r="B559" s="21" t="s">
        <v>57</v>
      </c>
      <c r="C559" s="21" t="s">
        <v>777</v>
      </c>
      <c r="D559" s="22" t="str">
        <f>_xlfn.TEXTJOIN(" ",TRUE,Employees_Data[[#This Row],[First Name]],Employees_Data[[#This Row],[Last Name]])</f>
        <v>Muhamad Eursaly</v>
      </c>
      <c r="E559" s="21" t="s">
        <v>25</v>
      </c>
      <c r="F559" s="23">
        <v>43525</v>
      </c>
      <c r="G559" s="24">
        <f ca="1">DATEDIF(Employees!$F559,TODAY(),"Y")</f>
        <v>7</v>
      </c>
      <c r="H559" s="21" t="s">
        <v>98</v>
      </c>
      <c r="I559" s="21" t="s">
        <v>27</v>
      </c>
      <c r="J559" s="21" t="s">
        <v>29</v>
      </c>
      <c r="K559" s="25">
        <v>2306</v>
      </c>
      <c r="L559" s="25">
        <v>27672</v>
      </c>
      <c r="M559" s="21">
        <v>2</v>
      </c>
      <c r="N559" s="21">
        <v>5</v>
      </c>
      <c r="O559" s="21">
        <v>5</v>
      </c>
      <c r="P559" s="21">
        <v>11</v>
      </c>
      <c r="Q559" s="21" t="str">
        <f t="shared" ca="1" si="2"/>
        <v>Not Eligible</v>
      </c>
    </row>
    <row r="560" spans="1:17" ht="15.5" x14ac:dyDescent="0.35">
      <c r="A560" s="20">
        <v>559</v>
      </c>
      <c r="B560" s="21" t="s">
        <v>227</v>
      </c>
      <c r="C560" s="21" t="s">
        <v>778</v>
      </c>
      <c r="D560" s="22" t="str">
        <f>_xlfn.TEXTJOIN(" ",TRUE,Employees_Data[[#This Row],[First Name]],Employees_Data[[#This Row],[Last Name]])</f>
        <v>Ranya Alaishhab</v>
      </c>
      <c r="E560" s="21" t="s">
        <v>44</v>
      </c>
      <c r="F560" s="23">
        <v>42722</v>
      </c>
      <c r="G560" s="24">
        <f ca="1">DATEDIF(Employees!$F560,TODAY(),"Y")</f>
        <v>9</v>
      </c>
      <c r="H560" s="21" t="s">
        <v>99</v>
      </c>
      <c r="I560" s="21" t="s">
        <v>27</v>
      </c>
      <c r="J560" s="21" t="s">
        <v>54</v>
      </c>
      <c r="K560" s="25">
        <v>1213</v>
      </c>
      <c r="L560" s="25">
        <v>14556</v>
      </c>
      <c r="M560" s="21">
        <v>3</v>
      </c>
      <c r="N560" s="21">
        <v>0</v>
      </c>
      <c r="O560" s="21">
        <v>0</v>
      </c>
      <c r="P560" s="21">
        <v>10</v>
      </c>
      <c r="Q560" s="21" t="str">
        <f t="shared" ca="1" si="2"/>
        <v>Not Eligible</v>
      </c>
    </row>
    <row r="561" spans="1:17" ht="15.5" x14ac:dyDescent="0.35">
      <c r="A561" s="20">
        <v>560</v>
      </c>
      <c r="B561" s="21" t="s">
        <v>779</v>
      </c>
      <c r="C561" s="21" t="s">
        <v>780</v>
      </c>
      <c r="D561" s="22" t="str">
        <f>_xlfn.TEXTJOIN(" ",TRUE,Employees_Data[[#This Row],[First Name]],Employees_Data[[#This Row],[Last Name]])</f>
        <v>Rulaa Shannar</v>
      </c>
      <c r="E561" s="21" t="s">
        <v>44</v>
      </c>
      <c r="F561" s="23">
        <v>43940</v>
      </c>
      <c r="G561" s="24">
        <f ca="1">DATEDIF(Employees!$F561,TODAY(),"Y")</f>
        <v>6</v>
      </c>
      <c r="H561" s="21" t="s">
        <v>99</v>
      </c>
      <c r="I561" s="21" t="s">
        <v>27</v>
      </c>
      <c r="J561" s="21" t="s">
        <v>83</v>
      </c>
      <c r="K561" s="25">
        <v>2680</v>
      </c>
      <c r="L561" s="25">
        <v>32160</v>
      </c>
      <c r="M561" s="21">
        <v>4.5</v>
      </c>
      <c r="N561" s="21">
        <v>0</v>
      </c>
      <c r="O561" s="21">
        <v>0</v>
      </c>
      <c r="P561" s="21">
        <v>1</v>
      </c>
      <c r="Q561" s="21" t="str">
        <f t="shared" ca="1" si="2"/>
        <v>Not Eligible</v>
      </c>
    </row>
    <row r="562" spans="1:17" ht="15.5" x14ac:dyDescent="0.35">
      <c r="A562" s="20">
        <v>561</v>
      </c>
      <c r="B562" s="21" t="s">
        <v>781</v>
      </c>
      <c r="C562" s="21" t="s">
        <v>782</v>
      </c>
      <c r="D562" s="22" t="str">
        <f>_xlfn.TEXTJOIN(" ",TRUE,Employees_Data[[#This Row],[First Name]],Employees_Data[[#This Row],[Last Name]])</f>
        <v>Aynas Alhiwat</v>
      </c>
      <c r="E562" s="21" t="s">
        <v>44</v>
      </c>
      <c r="F562" s="23">
        <v>44152</v>
      </c>
      <c r="G562" s="24">
        <f ca="1">DATEDIF(Employees!$F562,TODAY(),"Y")</f>
        <v>5</v>
      </c>
      <c r="H562" s="21" t="s">
        <v>99</v>
      </c>
      <c r="I562" s="21" t="s">
        <v>27</v>
      </c>
      <c r="J562" s="21" t="s">
        <v>575</v>
      </c>
      <c r="K562" s="25">
        <v>2204</v>
      </c>
      <c r="L562" s="25">
        <v>26448</v>
      </c>
      <c r="M562" s="21">
        <v>4.5</v>
      </c>
      <c r="N562" s="21">
        <v>1</v>
      </c>
      <c r="O562" s="21">
        <v>0</v>
      </c>
      <c r="P562" s="21">
        <v>4</v>
      </c>
      <c r="Q562" s="21" t="str">
        <f t="shared" ca="1" si="2"/>
        <v>Not Eligible</v>
      </c>
    </row>
    <row r="563" spans="1:17" ht="15.5" x14ac:dyDescent="0.35">
      <c r="A563" s="20">
        <v>562</v>
      </c>
      <c r="B563" s="21" t="s">
        <v>783</v>
      </c>
      <c r="C563" s="21" t="s">
        <v>784</v>
      </c>
      <c r="D563" s="22" t="str">
        <f>_xlfn.TEXTJOIN(" ",TRUE,Employees_Data[[#This Row],[First Name]],Employees_Data[[#This Row],[Last Name]])</f>
        <v>Sara Tabanaj</v>
      </c>
      <c r="E563" s="21" t="s">
        <v>44</v>
      </c>
      <c r="F563" s="23">
        <v>43113</v>
      </c>
      <c r="G563" s="24">
        <f ca="1">DATEDIF(Employees!$F563,TODAY(),"Y")</f>
        <v>8</v>
      </c>
      <c r="H563" s="21" t="s">
        <v>52</v>
      </c>
      <c r="I563" s="21" t="s">
        <v>27</v>
      </c>
      <c r="J563" s="21" t="s">
        <v>54</v>
      </c>
      <c r="K563" s="25">
        <v>1297</v>
      </c>
      <c r="L563" s="25">
        <v>15564</v>
      </c>
      <c r="M563" s="21">
        <v>2</v>
      </c>
      <c r="N563" s="21">
        <v>2</v>
      </c>
      <c r="O563" s="21">
        <v>0</v>
      </c>
      <c r="P563" s="21">
        <v>8</v>
      </c>
      <c r="Q563" s="21" t="str">
        <f t="shared" ca="1" si="2"/>
        <v>Not Eligible</v>
      </c>
    </row>
    <row r="564" spans="1:17" ht="15.5" x14ac:dyDescent="0.35">
      <c r="A564" s="20">
        <v>563</v>
      </c>
      <c r="B564" s="21" t="s">
        <v>523</v>
      </c>
      <c r="C564" s="21" t="s">
        <v>785</v>
      </c>
      <c r="D564" s="22" t="str">
        <f>_xlfn.TEXTJOIN(" ",TRUE,Employees_Data[[#This Row],[First Name]],Employees_Data[[#This Row],[Last Name]])</f>
        <v>Abd Allah Aldahan</v>
      </c>
      <c r="E564" s="21" t="s">
        <v>25</v>
      </c>
      <c r="F564" s="23">
        <v>44179</v>
      </c>
      <c r="G564" s="24">
        <f ca="1">DATEDIF(Employees!$F564,TODAY(),"Y")</f>
        <v>5</v>
      </c>
      <c r="H564" s="21" t="s">
        <v>26</v>
      </c>
      <c r="I564" s="21" t="s">
        <v>27</v>
      </c>
      <c r="J564" s="21" t="s">
        <v>60</v>
      </c>
      <c r="K564" s="25">
        <v>3024</v>
      </c>
      <c r="L564" s="25">
        <v>36288</v>
      </c>
      <c r="M564" s="21">
        <v>4.5</v>
      </c>
      <c r="N564" s="21">
        <v>6</v>
      </c>
      <c r="O564" s="21">
        <v>1</v>
      </c>
      <c r="P564" s="21">
        <v>48</v>
      </c>
      <c r="Q564" s="21" t="str">
        <f t="shared" ca="1" si="2"/>
        <v>Not Eligible</v>
      </c>
    </row>
    <row r="565" spans="1:17" ht="15.5" x14ac:dyDescent="0.35">
      <c r="A565" s="20">
        <v>564</v>
      </c>
      <c r="B565" s="21" t="s">
        <v>57</v>
      </c>
      <c r="C565" s="21" t="s">
        <v>786</v>
      </c>
      <c r="D565" s="22" t="str">
        <f>_xlfn.TEXTJOIN(" ",TRUE,Employees_Data[[#This Row],[First Name]],Employees_Data[[#This Row],[Last Name]])</f>
        <v>Muhamad Ramzi</v>
      </c>
      <c r="E565" s="21" t="s">
        <v>25</v>
      </c>
      <c r="F565" s="23">
        <v>43142</v>
      </c>
      <c r="G565" s="24">
        <f ca="1">DATEDIF(Employees!$F565,TODAY(),"Y")</f>
        <v>8</v>
      </c>
      <c r="H565" s="21" t="s">
        <v>140</v>
      </c>
      <c r="I565" s="21" t="s">
        <v>27</v>
      </c>
      <c r="J565" s="21" t="s">
        <v>54</v>
      </c>
      <c r="K565" s="25">
        <v>2228</v>
      </c>
      <c r="L565" s="25">
        <v>26736</v>
      </c>
      <c r="M565" s="21">
        <v>5</v>
      </c>
      <c r="N565" s="21">
        <v>1</v>
      </c>
      <c r="O565" s="21">
        <v>0</v>
      </c>
      <c r="P565" s="21">
        <v>78</v>
      </c>
      <c r="Q565" s="21" t="str">
        <f t="shared" ca="1" si="2"/>
        <v>Eligible</v>
      </c>
    </row>
    <row r="566" spans="1:17" ht="15.5" x14ac:dyDescent="0.35">
      <c r="A566" s="20">
        <v>565</v>
      </c>
      <c r="B566" s="21" t="s">
        <v>787</v>
      </c>
      <c r="C566" s="21" t="s">
        <v>788</v>
      </c>
      <c r="D566" s="22" t="str">
        <f>_xlfn.TEXTJOIN(" ",TRUE,Employees_Data[[#This Row],[First Name]],Employees_Data[[#This Row],[Last Name]])</f>
        <v>Jan Mikayiylian</v>
      </c>
      <c r="E566" s="21" t="s">
        <v>25</v>
      </c>
      <c r="F566" s="23">
        <v>42377</v>
      </c>
      <c r="G566" s="24">
        <f ca="1">DATEDIF(Employees!$F566,TODAY(),"Y")</f>
        <v>10</v>
      </c>
      <c r="H566" s="21" t="s">
        <v>99</v>
      </c>
      <c r="I566" s="21" t="s">
        <v>27</v>
      </c>
      <c r="J566" s="21" t="s">
        <v>29</v>
      </c>
      <c r="K566" s="25">
        <v>2009</v>
      </c>
      <c r="L566" s="25">
        <v>24108</v>
      </c>
      <c r="M566" s="21">
        <v>4.5</v>
      </c>
      <c r="N566" s="21">
        <v>6</v>
      </c>
      <c r="O566" s="21">
        <v>0</v>
      </c>
      <c r="P566" s="21">
        <v>0</v>
      </c>
      <c r="Q566" s="21" t="str">
        <f t="shared" ca="1" si="2"/>
        <v>Not Eligible</v>
      </c>
    </row>
    <row r="567" spans="1:17" ht="15.5" x14ac:dyDescent="0.35">
      <c r="A567" s="20">
        <v>566</v>
      </c>
      <c r="B567" s="21" t="s">
        <v>33</v>
      </c>
      <c r="C567" s="21" t="s">
        <v>789</v>
      </c>
      <c r="D567" s="22" t="str">
        <f>_xlfn.TEXTJOIN(" ",TRUE,Employees_Data[[#This Row],[First Name]],Employees_Data[[#This Row],[Last Name]])</f>
        <v>Almuthanaa Alsaediu</v>
      </c>
      <c r="E567" s="21" t="s">
        <v>25</v>
      </c>
      <c r="F567" s="23">
        <v>44087</v>
      </c>
      <c r="G567" s="24">
        <f ca="1">DATEDIF(Employees!$F567,TODAY(),"Y")</f>
        <v>6</v>
      </c>
      <c r="H567" s="21" t="s">
        <v>65</v>
      </c>
      <c r="I567" s="21" t="s">
        <v>27</v>
      </c>
      <c r="J567" s="21" t="s">
        <v>60</v>
      </c>
      <c r="K567" s="25">
        <v>2573</v>
      </c>
      <c r="L567" s="25">
        <v>30876</v>
      </c>
      <c r="M567" s="21">
        <v>5</v>
      </c>
      <c r="N567" s="21">
        <v>0</v>
      </c>
      <c r="O567" s="21">
        <v>0</v>
      </c>
      <c r="P567" s="21">
        <v>28</v>
      </c>
      <c r="Q567" s="21" t="str">
        <f t="shared" ca="1" si="2"/>
        <v>Not Eligible</v>
      </c>
    </row>
    <row r="568" spans="1:17" ht="15.5" x14ac:dyDescent="0.35">
      <c r="A568" s="20">
        <v>567</v>
      </c>
      <c r="B568" s="21" t="s">
        <v>790</v>
      </c>
      <c r="C568" s="21" t="s">
        <v>430</v>
      </c>
      <c r="D568" s="22" t="str">
        <f>_xlfn.TEXTJOIN(" ",TRUE,Employees_Data[[#This Row],[First Name]],Employees_Data[[#This Row],[Last Name]])</f>
        <v>Emad Dulul</v>
      </c>
      <c r="E568" s="21" t="s">
        <v>25</v>
      </c>
      <c r="F568" s="23">
        <v>43194</v>
      </c>
      <c r="G568" s="24">
        <f ca="1">DATEDIF(Employees!$F568,TODAY(),"Y")</f>
        <v>8</v>
      </c>
      <c r="H568" s="21" t="s">
        <v>52</v>
      </c>
      <c r="I568" s="21" t="s">
        <v>27</v>
      </c>
      <c r="J568" s="21" t="s">
        <v>60</v>
      </c>
      <c r="K568" s="25">
        <v>1938</v>
      </c>
      <c r="L568" s="25">
        <v>23256</v>
      </c>
      <c r="M568" s="21">
        <v>3</v>
      </c>
      <c r="N568" s="21">
        <v>0</v>
      </c>
      <c r="O568" s="21">
        <v>0</v>
      </c>
      <c r="P568" s="21">
        <v>7</v>
      </c>
      <c r="Q568" s="21" t="str">
        <f t="shared" ca="1" si="2"/>
        <v>Not Eligible</v>
      </c>
    </row>
    <row r="569" spans="1:17" ht="15.5" x14ac:dyDescent="0.35">
      <c r="A569" s="20">
        <v>568</v>
      </c>
      <c r="B569" s="21" t="s">
        <v>595</v>
      </c>
      <c r="C569" s="21" t="s">
        <v>791</v>
      </c>
      <c r="D569" s="22" t="str">
        <f>_xlfn.TEXTJOIN(" ",TRUE,Employees_Data[[#This Row],[First Name]],Employees_Data[[#This Row],[Last Name]])</f>
        <v>Sarah Haydar</v>
      </c>
      <c r="E569" s="21" t="s">
        <v>44</v>
      </c>
      <c r="F569" s="23">
        <v>43663</v>
      </c>
      <c r="G569" s="24">
        <f ca="1">DATEDIF(Employees!$F569,TODAY(),"Y")</f>
        <v>7</v>
      </c>
      <c r="H569" s="21" t="s">
        <v>65</v>
      </c>
      <c r="I569" s="21" t="s">
        <v>27</v>
      </c>
      <c r="J569" s="21" t="s">
        <v>54</v>
      </c>
      <c r="K569" s="25">
        <v>1208</v>
      </c>
      <c r="L569" s="25">
        <v>14496</v>
      </c>
      <c r="M569" s="21">
        <v>5</v>
      </c>
      <c r="N569" s="21">
        <v>3</v>
      </c>
      <c r="O569" s="21">
        <v>0</v>
      </c>
      <c r="P569" s="21">
        <v>10</v>
      </c>
      <c r="Q569" s="21" t="str">
        <f t="shared" ca="1" si="2"/>
        <v>Not Eligible</v>
      </c>
    </row>
    <row r="570" spans="1:17" ht="15.5" x14ac:dyDescent="0.35">
      <c r="A570" s="20">
        <v>569</v>
      </c>
      <c r="B570" s="21" t="s">
        <v>792</v>
      </c>
      <c r="C570" s="21" t="s">
        <v>793</v>
      </c>
      <c r="D570" s="22" t="str">
        <f>_xlfn.TEXTJOIN(" ",TRUE,Employees_Data[[#This Row],[First Name]],Employees_Data[[#This Row],[Last Name]])</f>
        <v>Abdalkarim Shueayb</v>
      </c>
      <c r="E570" s="21" t="s">
        <v>25</v>
      </c>
      <c r="F570" s="23">
        <v>43663</v>
      </c>
      <c r="G570" s="24">
        <f ca="1">DATEDIF(Employees!$F570,TODAY(),"Y")</f>
        <v>7</v>
      </c>
      <c r="H570" s="21" t="s">
        <v>95</v>
      </c>
      <c r="I570" s="21" t="s">
        <v>71</v>
      </c>
      <c r="J570" s="21" t="s">
        <v>29</v>
      </c>
      <c r="K570" s="25">
        <v>2342</v>
      </c>
      <c r="L570" s="25">
        <v>28104</v>
      </c>
      <c r="M570" s="21">
        <v>4.5</v>
      </c>
      <c r="N570" s="21">
        <v>5</v>
      </c>
      <c r="O570" s="21">
        <v>0</v>
      </c>
      <c r="P570" s="21">
        <v>10</v>
      </c>
      <c r="Q570" s="21" t="str">
        <f t="shared" ca="1" si="2"/>
        <v>Not Eligible</v>
      </c>
    </row>
    <row r="571" spans="1:17" ht="15.5" x14ac:dyDescent="0.35">
      <c r="A571" s="20">
        <v>570</v>
      </c>
      <c r="B571" s="21" t="s">
        <v>57</v>
      </c>
      <c r="C571" s="21" t="s">
        <v>200</v>
      </c>
      <c r="D571" s="22" t="str">
        <f>_xlfn.TEXTJOIN(" ",TRUE,Employees_Data[[#This Row],[First Name]],Employees_Data[[#This Row],[Last Name]])</f>
        <v>Muhamad Khayr</v>
      </c>
      <c r="E571" s="21" t="s">
        <v>25</v>
      </c>
      <c r="F571" s="23">
        <v>43950</v>
      </c>
      <c r="G571" s="24">
        <f ca="1">DATEDIF(Employees!$F571,TODAY(),"Y")</f>
        <v>6</v>
      </c>
      <c r="H571" s="21" t="s">
        <v>73</v>
      </c>
      <c r="I571" s="21" t="s">
        <v>27</v>
      </c>
      <c r="J571" s="21" t="s">
        <v>54</v>
      </c>
      <c r="K571" s="25">
        <v>3244</v>
      </c>
      <c r="L571" s="25">
        <v>38928</v>
      </c>
      <c r="M571" s="21">
        <v>4.5</v>
      </c>
      <c r="N571" s="21">
        <v>0</v>
      </c>
      <c r="O571" s="21">
        <v>0</v>
      </c>
      <c r="P571" s="21">
        <v>78</v>
      </c>
      <c r="Q571" s="21" t="str">
        <f t="shared" ca="1" si="2"/>
        <v>Eligible</v>
      </c>
    </row>
    <row r="572" spans="1:17" ht="15.5" x14ac:dyDescent="0.35">
      <c r="A572" s="20">
        <v>571</v>
      </c>
      <c r="B572" s="21" t="s">
        <v>151</v>
      </c>
      <c r="C572" s="21" t="s">
        <v>794</v>
      </c>
      <c r="D572" s="22" t="str">
        <f>_xlfn.TEXTJOIN(" ",TRUE,Employees_Data[[#This Row],[First Name]],Employees_Data[[#This Row],[Last Name]])</f>
        <v>Shadi Qitan</v>
      </c>
      <c r="E572" s="21" t="s">
        <v>25</v>
      </c>
      <c r="F572" s="23">
        <v>42829</v>
      </c>
      <c r="G572" s="24">
        <f ca="1">DATEDIF(Employees!$F572,TODAY(),"Y")</f>
        <v>9</v>
      </c>
      <c r="H572" s="21" t="s">
        <v>65</v>
      </c>
      <c r="I572" s="21" t="s">
        <v>27</v>
      </c>
      <c r="J572" s="21" t="s">
        <v>60</v>
      </c>
      <c r="K572" s="25">
        <v>2613</v>
      </c>
      <c r="L572" s="25">
        <v>31356</v>
      </c>
      <c r="M572" s="21">
        <v>4.5</v>
      </c>
      <c r="N572" s="21">
        <v>0</v>
      </c>
      <c r="O572" s="21">
        <v>1</v>
      </c>
      <c r="P572" s="21">
        <v>5</v>
      </c>
      <c r="Q572" s="21" t="str">
        <f t="shared" ca="1" si="2"/>
        <v>Not Eligible</v>
      </c>
    </row>
    <row r="573" spans="1:17" ht="15.5" x14ac:dyDescent="0.35">
      <c r="A573" s="20">
        <v>572</v>
      </c>
      <c r="B573" s="21" t="s">
        <v>57</v>
      </c>
      <c r="C573" s="21" t="s">
        <v>795</v>
      </c>
      <c r="D573" s="22" t="str">
        <f>_xlfn.TEXTJOIN(" ",TRUE,Employees_Data[[#This Row],[First Name]],Employees_Data[[#This Row],[Last Name]])</f>
        <v>Muhamad Rajab</v>
      </c>
      <c r="E573" s="21" t="s">
        <v>25</v>
      </c>
      <c r="F573" s="23">
        <v>44184</v>
      </c>
      <c r="G573" s="24">
        <f ca="1">DATEDIF(Employees!$F573,TODAY(),"Y")</f>
        <v>5</v>
      </c>
      <c r="H573" s="21" t="s">
        <v>52</v>
      </c>
      <c r="I573" s="21" t="s">
        <v>40</v>
      </c>
      <c r="J573" s="21" t="s">
        <v>54</v>
      </c>
      <c r="K573" s="25">
        <v>2263</v>
      </c>
      <c r="L573" s="25">
        <v>27156</v>
      </c>
      <c r="M573" s="21">
        <v>5</v>
      </c>
      <c r="N573" s="21">
        <v>0</v>
      </c>
      <c r="O573" s="21">
        <v>0</v>
      </c>
      <c r="P573" s="21">
        <v>9</v>
      </c>
      <c r="Q573" s="21" t="str">
        <f t="shared" ca="1" si="2"/>
        <v>Not Eligible</v>
      </c>
    </row>
    <row r="574" spans="1:17" ht="15.5" x14ac:dyDescent="0.35">
      <c r="A574" s="20">
        <v>573</v>
      </c>
      <c r="B574" s="21" t="s">
        <v>186</v>
      </c>
      <c r="C574" s="21" t="s">
        <v>715</v>
      </c>
      <c r="D574" s="22" t="str">
        <f>_xlfn.TEXTJOIN(" ",TRUE,Employees_Data[[#This Row],[First Name]],Employees_Data[[#This Row],[Last Name]])</f>
        <v>Khalid Alkhawam</v>
      </c>
      <c r="E574" s="21" t="s">
        <v>25</v>
      </c>
      <c r="F574" s="23">
        <v>42557</v>
      </c>
      <c r="G574" s="24">
        <f ca="1">DATEDIF(Employees!$F574,TODAY(),"Y")</f>
        <v>10</v>
      </c>
      <c r="H574" s="21" t="s">
        <v>65</v>
      </c>
      <c r="I574" s="21" t="s">
        <v>27</v>
      </c>
      <c r="J574" s="21" t="s">
        <v>575</v>
      </c>
      <c r="K574" s="25">
        <v>3157</v>
      </c>
      <c r="L574" s="25">
        <v>37884</v>
      </c>
      <c r="M574" s="21">
        <v>5</v>
      </c>
      <c r="N574" s="21">
        <v>0</v>
      </c>
      <c r="O574" s="21">
        <v>0</v>
      </c>
      <c r="P574" s="21">
        <v>1</v>
      </c>
      <c r="Q574" s="21" t="str">
        <f t="shared" ca="1" si="2"/>
        <v>Not Eligible</v>
      </c>
    </row>
    <row r="575" spans="1:17" ht="15.5" x14ac:dyDescent="0.35">
      <c r="A575" s="20">
        <v>574</v>
      </c>
      <c r="B575" s="21" t="s">
        <v>57</v>
      </c>
      <c r="C575" s="21" t="s">
        <v>796</v>
      </c>
      <c r="D575" s="22" t="str">
        <f>_xlfn.TEXTJOIN(" ",TRUE,Employees_Data[[#This Row],[First Name]],Employees_Data[[#This Row],[Last Name]])</f>
        <v>Muhamad Asamh</v>
      </c>
      <c r="E575" s="21" t="s">
        <v>25</v>
      </c>
      <c r="F575" s="23">
        <v>43166</v>
      </c>
      <c r="G575" s="24">
        <f ca="1">DATEDIF(Employees!$F575,TODAY(),"Y")</f>
        <v>8</v>
      </c>
      <c r="H575" s="21" t="s">
        <v>65</v>
      </c>
      <c r="I575" s="21" t="s">
        <v>71</v>
      </c>
      <c r="J575" s="21" t="s">
        <v>83</v>
      </c>
      <c r="K575" s="25">
        <v>2519</v>
      </c>
      <c r="L575" s="25">
        <v>30228</v>
      </c>
      <c r="M575" s="21">
        <v>5</v>
      </c>
      <c r="N575" s="21">
        <v>2</v>
      </c>
      <c r="O575" s="21">
        <v>2</v>
      </c>
      <c r="P575" s="21">
        <v>10</v>
      </c>
      <c r="Q575" s="21" t="str">
        <f t="shared" ca="1" si="2"/>
        <v>Not Eligible</v>
      </c>
    </row>
    <row r="576" spans="1:17" ht="15.5" x14ac:dyDescent="0.35">
      <c r="A576" s="20">
        <v>575</v>
      </c>
      <c r="B576" s="21" t="s">
        <v>82</v>
      </c>
      <c r="C576" s="21" t="s">
        <v>797</v>
      </c>
      <c r="D576" s="22" t="str">
        <f>_xlfn.TEXTJOIN(" ",TRUE,Employees_Data[[#This Row],[First Name]],Employees_Data[[#This Row],[Last Name]])</f>
        <v>Alaa Alyusif</v>
      </c>
      <c r="E576" s="21" t="s">
        <v>44</v>
      </c>
      <c r="F576" s="23">
        <v>43894</v>
      </c>
      <c r="G576" s="24">
        <f ca="1">DATEDIF(Employees!$F576,TODAY(),"Y")</f>
        <v>6</v>
      </c>
      <c r="H576" s="21" t="s">
        <v>73</v>
      </c>
      <c r="I576" s="21" t="s">
        <v>53</v>
      </c>
      <c r="J576" s="21" t="s">
        <v>29</v>
      </c>
      <c r="K576" s="25">
        <v>3019</v>
      </c>
      <c r="L576" s="25">
        <v>36228</v>
      </c>
      <c r="M576" s="21">
        <v>4.5</v>
      </c>
      <c r="N576" s="21">
        <v>2</v>
      </c>
      <c r="O576" s="21">
        <v>0</v>
      </c>
      <c r="P576" s="21">
        <v>15</v>
      </c>
      <c r="Q576" s="21" t="str">
        <f t="shared" ca="1" si="2"/>
        <v>Not Eligible</v>
      </c>
    </row>
    <row r="577" spans="1:17" ht="15.5" x14ac:dyDescent="0.35">
      <c r="A577" s="20">
        <v>576</v>
      </c>
      <c r="B577" s="21" t="s">
        <v>798</v>
      </c>
      <c r="C577" s="21" t="s">
        <v>799</v>
      </c>
      <c r="D577" s="22" t="str">
        <f>_xlfn.TEXTJOIN(" ",TRUE,Employees_Data[[#This Row],[First Name]],Employees_Data[[#This Row],[Last Name]])</f>
        <v>Asym Aleaqqad</v>
      </c>
      <c r="E577" s="21" t="s">
        <v>44</v>
      </c>
      <c r="F577" s="23">
        <v>43577</v>
      </c>
      <c r="G577" s="24">
        <f ca="1">DATEDIF(Employees!$F577,TODAY(),"Y")</f>
        <v>7</v>
      </c>
      <c r="H577" s="21" t="s">
        <v>52</v>
      </c>
      <c r="I577" s="21" t="s">
        <v>53</v>
      </c>
      <c r="J577" s="21" t="s">
        <v>575</v>
      </c>
      <c r="K577" s="25">
        <v>3048</v>
      </c>
      <c r="L577" s="25">
        <v>36576</v>
      </c>
      <c r="M577" s="21">
        <v>2</v>
      </c>
      <c r="N577" s="21">
        <v>3</v>
      </c>
      <c r="O577" s="21">
        <v>6</v>
      </c>
      <c r="P577" s="21">
        <v>6</v>
      </c>
      <c r="Q577" s="21" t="str">
        <f t="shared" ca="1" si="2"/>
        <v>Not Eligible</v>
      </c>
    </row>
    <row r="578" spans="1:17" ht="15.5" x14ac:dyDescent="0.35">
      <c r="A578" s="20">
        <v>577</v>
      </c>
      <c r="B578" s="21" t="s">
        <v>55</v>
      </c>
      <c r="C578" s="21" t="s">
        <v>800</v>
      </c>
      <c r="D578" s="22" t="str">
        <f>_xlfn.TEXTJOIN(" ",TRUE,Employees_Data[[#This Row],[First Name]],Employees_Data[[#This Row],[Last Name]])</f>
        <v>Ahmad Dahman</v>
      </c>
      <c r="E578" s="21" t="s">
        <v>25</v>
      </c>
      <c r="F578" s="23">
        <v>43811</v>
      </c>
      <c r="G578" s="24">
        <f ca="1">DATEDIF(Employees!$F578,TODAY(),"Y")</f>
        <v>6</v>
      </c>
      <c r="H578" s="21" t="s">
        <v>52</v>
      </c>
      <c r="I578" s="21" t="s">
        <v>27</v>
      </c>
      <c r="J578" s="21" t="s">
        <v>29</v>
      </c>
      <c r="K578" s="25">
        <v>1523</v>
      </c>
      <c r="L578" s="25">
        <v>18276</v>
      </c>
      <c r="M578" s="21">
        <v>4.5</v>
      </c>
      <c r="N578" s="21">
        <v>0</v>
      </c>
      <c r="O578" s="21">
        <v>4</v>
      </c>
      <c r="P578" s="21">
        <v>2</v>
      </c>
      <c r="Q578" s="21" t="str">
        <f t="shared" ca="1" si="2"/>
        <v>Not Eligible</v>
      </c>
    </row>
    <row r="579" spans="1:17" ht="15.5" x14ac:dyDescent="0.35">
      <c r="A579" s="20">
        <v>578</v>
      </c>
      <c r="B579" s="21" t="s">
        <v>801</v>
      </c>
      <c r="C579" s="21" t="s">
        <v>802</v>
      </c>
      <c r="D579" s="22" t="str">
        <f>_xlfn.TEXTJOIN(" ",TRUE,Employees_Data[[#This Row],[First Name]],Employees_Data[[#This Row],[Last Name]])</f>
        <v>Oqba Alqintar</v>
      </c>
      <c r="E579" s="21" t="s">
        <v>25</v>
      </c>
      <c r="F579" s="23">
        <v>43505</v>
      </c>
      <c r="G579" s="24">
        <f ca="1">DATEDIF(Employees!$F579,TODAY(),"Y")</f>
        <v>7</v>
      </c>
      <c r="H579" s="21" t="s">
        <v>81</v>
      </c>
      <c r="I579" s="21" t="s">
        <v>27</v>
      </c>
      <c r="J579" s="21" t="s">
        <v>575</v>
      </c>
      <c r="K579" s="25">
        <v>2197</v>
      </c>
      <c r="L579" s="25">
        <v>26364</v>
      </c>
      <c r="M579" s="21">
        <v>1</v>
      </c>
      <c r="N579" s="21">
        <v>1</v>
      </c>
      <c r="O579" s="21">
        <v>0</v>
      </c>
      <c r="P579" s="21">
        <v>8</v>
      </c>
      <c r="Q579" s="21" t="str">
        <f t="shared" ca="1" si="2"/>
        <v>Not Eligible</v>
      </c>
    </row>
    <row r="580" spans="1:17" ht="15.5" x14ac:dyDescent="0.35">
      <c r="A580" s="20">
        <v>579</v>
      </c>
      <c r="B580" s="21" t="s">
        <v>330</v>
      </c>
      <c r="C580" s="21" t="s">
        <v>803</v>
      </c>
      <c r="D580" s="22" t="str">
        <f>_xlfn.TEXTJOIN(" ",TRUE,Employees_Data[[#This Row],[First Name]],Employees_Data[[#This Row],[Last Name]])</f>
        <v>Rahaf Laylanaan</v>
      </c>
      <c r="E580" s="21" t="s">
        <v>44</v>
      </c>
      <c r="F580" s="23">
        <v>43556</v>
      </c>
      <c r="G580" s="24">
        <f ca="1">DATEDIF(Employees!$F580,TODAY(),"Y")</f>
        <v>7</v>
      </c>
      <c r="H580" s="21" t="s">
        <v>59</v>
      </c>
      <c r="I580" s="21" t="s">
        <v>27</v>
      </c>
      <c r="J580" s="21" t="s">
        <v>54</v>
      </c>
      <c r="K580" s="25">
        <v>1870</v>
      </c>
      <c r="L580" s="25">
        <v>22440</v>
      </c>
      <c r="M580" s="21">
        <v>4.5</v>
      </c>
      <c r="N580" s="21">
        <v>0</v>
      </c>
      <c r="O580" s="21">
        <v>3</v>
      </c>
      <c r="P580" s="21">
        <v>15</v>
      </c>
      <c r="Q580" s="21" t="str">
        <f t="shared" ca="1" si="2"/>
        <v>Not Eligible</v>
      </c>
    </row>
    <row r="581" spans="1:17" ht="15.5" x14ac:dyDescent="0.35">
      <c r="A581" s="20">
        <v>580</v>
      </c>
      <c r="B581" s="21" t="s">
        <v>57</v>
      </c>
      <c r="C581" s="21" t="s">
        <v>795</v>
      </c>
      <c r="D581" s="22" t="str">
        <f>_xlfn.TEXTJOIN(" ",TRUE,Employees_Data[[#This Row],[First Name]],Employees_Data[[#This Row],[Last Name]])</f>
        <v>Muhamad Rajab</v>
      </c>
      <c r="E581" s="21" t="s">
        <v>25</v>
      </c>
      <c r="F581" s="23">
        <v>43176</v>
      </c>
      <c r="G581" s="24">
        <f ca="1">DATEDIF(Employees!$F581,TODAY(),"Y")</f>
        <v>8</v>
      </c>
      <c r="H581" s="21" t="s">
        <v>52</v>
      </c>
      <c r="I581" s="21" t="s">
        <v>53</v>
      </c>
      <c r="J581" s="21" t="s">
        <v>54</v>
      </c>
      <c r="K581" s="25">
        <v>1058</v>
      </c>
      <c r="L581" s="25">
        <v>12696</v>
      </c>
      <c r="M581" s="21">
        <v>5</v>
      </c>
      <c r="N581" s="21">
        <v>0</v>
      </c>
      <c r="O581" s="21">
        <v>0</v>
      </c>
      <c r="P581" s="21">
        <v>10</v>
      </c>
      <c r="Q581" s="21" t="str">
        <f t="shared" ca="1" si="2"/>
        <v>Not Eligible</v>
      </c>
    </row>
    <row r="582" spans="1:17" ht="15.5" x14ac:dyDescent="0.35">
      <c r="A582" s="20">
        <v>581</v>
      </c>
      <c r="B582" s="21" t="s">
        <v>183</v>
      </c>
      <c r="C582" s="21" t="s">
        <v>804</v>
      </c>
      <c r="D582" s="22" t="str">
        <f>_xlfn.TEXTJOIN(" ",TRUE,Employees_Data[[#This Row],[First Name]],Employees_Data[[#This Row],[Last Name]])</f>
        <v>Ramadan Muhii Aldiyn</v>
      </c>
      <c r="E582" s="21" t="s">
        <v>25</v>
      </c>
      <c r="F582" s="23">
        <v>43741</v>
      </c>
      <c r="G582" s="24">
        <f ca="1">DATEDIF(Employees!$F582,TODAY(),"Y")</f>
        <v>7</v>
      </c>
      <c r="H582" s="21" t="s">
        <v>63</v>
      </c>
      <c r="I582" s="21" t="s">
        <v>27</v>
      </c>
      <c r="J582" s="21" t="s">
        <v>83</v>
      </c>
      <c r="K582" s="25">
        <v>1257</v>
      </c>
      <c r="L582" s="25">
        <v>15084</v>
      </c>
      <c r="M582" s="21">
        <v>4.5</v>
      </c>
      <c r="N582" s="21">
        <v>1</v>
      </c>
      <c r="O582" s="21">
        <v>3</v>
      </c>
      <c r="P582" s="21">
        <v>2</v>
      </c>
      <c r="Q582" s="21" t="str">
        <f t="shared" ca="1" si="2"/>
        <v>Not Eligible</v>
      </c>
    </row>
    <row r="583" spans="1:17" ht="15.5" x14ac:dyDescent="0.35">
      <c r="A583" s="20">
        <v>582</v>
      </c>
      <c r="B583" s="21" t="s">
        <v>805</v>
      </c>
      <c r="C583" s="21" t="s">
        <v>806</v>
      </c>
      <c r="D583" s="22" t="str">
        <f>_xlfn.TEXTJOIN(" ",TRUE,Employees_Data[[#This Row],[First Name]],Employees_Data[[#This Row],[Last Name]])</f>
        <v>Zaynab Eirat</v>
      </c>
      <c r="E583" s="21" t="s">
        <v>44</v>
      </c>
      <c r="F583" s="23">
        <v>43825</v>
      </c>
      <c r="G583" s="24">
        <f ca="1">DATEDIF(Employees!$F583,TODAY(),"Y")</f>
        <v>6</v>
      </c>
      <c r="H583" s="21" t="s">
        <v>59</v>
      </c>
      <c r="I583" s="21" t="s">
        <v>53</v>
      </c>
      <c r="J583" s="21" t="s">
        <v>54</v>
      </c>
      <c r="K583" s="25">
        <v>819</v>
      </c>
      <c r="L583" s="25">
        <v>9828</v>
      </c>
      <c r="M583" s="21">
        <v>4.5</v>
      </c>
      <c r="N583" s="21">
        <v>5</v>
      </c>
      <c r="O583" s="21">
        <v>0</v>
      </c>
      <c r="P583" s="21">
        <v>7</v>
      </c>
      <c r="Q583" s="21" t="str">
        <f t="shared" ca="1" si="2"/>
        <v>Not Eligible</v>
      </c>
    </row>
    <row r="584" spans="1:17" ht="15.5" x14ac:dyDescent="0.35">
      <c r="A584" s="20">
        <v>583</v>
      </c>
      <c r="B584" s="21" t="s">
        <v>228</v>
      </c>
      <c r="C584" s="21" t="s">
        <v>573</v>
      </c>
      <c r="D584" s="22" t="str">
        <f>_xlfn.TEXTJOIN(" ",TRUE,Employees_Data[[#This Row],[First Name]],Employees_Data[[#This Row],[Last Name]])</f>
        <v>Salah Aldiyn Altibae</v>
      </c>
      <c r="E584" s="21" t="s">
        <v>25</v>
      </c>
      <c r="F584" s="23">
        <v>43775</v>
      </c>
      <c r="G584" s="24">
        <f ca="1">DATEDIF(Employees!$F584,TODAY(),"Y")</f>
        <v>6</v>
      </c>
      <c r="H584" s="21" t="s">
        <v>372</v>
      </c>
      <c r="I584" s="21" t="s">
        <v>53</v>
      </c>
      <c r="J584" s="21" t="s">
        <v>60</v>
      </c>
      <c r="K584" s="25">
        <v>3068</v>
      </c>
      <c r="L584" s="25">
        <v>36816</v>
      </c>
      <c r="M584" s="21">
        <v>2</v>
      </c>
      <c r="N584" s="21">
        <v>4</v>
      </c>
      <c r="O584" s="21">
        <v>0</v>
      </c>
      <c r="P584" s="21">
        <v>8</v>
      </c>
      <c r="Q584" s="21" t="str">
        <f t="shared" ca="1" si="2"/>
        <v>Not Eligible</v>
      </c>
    </row>
    <row r="585" spans="1:17" ht="15.5" x14ac:dyDescent="0.35">
      <c r="A585" s="20">
        <v>584</v>
      </c>
      <c r="B585" s="21" t="s">
        <v>149</v>
      </c>
      <c r="C585" s="21" t="s">
        <v>807</v>
      </c>
      <c r="D585" s="22" t="str">
        <f>_xlfn.TEXTJOIN(" ",TRUE,Employees_Data[[#This Row],[First Name]],Employees_Data[[#This Row],[Last Name]])</f>
        <v>Faras Alghandur</v>
      </c>
      <c r="E585" s="21" t="s">
        <v>25</v>
      </c>
      <c r="F585" s="23">
        <v>43733</v>
      </c>
      <c r="G585" s="24">
        <f ca="1">DATEDIF(Employees!$F585,TODAY(),"Y")</f>
        <v>7</v>
      </c>
      <c r="H585" s="21" t="s">
        <v>73</v>
      </c>
      <c r="I585" s="21" t="s">
        <v>71</v>
      </c>
      <c r="J585" s="21" t="s">
        <v>575</v>
      </c>
      <c r="K585" s="25">
        <v>1814</v>
      </c>
      <c r="L585" s="25">
        <v>21768</v>
      </c>
      <c r="M585" s="21">
        <v>3</v>
      </c>
      <c r="N585" s="21">
        <v>0</v>
      </c>
      <c r="O585" s="21">
        <v>0</v>
      </c>
      <c r="P585" s="21">
        <v>6</v>
      </c>
      <c r="Q585" s="21" t="str">
        <f t="shared" ca="1" si="2"/>
        <v>Not Eligible</v>
      </c>
    </row>
    <row r="586" spans="1:17" ht="15.5" x14ac:dyDescent="0.35">
      <c r="A586" s="20">
        <v>585</v>
      </c>
      <c r="B586" s="21" t="s">
        <v>376</v>
      </c>
      <c r="C586" s="21" t="s">
        <v>808</v>
      </c>
      <c r="D586" s="22" t="str">
        <f>_xlfn.TEXTJOIN(" ",TRUE,Employees_Data[[#This Row],[First Name]],Employees_Data[[#This Row],[Last Name]])</f>
        <v>Husam Tamim</v>
      </c>
      <c r="E586" s="21" t="s">
        <v>25</v>
      </c>
      <c r="F586" s="23">
        <v>43605</v>
      </c>
      <c r="G586" s="24">
        <f ca="1">DATEDIF(Employees!$F586,TODAY(),"Y")</f>
        <v>7</v>
      </c>
      <c r="H586" s="21" t="s">
        <v>26</v>
      </c>
      <c r="I586" s="21" t="s">
        <v>27</v>
      </c>
      <c r="J586" s="21" t="s">
        <v>575</v>
      </c>
      <c r="K586" s="25">
        <v>1076</v>
      </c>
      <c r="L586" s="25">
        <v>12912</v>
      </c>
      <c r="M586" s="21">
        <v>5</v>
      </c>
      <c r="N586" s="21">
        <v>1</v>
      </c>
      <c r="O586" s="21">
        <v>0</v>
      </c>
      <c r="P586" s="21">
        <v>4</v>
      </c>
      <c r="Q586" s="21" t="str">
        <f t="shared" ca="1" si="2"/>
        <v>Not Eligible</v>
      </c>
    </row>
    <row r="587" spans="1:17" ht="15.5" x14ac:dyDescent="0.35">
      <c r="A587" s="20">
        <v>586</v>
      </c>
      <c r="B587" s="21" t="s">
        <v>809</v>
      </c>
      <c r="C587" s="21" t="s">
        <v>810</v>
      </c>
      <c r="D587" s="22" t="str">
        <f>_xlfn.TEXTJOIN(" ",TRUE,Employees_Data[[#This Row],[First Name]],Employees_Data[[#This Row],[Last Name]])</f>
        <v>Ayat Byd</v>
      </c>
      <c r="E587" s="21" t="s">
        <v>44</v>
      </c>
      <c r="F587" s="23">
        <v>42736</v>
      </c>
      <c r="G587" s="24">
        <f ca="1">DATEDIF(Employees!$F587,TODAY(),"Y")</f>
        <v>9</v>
      </c>
      <c r="H587" s="21" t="s">
        <v>184</v>
      </c>
      <c r="I587" s="21" t="s">
        <v>27</v>
      </c>
      <c r="J587" s="21" t="s">
        <v>60</v>
      </c>
      <c r="K587" s="25">
        <v>3120</v>
      </c>
      <c r="L587" s="25">
        <v>37440</v>
      </c>
      <c r="M587" s="21">
        <v>3</v>
      </c>
      <c r="N587" s="21">
        <v>3</v>
      </c>
      <c r="O587" s="21">
        <v>0</v>
      </c>
      <c r="P587" s="21">
        <v>2</v>
      </c>
      <c r="Q587" s="21" t="str">
        <f t="shared" ca="1" si="2"/>
        <v>Not Eligible</v>
      </c>
    </row>
    <row r="588" spans="1:17" ht="15.5" x14ac:dyDescent="0.35">
      <c r="A588" s="20">
        <v>587</v>
      </c>
      <c r="B588" s="21" t="s">
        <v>121</v>
      </c>
      <c r="C588" s="21" t="s">
        <v>811</v>
      </c>
      <c r="D588" s="22" t="str">
        <f>_xlfn.TEXTJOIN(" ",TRUE,Employees_Data[[#This Row],[First Name]],Employees_Data[[#This Row],[Last Name]])</f>
        <v>Rima Daly</v>
      </c>
      <c r="E588" s="21" t="s">
        <v>44</v>
      </c>
      <c r="F588" s="23">
        <v>44072</v>
      </c>
      <c r="G588" s="24">
        <f ca="1">DATEDIF(Employees!$F588,TODAY(),"Y")</f>
        <v>6</v>
      </c>
      <c r="H588" s="21" t="s">
        <v>26</v>
      </c>
      <c r="I588" s="21" t="s">
        <v>27</v>
      </c>
      <c r="J588" s="21" t="s">
        <v>60</v>
      </c>
      <c r="K588" s="25">
        <v>1359</v>
      </c>
      <c r="L588" s="25">
        <v>16308</v>
      </c>
      <c r="M588" s="21">
        <v>2</v>
      </c>
      <c r="N588" s="21">
        <v>0</v>
      </c>
      <c r="O588" s="21">
        <v>0</v>
      </c>
      <c r="P588" s="21">
        <v>8</v>
      </c>
      <c r="Q588" s="21" t="str">
        <f t="shared" ca="1" si="2"/>
        <v>Not Eligible</v>
      </c>
    </row>
    <row r="589" spans="1:17" ht="15.5" x14ac:dyDescent="0.35">
      <c r="A589" s="20">
        <v>588</v>
      </c>
      <c r="B589" s="21" t="s">
        <v>57</v>
      </c>
      <c r="C589" s="21" t="s">
        <v>812</v>
      </c>
      <c r="D589" s="22" t="str">
        <f>_xlfn.TEXTJOIN(" ",TRUE,Employees_Data[[#This Row],[First Name]],Employees_Data[[#This Row],[Last Name]])</f>
        <v>Muhamad Almunajid</v>
      </c>
      <c r="E589" s="21" t="s">
        <v>25</v>
      </c>
      <c r="F589" s="23">
        <v>43834</v>
      </c>
      <c r="G589" s="24">
        <f ca="1">DATEDIF(Employees!$F589,TODAY(),"Y")</f>
        <v>6</v>
      </c>
      <c r="H589" s="21" t="s">
        <v>52</v>
      </c>
      <c r="I589" s="21" t="s">
        <v>27</v>
      </c>
      <c r="J589" s="21" t="s">
        <v>60</v>
      </c>
      <c r="K589" s="25">
        <v>3391</v>
      </c>
      <c r="L589" s="25">
        <v>40692</v>
      </c>
      <c r="M589" s="21">
        <v>1</v>
      </c>
      <c r="N589" s="21">
        <v>0</v>
      </c>
      <c r="O589" s="21">
        <v>3</v>
      </c>
      <c r="P589" s="21">
        <v>1</v>
      </c>
      <c r="Q589" s="21" t="str">
        <f t="shared" ca="1" si="2"/>
        <v>Not Eligible</v>
      </c>
    </row>
    <row r="590" spans="1:17" ht="15.5" x14ac:dyDescent="0.35">
      <c r="A590" s="20">
        <v>589</v>
      </c>
      <c r="B590" s="21" t="s">
        <v>813</v>
      </c>
      <c r="C590" s="21" t="s">
        <v>57</v>
      </c>
      <c r="D590" s="22" t="str">
        <f>_xlfn.TEXTJOIN(" ",TRUE,Employees_Data[[#This Row],[First Name]],Employees_Data[[#This Row],[Last Name]])</f>
        <v>Eynas Muhamad</v>
      </c>
      <c r="E590" s="21" t="s">
        <v>44</v>
      </c>
      <c r="F590" s="23">
        <v>44054</v>
      </c>
      <c r="G590" s="24">
        <f ca="1">DATEDIF(Employees!$F590,TODAY(),"Y")</f>
        <v>6</v>
      </c>
      <c r="H590" s="21" t="s">
        <v>73</v>
      </c>
      <c r="I590" s="21" t="s">
        <v>71</v>
      </c>
      <c r="J590" s="21" t="s">
        <v>54</v>
      </c>
      <c r="K590" s="25">
        <v>1892</v>
      </c>
      <c r="L590" s="25">
        <v>22704</v>
      </c>
      <c r="M590" s="21">
        <v>5</v>
      </c>
      <c r="N590" s="21">
        <v>0</v>
      </c>
      <c r="O590" s="21">
        <v>0</v>
      </c>
      <c r="P590" s="21">
        <v>6</v>
      </c>
      <c r="Q590" s="21" t="str">
        <f t="shared" ca="1" si="2"/>
        <v>Not Eligible</v>
      </c>
    </row>
    <row r="591" spans="1:17" ht="15.5" x14ac:dyDescent="0.35">
      <c r="A591" s="20">
        <v>590</v>
      </c>
      <c r="B591" s="21" t="s">
        <v>55</v>
      </c>
      <c r="C591" s="21" t="s">
        <v>814</v>
      </c>
      <c r="D591" s="22" t="str">
        <f>_xlfn.TEXTJOIN(" ",TRUE,Employees_Data[[#This Row],[First Name]],Employees_Data[[#This Row],[Last Name]])</f>
        <v>Ahmad Ahmid</v>
      </c>
      <c r="E591" s="21" t="s">
        <v>25</v>
      </c>
      <c r="F591" s="23">
        <v>43884</v>
      </c>
      <c r="G591" s="24">
        <f ca="1">DATEDIF(Employees!$F591,TODAY(),"Y")</f>
        <v>6</v>
      </c>
      <c r="H591" s="21" t="s">
        <v>52</v>
      </c>
      <c r="I591" s="21" t="s">
        <v>27</v>
      </c>
      <c r="J591" s="21" t="s">
        <v>29</v>
      </c>
      <c r="K591" s="25">
        <v>2639</v>
      </c>
      <c r="L591" s="25">
        <v>31668</v>
      </c>
      <c r="M591" s="21">
        <v>1</v>
      </c>
      <c r="N591" s="21">
        <v>1</v>
      </c>
      <c r="O591" s="21">
        <v>0</v>
      </c>
      <c r="P591" s="21">
        <v>3</v>
      </c>
      <c r="Q591" s="21" t="str">
        <f t="shared" ca="1" si="2"/>
        <v>Not Eligible</v>
      </c>
    </row>
    <row r="592" spans="1:17" ht="15.5" x14ac:dyDescent="0.35">
      <c r="A592" s="20">
        <v>591</v>
      </c>
      <c r="B592" s="21" t="s">
        <v>353</v>
      </c>
      <c r="C592" s="21" t="s">
        <v>815</v>
      </c>
      <c r="D592" s="22" t="str">
        <f>_xlfn.TEXTJOIN(" ",TRUE,Employees_Data[[#This Row],[First Name]],Employees_Data[[#This Row],[Last Name]])</f>
        <v>Madlin Aljabaei</v>
      </c>
      <c r="E592" s="21" t="s">
        <v>44</v>
      </c>
      <c r="F592" s="23">
        <v>44039</v>
      </c>
      <c r="G592" s="24">
        <f ca="1">DATEDIF(Employees!$F592,TODAY(),"Y")</f>
        <v>6</v>
      </c>
      <c r="H592" s="21" t="s">
        <v>76</v>
      </c>
      <c r="I592" s="21" t="s">
        <v>27</v>
      </c>
      <c r="J592" s="21" t="s">
        <v>60</v>
      </c>
      <c r="K592" s="25">
        <v>1580</v>
      </c>
      <c r="L592" s="25">
        <v>18960</v>
      </c>
      <c r="M592" s="21">
        <v>5</v>
      </c>
      <c r="N592" s="21">
        <v>2</v>
      </c>
      <c r="O592" s="21">
        <v>5</v>
      </c>
      <c r="P592" s="21">
        <v>6</v>
      </c>
      <c r="Q592" s="21" t="str">
        <f t="shared" ca="1" si="2"/>
        <v>Not Eligible</v>
      </c>
    </row>
    <row r="593" spans="1:17" ht="15.5" x14ac:dyDescent="0.35">
      <c r="A593" s="20">
        <v>592</v>
      </c>
      <c r="B593" s="21" t="s">
        <v>207</v>
      </c>
      <c r="C593" s="21" t="s">
        <v>816</v>
      </c>
      <c r="D593" s="22" t="str">
        <f>_xlfn.TEXTJOIN(" ",TRUE,Employees_Data[[#This Row],[First Name]],Employees_Data[[#This Row],[Last Name]])</f>
        <v>Ali Alqadri</v>
      </c>
      <c r="E593" s="21" t="s">
        <v>25</v>
      </c>
      <c r="F593" s="23">
        <v>43692</v>
      </c>
      <c r="G593" s="24">
        <f ca="1">DATEDIF(Employees!$F593,TODAY(),"Y")</f>
        <v>7</v>
      </c>
      <c r="H593" s="21" t="s">
        <v>26</v>
      </c>
      <c r="I593" s="21" t="s">
        <v>27</v>
      </c>
      <c r="J593" s="21" t="s">
        <v>60</v>
      </c>
      <c r="K593" s="25">
        <v>2186</v>
      </c>
      <c r="L593" s="25">
        <v>26232</v>
      </c>
      <c r="M593" s="21">
        <v>3</v>
      </c>
      <c r="N593" s="21">
        <v>0</v>
      </c>
      <c r="O593" s="21">
        <v>0</v>
      </c>
      <c r="P593" s="21">
        <v>4</v>
      </c>
      <c r="Q593" s="21" t="str">
        <f t="shared" ca="1" si="2"/>
        <v>Not Eligible</v>
      </c>
    </row>
    <row r="594" spans="1:17" ht="15.5" x14ac:dyDescent="0.35">
      <c r="A594" s="20">
        <v>593</v>
      </c>
      <c r="B594" s="21" t="s">
        <v>57</v>
      </c>
      <c r="C594" s="21" t="s">
        <v>738</v>
      </c>
      <c r="D594" s="22" t="str">
        <f>_xlfn.TEXTJOIN(" ",TRUE,Employees_Data[[#This Row],[First Name]],Employees_Data[[#This Row],[Last Name]])</f>
        <v>Muhamad Dib</v>
      </c>
      <c r="E594" s="21" t="s">
        <v>25</v>
      </c>
      <c r="F594" s="23">
        <v>43684</v>
      </c>
      <c r="G594" s="24">
        <f ca="1">DATEDIF(Employees!$F594,TODAY(),"Y")</f>
        <v>7</v>
      </c>
      <c r="H594" s="21" t="s">
        <v>76</v>
      </c>
      <c r="I594" s="21" t="s">
        <v>53</v>
      </c>
      <c r="J594" s="21" t="s">
        <v>29</v>
      </c>
      <c r="K594" s="25">
        <v>1574</v>
      </c>
      <c r="L594" s="25">
        <v>18888</v>
      </c>
      <c r="M594" s="21">
        <v>2</v>
      </c>
      <c r="N594" s="21">
        <v>0</v>
      </c>
      <c r="O594" s="21">
        <v>0</v>
      </c>
      <c r="P594" s="21">
        <v>6</v>
      </c>
      <c r="Q594" s="21" t="str">
        <f t="shared" ca="1" si="2"/>
        <v>Not Eligible</v>
      </c>
    </row>
    <row r="595" spans="1:17" ht="15.5" x14ac:dyDescent="0.35">
      <c r="A595" s="20">
        <v>594</v>
      </c>
      <c r="B595" s="21" t="s">
        <v>735</v>
      </c>
      <c r="C595" s="21" t="s">
        <v>817</v>
      </c>
      <c r="D595" s="22" t="str">
        <f>_xlfn.TEXTJOIN(" ",TRUE,Employees_Data[[#This Row],[First Name]],Employees_Data[[#This Row],[Last Name]])</f>
        <v>Hanan Bradiei</v>
      </c>
      <c r="E595" s="21" t="s">
        <v>44</v>
      </c>
      <c r="F595" s="23">
        <v>43154</v>
      </c>
      <c r="G595" s="24">
        <f ca="1">DATEDIF(Employees!$F595,TODAY(),"Y")</f>
        <v>8</v>
      </c>
      <c r="H595" s="21" t="s">
        <v>65</v>
      </c>
      <c r="I595" s="21" t="s">
        <v>40</v>
      </c>
      <c r="J595" s="21" t="s">
        <v>60</v>
      </c>
      <c r="K595" s="25">
        <v>2013</v>
      </c>
      <c r="L595" s="25">
        <v>24156</v>
      </c>
      <c r="M595" s="21">
        <v>4.5</v>
      </c>
      <c r="N595" s="21">
        <v>6</v>
      </c>
      <c r="O595" s="21">
        <v>0</v>
      </c>
      <c r="P595" s="21">
        <v>8</v>
      </c>
      <c r="Q595" s="21" t="str">
        <f t="shared" ca="1" si="2"/>
        <v>Not Eligible</v>
      </c>
    </row>
    <row r="596" spans="1:17" ht="15.5" x14ac:dyDescent="0.35">
      <c r="A596" s="20">
        <v>595</v>
      </c>
      <c r="B596" s="21" t="s">
        <v>437</v>
      </c>
      <c r="C596" s="21" t="s">
        <v>818</v>
      </c>
      <c r="D596" s="22" t="str">
        <f>_xlfn.TEXTJOIN(" ",TRUE,Employees_Data[[#This Row],[First Name]],Employees_Data[[#This Row],[Last Name]])</f>
        <v>Danah Suirkili</v>
      </c>
      <c r="E596" s="21" t="s">
        <v>44</v>
      </c>
      <c r="F596" s="23">
        <v>43835</v>
      </c>
      <c r="G596" s="24">
        <f ca="1">DATEDIF(Employees!$F596,TODAY(),"Y")</f>
        <v>6</v>
      </c>
      <c r="H596" s="21" t="s">
        <v>73</v>
      </c>
      <c r="I596" s="21" t="s">
        <v>27</v>
      </c>
      <c r="J596" s="21" t="s">
        <v>60</v>
      </c>
      <c r="K596" s="25">
        <v>2075</v>
      </c>
      <c r="L596" s="25">
        <v>24900</v>
      </c>
      <c r="M596" s="21">
        <v>2</v>
      </c>
      <c r="N596" s="21">
        <v>0</v>
      </c>
      <c r="O596" s="21">
        <v>0</v>
      </c>
      <c r="P596" s="21">
        <v>5</v>
      </c>
      <c r="Q596" s="21" t="str">
        <f t="shared" ca="1" si="2"/>
        <v>Not Eligible</v>
      </c>
    </row>
    <row r="597" spans="1:17" ht="15.5" x14ac:dyDescent="0.35">
      <c r="A597" s="20">
        <v>596</v>
      </c>
      <c r="B597" s="21" t="s">
        <v>144</v>
      </c>
      <c r="C597" s="21" t="s">
        <v>819</v>
      </c>
      <c r="D597" s="22" t="str">
        <f>_xlfn.TEXTJOIN(" ",TRUE,Employees_Data[[#This Row],[First Name]],Employees_Data[[#This Row],[Last Name]])</f>
        <v>Ghada Darakal</v>
      </c>
      <c r="E597" s="21" t="s">
        <v>44</v>
      </c>
      <c r="F597" s="23">
        <v>43225</v>
      </c>
      <c r="G597" s="24">
        <f ca="1">DATEDIF(Employees!$F597,TODAY(),"Y")</f>
        <v>8</v>
      </c>
      <c r="H597" s="21" t="s">
        <v>52</v>
      </c>
      <c r="I597" s="21" t="s">
        <v>27</v>
      </c>
      <c r="J597" s="21" t="s">
        <v>60</v>
      </c>
      <c r="K597" s="25">
        <v>1372</v>
      </c>
      <c r="L597" s="25">
        <v>16464</v>
      </c>
      <c r="M597" s="21">
        <v>1</v>
      </c>
      <c r="N597" s="21">
        <v>0</v>
      </c>
      <c r="O597" s="21">
        <v>3</v>
      </c>
      <c r="P597" s="21">
        <v>2</v>
      </c>
      <c r="Q597" s="21" t="str">
        <f t="shared" ca="1" si="2"/>
        <v>Not Eligible</v>
      </c>
    </row>
    <row r="598" spans="1:17" ht="15.5" x14ac:dyDescent="0.35">
      <c r="A598" s="20">
        <v>597</v>
      </c>
      <c r="B598" s="21" t="s">
        <v>191</v>
      </c>
      <c r="C598" s="21" t="s">
        <v>820</v>
      </c>
      <c r="D598" s="22" t="str">
        <f>_xlfn.TEXTJOIN(" ",TRUE,Employees_Data[[#This Row],[First Name]],Employees_Data[[#This Row],[Last Name]])</f>
        <v>Mazin Bihtiti</v>
      </c>
      <c r="E598" s="21" t="s">
        <v>25</v>
      </c>
      <c r="F598" s="23">
        <v>43315</v>
      </c>
      <c r="G598" s="24">
        <f ca="1">DATEDIF(Employees!$F598,TODAY(),"Y")</f>
        <v>8</v>
      </c>
      <c r="H598" s="21" t="s">
        <v>76</v>
      </c>
      <c r="I598" s="21" t="s">
        <v>27</v>
      </c>
      <c r="J598" s="21" t="s">
        <v>54</v>
      </c>
      <c r="K598" s="25">
        <v>2026</v>
      </c>
      <c r="L598" s="25">
        <v>24312</v>
      </c>
      <c r="M598" s="21">
        <v>4.5</v>
      </c>
      <c r="N598" s="21">
        <v>0</v>
      </c>
      <c r="O598" s="21">
        <v>0</v>
      </c>
      <c r="P598" s="21">
        <v>7</v>
      </c>
      <c r="Q598" s="21" t="str">
        <f t="shared" ca="1" si="2"/>
        <v>Not Eligible</v>
      </c>
    </row>
    <row r="599" spans="1:17" ht="15.5" x14ac:dyDescent="0.35">
      <c r="A599" s="20">
        <v>598</v>
      </c>
      <c r="B599" s="21" t="s">
        <v>821</v>
      </c>
      <c r="C599" s="21" t="s">
        <v>822</v>
      </c>
      <c r="D599" s="22" t="str">
        <f>_xlfn.TEXTJOIN(" ",TRUE,Employees_Data[[#This Row],[First Name]],Employees_Data[[#This Row],[Last Name]])</f>
        <v>Ridwan Alshulyan</v>
      </c>
      <c r="E599" s="21" t="s">
        <v>25</v>
      </c>
      <c r="F599" s="23">
        <v>42854</v>
      </c>
      <c r="G599" s="24">
        <f ca="1">DATEDIF(Employees!$F599,TODAY(),"Y")</f>
        <v>9</v>
      </c>
      <c r="H599" s="21" t="s">
        <v>52</v>
      </c>
      <c r="I599" s="21" t="s">
        <v>53</v>
      </c>
      <c r="J599" s="21" t="s">
        <v>60</v>
      </c>
      <c r="K599" s="25">
        <v>1351</v>
      </c>
      <c r="L599" s="25">
        <v>16212</v>
      </c>
      <c r="M599" s="21">
        <v>2</v>
      </c>
      <c r="N599" s="21">
        <v>0</v>
      </c>
      <c r="O599" s="21">
        <v>0</v>
      </c>
      <c r="P599" s="21">
        <v>8</v>
      </c>
      <c r="Q599" s="21" t="str">
        <f t="shared" ca="1" si="2"/>
        <v>Not Eligible</v>
      </c>
    </row>
    <row r="600" spans="1:17" ht="15.5" x14ac:dyDescent="0.35">
      <c r="A600" s="20">
        <v>599</v>
      </c>
      <c r="B600" s="21" t="s">
        <v>207</v>
      </c>
      <c r="C600" s="21" t="s">
        <v>823</v>
      </c>
      <c r="D600" s="22" t="str">
        <f>_xlfn.TEXTJOIN(" ",TRUE,Employees_Data[[#This Row],[First Name]],Employees_Data[[#This Row],[Last Name]])</f>
        <v>Ali Barghaly</v>
      </c>
      <c r="E600" s="21" t="s">
        <v>25</v>
      </c>
      <c r="F600" s="23">
        <v>42884</v>
      </c>
      <c r="G600" s="24">
        <f ca="1">DATEDIF(Employees!$F600,TODAY(),"Y")</f>
        <v>9</v>
      </c>
      <c r="H600" s="21" t="s">
        <v>26</v>
      </c>
      <c r="I600" s="21" t="s">
        <v>27</v>
      </c>
      <c r="J600" s="21" t="s">
        <v>29</v>
      </c>
      <c r="K600" s="25">
        <v>1111</v>
      </c>
      <c r="L600" s="25">
        <v>13332</v>
      </c>
      <c r="M600" s="21">
        <v>1</v>
      </c>
      <c r="N600" s="21">
        <v>3</v>
      </c>
      <c r="O600" s="21">
        <v>0</v>
      </c>
      <c r="P600" s="21">
        <v>6</v>
      </c>
      <c r="Q600" s="21" t="str">
        <f t="shared" ca="1" si="2"/>
        <v>Not Eligible</v>
      </c>
    </row>
    <row r="601" spans="1:17" ht="15.5" x14ac:dyDescent="0.35">
      <c r="A601" s="20">
        <v>600</v>
      </c>
      <c r="B601" s="21" t="s">
        <v>72</v>
      </c>
      <c r="C601" s="21" t="s">
        <v>824</v>
      </c>
      <c r="D601" s="22" t="str">
        <f>_xlfn.TEXTJOIN(" ",TRUE,Employees_Data[[#This Row],[First Name]],Employees_Data[[#This Row],[Last Name]])</f>
        <v>Iad Badran</v>
      </c>
      <c r="E601" s="21" t="s">
        <v>25</v>
      </c>
      <c r="F601" s="23">
        <v>44016</v>
      </c>
      <c r="G601" s="24">
        <f ca="1">DATEDIF(Employees!$F601,TODAY(),"Y")</f>
        <v>6</v>
      </c>
      <c r="H601" s="21" t="s">
        <v>26</v>
      </c>
      <c r="I601" s="21" t="s">
        <v>27</v>
      </c>
      <c r="J601" s="21" t="s">
        <v>60</v>
      </c>
      <c r="K601" s="25">
        <v>1554</v>
      </c>
      <c r="L601" s="25">
        <v>18648</v>
      </c>
      <c r="M601" s="21">
        <v>5</v>
      </c>
      <c r="N601" s="21">
        <v>6</v>
      </c>
      <c r="O601" s="21">
        <v>5</v>
      </c>
      <c r="P601" s="21">
        <v>8</v>
      </c>
      <c r="Q601" s="21" t="str">
        <f t="shared" ca="1" si="2"/>
        <v>Not Eligible</v>
      </c>
    </row>
    <row r="602" spans="1:17" ht="15.5" x14ac:dyDescent="0.35">
      <c r="A602" s="20">
        <v>601</v>
      </c>
      <c r="B602" s="21" t="s">
        <v>701</v>
      </c>
      <c r="C602" s="21" t="s">
        <v>825</v>
      </c>
      <c r="D602" s="22" t="str">
        <f>_xlfn.TEXTJOIN(" ",TRUE,Employees_Data[[#This Row],[First Name]],Employees_Data[[#This Row],[Last Name]])</f>
        <v>Abdalrhmin Shwk</v>
      </c>
      <c r="E602" s="21" t="s">
        <v>25</v>
      </c>
      <c r="F602" s="23">
        <v>43758</v>
      </c>
      <c r="G602" s="24">
        <f ca="1">DATEDIF(Employees!$F602,TODAY(),"Y")</f>
        <v>7</v>
      </c>
      <c r="H602" s="21" t="s">
        <v>99</v>
      </c>
      <c r="I602" s="21" t="s">
        <v>40</v>
      </c>
      <c r="J602" s="21" t="s">
        <v>29</v>
      </c>
      <c r="K602" s="25">
        <v>3057</v>
      </c>
      <c r="L602" s="25">
        <v>36684</v>
      </c>
      <c r="M602" s="21">
        <v>5</v>
      </c>
      <c r="N602" s="21">
        <v>0</v>
      </c>
      <c r="O602" s="21">
        <v>0</v>
      </c>
      <c r="P602" s="21">
        <v>0</v>
      </c>
      <c r="Q602" s="21" t="str">
        <f t="shared" ca="1" si="2"/>
        <v>Not Eligible</v>
      </c>
    </row>
    <row r="603" spans="1:17" ht="15.5" x14ac:dyDescent="0.35">
      <c r="A603" s="20">
        <v>602</v>
      </c>
      <c r="B603" s="21" t="s">
        <v>376</v>
      </c>
      <c r="C603" s="21" t="s">
        <v>826</v>
      </c>
      <c r="D603" s="22" t="str">
        <f>_xlfn.TEXTJOIN(" ",TRUE,Employees_Data[[#This Row],[First Name]],Employees_Data[[#This Row],[Last Name]])</f>
        <v>Husam Aldiyn</v>
      </c>
      <c r="E603" s="21" t="s">
        <v>25</v>
      </c>
      <c r="F603" s="23">
        <v>43453</v>
      </c>
      <c r="G603" s="24">
        <f ca="1">DATEDIF(Employees!$F603,TODAY(),"Y")</f>
        <v>7</v>
      </c>
      <c r="H603" s="21" t="s">
        <v>73</v>
      </c>
      <c r="I603" s="21" t="s">
        <v>40</v>
      </c>
      <c r="J603" s="21" t="s">
        <v>83</v>
      </c>
      <c r="K603" s="25">
        <v>1733</v>
      </c>
      <c r="L603" s="25">
        <v>20796</v>
      </c>
      <c r="M603" s="21">
        <v>3</v>
      </c>
      <c r="N603" s="21">
        <v>0</v>
      </c>
      <c r="O603" s="21">
        <v>0</v>
      </c>
      <c r="P603" s="21">
        <v>3</v>
      </c>
      <c r="Q603" s="21" t="str">
        <f t="shared" ca="1" si="2"/>
        <v>Not Eligible</v>
      </c>
    </row>
    <row r="604" spans="1:17" ht="15.5" x14ac:dyDescent="0.35">
      <c r="A604" s="20">
        <v>603</v>
      </c>
      <c r="B604" s="21" t="s">
        <v>55</v>
      </c>
      <c r="C604" s="21" t="s">
        <v>827</v>
      </c>
      <c r="D604" s="22" t="str">
        <f>_xlfn.TEXTJOIN(" ",TRUE,Employees_Data[[#This Row],[First Name]],Employees_Data[[#This Row],[Last Name]])</f>
        <v>Ahmad Hamuwdatan</v>
      </c>
      <c r="E604" s="21" t="s">
        <v>25</v>
      </c>
      <c r="F604" s="23">
        <v>42393</v>
      </c>
      <c r="G604" s="24">
        <f ca="1">DATEDIF(Employees!$F604,TODAY(),"Y")</f>
        <v>10</v>
      </c>
      <c r="H604" s="21" t="s">
        <v>184</v>
      </c>
      <c r="I604" s="21" t="s">
        <v>27</v>
      </c>
      <c r="J604" s="21" t="s">
        <v>54</v>
      </c>
      <c r="K604" s="25">
        <v>1511</v>
      </c>
      <c r="L604" s="25">
        <v>18132</v>
      </c>
      <c r="M604" s="21">
        <v>5</v>
      </c>
      <c r="N604" s="21">
        <v>0</v>
      </c>
      <c r="O604" s="21">
        <v>0</v>
      </c>
      <c r="P604" s="21">
        <v>2</v>
      </c>
      <c r="Q604" s="21" t="str">
        <f t="shared" ca="1" si="2"/>
        <v>Not Eligible</v>
      </c>
    </row>
    <row r="605" spans="1:17" ht="15.5" x14ac:dyDescent="0.35">
      <c r="A605" s="20">
        <v>604</v>
      </c>
      <c r="B605" s="21" t="s">
        <v>55</v>
      </c>
      <c r="C605" s="21" t="s">
        <v>135</v>
      </c>
      <c r="D605" s="22" t="str">
        <f>_xlfn.TEXTJOIN(" ",TRUE,Employees_Data[[#This Row],[First Name]],Employees_Data[[#This Row],[Last Name]])</f>
        <v>Ahmad Laylana</v>
      </c>
      <c r="E605" s="21" t="s">
        <v>25</v>
      </c>
      <c r="F605" s="23">
        <v>42737</v>
      </c>
      <c r="G605" s="24">
        <f ca="1">DATEDIF(Employees!$F605,TODAY(),"Y")</f>
        <v>9</v>
      </c>
      <c r="H605" s="21" t="s">
        <v>63</v>
      </c>
      <c r="I605" s="21" t="s">
        <v>27</v>
      </c>
      <c r="J605" s="21" t="s">
        <v>54</v>
      </c>
      <c r="K605" s="25">
        <v>2542</v>
      </c>
      <c r="L605" s="25">
        <v>30504</v>
      </c>
      <c r="M605" s="21">
        <v>5</v>
      </c>
      <c r="N605" s="21">
        <v>0</v>
      </c>
      <c r="O605" s="21">
        <v>6</v>
      </c>
      <c r="P605" s="21">
        <v>6</v>
      </c>
      <c r="Q605" s="21" t="str">
        <f t="shared" ca="1" si="2"/>
        <v>Not Eligible</v>
      </c>
    </row>
    <row r="606" spans="1:17" ht="15.5" x14ac:dyDescent="0.35">
      <c r="A606" s="20">
        <v>605</v>
      </c>
      <c r="B606" s="21" t="s">
        <v>828</v>
      </c>
      <c r="C606" s="21" t="s">
        <v>702</v>
      </c>
      <c r="D606" s="22" t="str">
        <f>_xlfn.TEXTJOIN(" ",TRUE,Employees_Data[[#This Row],[First Name]],Employees_Data[[#This Row],[Last Name]])</f>
        <v>Shuruq Aljuju</v>
      </c>
      <c r="E606" s="21" t="s">
        <v>44</v>
      </c>
      <c r="F606" s="23">
        <v>43830</v>
      </c>
      <c r="G606" s="24">
        <f ca="1">DATEDIF(Employees!$F606,TODAY(),"Y")</f>
        <v>6</v>
      </c>
      <c r="H606" s="21" t="s">
        <v>26</v>
      </c>
      <c r="I606" s="21" t="s">
        <v>27</v>
      </c>
      <c r="J606" s="21" t="s">
        <v>60</v>
      </c>
      <c r="K606" s="25">
        <v>1573</v>
      </c>
      <c r="L606" s="25">
        <v>18876</v>
      </c>
      <c r="M606" s="21">
        <v>1</v>
      </c>
      <c r="N606" s="21">
        <v>2</v>
      </c>
      <c r="O606" s="21">
        <v>0</v>
      </c>
      <c r="P606" s="21">
        <v>3</v>
      </c>
      <c r="Q606" s="21" t="str">
        <f t="shared" ca="1" si="2"/>
        <v>Not Eligible</v>
      </c>
    </row>
    <row r="607" spans="1:17" ht="15.5" x14ac:dyDescent="0.35">
      <c r="A607" s="20">
        <v>606</v>
      </c>
      <c r="B607" s="21" t="s">
        <v>57</v>
      </c>
      <c r="C607" s="21" t="s">
        <v>829</v>
      </c>
      <c r="D607" s="22" t="str">
        <f>_xlfn.TEXTJOIN(" ",TRUE,Employees_Data[[#This Row],[First Name]],Employees_Data[[#This Row],[Last Name]])</f>
        <v>Muhamad Alshahrur</v>
      </c>
      <c r="E607" s="21" t="s">
        <v>25</v>
      </c>
      <c r="F607" s="23">
        <v>43010</v>
      </c>
      <c r="G607" s="24">
        <f ca="1">DATEDIF(Employees!$F607,TODAY(),"Y")</f>
        <v>9</v>
      </c>
      <c r="H607" s="21" t="s">
        <v>52</v>
      </c>
      <c r="I607" s="21" t="s">
        <v>71</v>
      </c>
      <c r="J607" s="21" t="s">
        <v>54</v>
      </c>
      <c r="K607" s="25">
        <v>2604</v>
      </c>
      <c r="L607" s="25">
        <v>31248</v>
      </c>
      <c r="M607" s="21">
        <v>3</v>
      </c>
      <c r="N607" s="21">
        <v>0</v>
      </c>
      <c r="O607" s="21">
        <v>0</v>
      </c>
      <c r="P607" s="21">
        <v>1</v>
      </c>
      <c r="Q607" s="21" t="str">
        <f t="shared" ca="1" si="2"/>
        <v>Not Eligible</v>
      </c>
    </row>
    <row r="608" spans="1:17" ht="15.5" x14ac:dyDescent="0.35">
      <c r="A608" s="20">
        <v>607</v>
      </c>
      <c r="B608" s="21" t="s">
        <v>830</v>
      </c>
      <c r="C608" s="21" t="s">
        <v>831</v>
      </c>
      <c r="D608" s="22" t="str">
        <f>_xlfn.TEXTJOIN(" ",TRUE,Employees_Data[[#This Row],[First Name]],Employees_Data[[#This Row],[Last Name]])</f>
        <v>Rafif Khalf</v>
      </c>
      <c r="E608" s="21" t="s">
        <v>44</v>
      </c>
      <c r="F608" s="23">
        <v>43592</v>
      </c>
      <c r="G608" s="24">
        <f ca="1">DATEDIF(Employees!$F608,TODAY(),"Y")</f>
        <v>7</v>
      </c>
      <c r="H608" s="21" t="s">
        <v>99</v>
      </c>
      <c r="I608" s="21" t="s">
        <v>71</v>
      </c>
      <c r="J608" s="21" t="s">
        <v>29</v>
      </c>
      <c r="K608" s="25">
        <v>3152</v>
      </c>
      <c r="L608" s="25">
        <v>37824</v>
      </c>
      <c r="M608" s="21">
        <v>5</v>
      </c>
      <c r="N608" s="21">
        <v>0</v>
      </c>
      <c r="O608" s="21">
        <v>0</v>
      </c>
      <c r="P608" s="21">
        <v>8</v>
      </c>
      <c r="Q608" s="21" t="str">
        <f t="shared" ca="1" si="2"/>
        <v>Not Eligible</v>
      </c>
    </row>
    <row r="609" spans="1:17" ht="15.5" x14ac:dyDescent="0.35">
      <c r="A609" s="20">
        <v>608</v>
      </c>
      <c r="B609" s="21" t="s">
        <v>57</v>
      </c>
      <c r="C609" s="21" t="s">
        <v>188</v>
      </c>
      <c r="D609" s="22" t="str">
        <f>_xlfn.TEXTJOIN(" ",TRUE,Employees_Data[[#This Row],[First Name]],Employees_Data[[#This Row],[Last Name]])</f>
        <v>Muhamad Alkhatib</v>
      </c>
      <c r="E609" s="21" t="s">
        <v>25</v>
      </c>
      <c r="F609" s="23">
        <v>44097</v>
      </c>
      <c r="G609" s="24">
        <f ca="1">DATEDIF(Employees!$F609,TODAY(),"Y")</f>
        <v>6</v>
      </c>
      <c r="H609" s="21" t="s">
        <v>65</v>
      </c>
      <c r="I609" s="21" t="s">
        <v>53</v>
      </c>
      <c r="J609" s="21" t="s">
        <v>575</v>
      </c>
      <c r="K609" s="25">
        <v>2655</v>
      </c>
      <c r="L609" s="25">
        <v>31860</v>
      </c>
      <c r="M609" s="21">
        <v>5</v>
      </c>
      <c r="N609" s="21">
        <v>0</v>
      </c>
      <c r="O609" s="21">
        <v>0</v>
      </c>
      <c r="P609" s="21">
        <v>6</v>
      </c>
      <c r="Q609" s="21" t="str">
        <f t="shared" ca="1" si="2"/>
        <v>Not Eligible</v>
      </c>
    </row>
    <row r="610" spans="1:17" ht="15.5" x14ac:dyDescent="0.35">
      <c r="A610" s="20">
        <v>609</v>
      </c>
      <c r="B610" s="21" t="s">
        <v>57</v>
      </c>
      <c r="C610" s="21" t="s">
        <v>832</v>
      </c>
      <c r="D610" s="22" t="str">
        <f>_xlfn.TEXTJOIN(" ",TRUE,Employees_Data[[#This Row],[First Name]],Employees_Data[[#This Row],[Last Name]])</f>
        <v>Muhamad Albarnawi</v>
      </c>
      <c r="E610" s="21" t="s">
        <v>25</v>
      </c>
      <c r="F610" s="23">
        <v>42412</v>
      </c>
      <c r="G610" s="24">
        <f ca="1">DATEDIF(Employees!$F610,TODAY(),"Y")</f>
        <v>10</v>
      </c>
      <c r="H610" s="21" t="s">
        <v>95</v>
      </c>
      <c r="I610" s="21" t="s">
        <v>27</v>
      </c>
      <c r="J610" s="21" t="s">
        <v>83</v>
      </c>
      <c r="K610" s="25">
        <v>1405</v>
      </c>
      <c r="L610" s="25">
        <v>16860</v>
      </c>
      <c r="M610" s="21">
        <v>5</v>
      </c>
      <c r="N610" s="21">
        <v>6</v>
      </c>
      <c r="O610" s="21">
        <v>0</v>
      </c>
      <c r="P610" s="21">
        <v>10</v>
      </c>
      <c r="Q610" s="21" t="str">
        <f t="shared" ca="1" si="2"/>
        <v>Not Eligible</v>
      </c>
    </row>
    <row r="611" spans="1:17" ht="15.5" x14ac:dyDescent="0.35">
      <c r="A611" s="20">
        <v>610</v>
      </c>
      <c r="B611" s="21" t="s">
        <v>207</v>
      </c>
      <c r="C611" s="21" t="s">
        <v>833</v>
      </c>
      <c r="D611" s="22" t="str">
        <f>_xlfn.TEXTJOIN(" ",TRUE,Employees_Data[[#This Row],[First Name]],Employees_Data[[#This Row],[Last Name]])</f>
        <v>Ali Almiqdad</v>
      </c>
      <c r="E611" s="21" t="s">
        <v>25</v>
      </c>
      <c r="F611" s="23">
        <v>43234</v>
      </c>
      <c r="G611" s="24">
        <f ca="1">DATEDIF(Employees!$F611,TODAY(),"Y")</f>
        <v>8</v>
      </c>
      <c r="H611" s="21" t="s">
        <v>52</v>
      </c>
      <c r="I611" s="21" t="s">
        <v>27</v>
      </c>
      <c r="J611" s="21" t="s">
        <v>60</v>
      </c>
      <c r="K611" s="25">
        <v>3100</v>
      </c>
      <c r="L611" s="25">
        <v>37200</v>
      </c>
      <c r="M611" s="21">
        <v>5</v>
      </c>
      <c r="N611" s="21">
        <v>0</v>
      </c>
      <c r="O611" s="21">
        <v>0</v>
      </c>
      <c r="P611" s="21">
        <v>7</v>
      </c>
      <c r="Q611" s="21" t="str">
        <f t="shared" ca="1" si="2"/>
        <v>Not Eligible</v>
      </c>
    </row>
    <row r="612" spans="1:17" ht="15.5" x14ac:dyDescent="0.35">
      <c r="A612" s="20">
        <v>611</v>
      </c>
      <c r="B612" s="21" t="s">
        <v>227</v>
      </c>
      <c r="C612" s="21" t="s">
        <v>834</v>
      </c>
      <c r="D612" s="22" t="str">
        <f>_xlfn.TEXTJOIN(" ",TRUE,Employees_Data[[#This Row],[First Name]],Employees_Data[[#This Row],[Last Name]])</f>
        <v>Ranya Faris</v>
      </c>
      <c r="E612" s="21" t="s">
        <v>44</v>
      </c>
      <c r="F612" s="23">
        <v>42947</v>
      </c>
      <c r="G612" s="24">
        <f ca="1">DATEDIF(Employees!$F612,TODAY(),"Y")</f>
        <v>9</v>
      </c>
      <c r="H612" s="21" t="s">
        <v>52</v>
      </c>
      <c r="I612" s="21" t="s">
        <v>53</v>
      </c>
      <c r="J612" s="21" t="s">
        <v>575</v>
      </c>
      <c r="K612" s="25">
        <v>2729</v>
      </c>
      <c r="L612" s="25">
        <v>32748</v>
      </c>
      <c r="M612" s="21">
        <v>4.5</v>
      </c>
      <c r="N612" s="21">
        <v>0</v>
      </c>
      <c r="O612" s="21">
        <v>0</v>
      </c>
      <c r="P612" s="21">
        <v>6</v>
      </c>
      <c r="Q612" s="21" t="str">
        <f t="shared" ca="1" si="2"/>
        <v>Not Eligible</v>
      </c>
    </row>
    <row r="613" spans="1:17" ht="15.5" x14ac:dyDescent="0.35">
      <c r="A613" s="20">
        <v>612</v>
      </c>
      <c r="B613" s="21" t="s">
        <v>207</v>
      </c>
      <c r="C613" s="21" t="s">
        <v>369</v>
      </c>
      <c r="D613" s="22" t="str">
        <f>_xlfn.TEXTJOIN(" ",TRUE,Employees_Data[[#This Row],[First Name]],Employees_Data[[#This Row],[Last Name]])</f>
        <v>Ali Alshaykh</v>
      </c>
      <c r="E613" s="21" t="s">
        <v>25</v>
      </c>
      <c r="F613" s="23">
        <v>43290</v>
      </c>
      <c r="G613" s="24">
        <f ca="1">DATEDIF(Employees!$F613,TODAY(),"Y")</f>
        <v>8</v>
      </c>
      <c r="H613" s="21" t="s">
        <v>81</v>
      </c>
      <c r="I613" s="21" t="s">
        <v>27</v>
      </c>
      <c r="J613" s="21" t="s">
        <v>54</v>
      </c>
      <c r="K613" s="25">
        <v>1467</v>
      </c>
      <c r="L613" s="25">
        <v>17604</v>
      </c>
      <c r="M613" s="21">
        <v>5</v>
      </c>
      <c r="N613" s="21">
        <v>0</v>
      </c>
      <c r="O613" s="21">
        <v>0</v>
      </c>
      <c r="P613" s="21">
        <v>7</v>
      </c>
      <c r="Q613" s="21" t="str">
        <f t="shared" ca="1" si="2"/>
        <v>Not Eligible</v>
      </c>
    </row>
    <row r="614" spans="1:17" ht="15.5" x14ac:dyDescent="0.35">
      <c r="A614" s="20">
        <v>613</v>
      </c>
      <c r="B614" s="21" t="s">
        <v>61</v>
      </c>
      <c r="C614" s="21" t="s">
        <v>835</v>
      </c>
      <c r="D614" s="22" t="str">
        <f>_xlfn.TEXTJOIN(" ",TRUE,Employees_Data[[#This Row],[First Name]],Employees_Data[[#This Row],[Last Name]])</f>
        <v>Iin Kafa</v>
      </c>
      <c r="E614" s="21" t="s">
        <v>44</v>
      </c>
      <c r="F614" s="23">
        <v>42791</v>
      </c>
      <c r="G614" s="24">
        <f ca="1">DATEDIF(Employees!$F614,TODAY(),"Y")</f>
        <v>9</v>
      </c>
      <c r="H614" s="21" t="s">
        <v>52</v>
      </c>
      <c r="I614" s="21" t="s">
        <v>40</v>
      </c>
      <c r="J614" s="21" t="s">
        <v>54</v>
      </c>
      <c r="K614" s="25">
        <v>1612</v>
      </c>
      <c r="L614" s="25">
        <v>19344</v>
      </c>
      <c r="M614" s="21">
        <v>5</v>
      </c>
      <c r="N614" s="21">
        <v>0</v>
      </c>
      <c r="O614" s="21">
        <v>0</v>
      </c>
      <c r="P614" s="21">
        <v>4</v>
      </c>
      <c r="Q614" s="21" t="str">
        <f t="shared" ca="1" si="2"/>
        <v>Not Eligible</v>
      </c>
    </row>
    <row r="615" spans="1:17" ht="15.5" x14ac:dyDescent="0.35">
      <c r="A615" s="20">
        <v>614</v>
      </c>
      <c r="B615" s="21" t="s">
        <v>57</v>
      </c>
      <c r="C615" s="21" t="s">
        <v>836</v>
      </c>
      <c r="D615" s="22" t="str">
        <f>_xlfn.TEXTJOIN(" ",TRUE,Employees_Data[[#This Row],[First Name]],Employees_Data[[#This Row],[Last Name]])</f>
        <v>Muhamad Almaghribi</v>
      </c>
      <c r="E615" s="21" t="s">
        <v>25</v>
      </c>
      <c r="F615" s="23">
        <v>43574</v>
      </c>
      <c r="G615" s="24">
        <f ca="1">DATEDIF(Employees!$F615,TODAY(),"Y")</f>
        <v>7</v>
      </c>
      <c r="H615" s="21" t="s">
        <v>26</v>
      </c>
      <c r="I615" s="21" t="s">
        <v>27</v>
      </c>
      <c r="J615" s="21" t="s">
        <v>54</v>
      </c>
      <c r="K615" s="25">
        <v>2901</v>
      </c>
      <c r="L615" s="25">
        <v>34812</v>
      </c>
      <c r="M615" s="21">
        <v>5</v>
      </c>
      <c r="N615" s="21">
        <v>0</v>
      </c>
      <c r="O615" s="21">
        <v>0</v>
      </c>
      <c r="P615" s="21">
        <v>6</v>
      </c>
      <c r="Q615" s="21" t="str">
        <f t="shared" ca="1" si="2"/>
        <v>Not Eligible</v>
      </c>
    </row>
    <row r="616" spans="1:17" ht="15.5" x14ac:dyDescent="0.35">
      <c r="A616" s="20">
        <v>615</v>
      </c>
      <c r="B616" s="21" t="s">
        <v>138</v>
      </c>
      <c r="C616" s="21" t="s">
        <v>837</v>
      </c>
      <c r="D616" s="22" t="str">
        <f>_xlfn.TEXTJOIN(" ",TRUE,Employees_Data[[#This Row],[First Name]],Employees_Data[[#This Row],[Last Name]])</f>
        <v>Sami Aldrwysh</v>
      </c>
      <c r="E616" s="21" t="s">
        <v>25</v>
      </c>
      <c r="F616" s="23">
        <v>42952</v>
      </c>
      <c r="G616" s="24">
        <f ca="1">DATEDIF(Employees!$F616,TODAY(),"Y")</f>
        <v>9</v>
      </c>
      <c r="H616" s="21" t="s">
        <v>184</v>
      </c>
      <c r="I616" s="21" t="s">
        <v>27</v>
      </c>
      <c r="J616" s="21" t="s">
        <v>54</v>
      </c>
      <c r="K616" s="25">
        <v>1999</v>
      </c>
      <c r="L616" s="25">
        <v>23988</v>
      </c>
      <c r="M616" s="21">
        <v>3</v>
      </c>
      <c r="N616" s="21">
        <v>0</v>
      </c>
      <c r="O616" s="21">
        <v>0</v>
      </c>
      <c r="P616" s="21">
        <v>4</v>
      </c>
      <c r="Q616" s="21" t="str">
        <f t="shared" ca="1" si="2"/>
        <v>Not Eligible</v>
      </c>
    </row>
    <row r="617" spans="1:17" ht="15.5" x14ac:dyDescent="0.35">
      <c r="A617" s="20">
        <v>616</v>
      </c>
      <c r="B617" s="21" t="s">
        <v>205</v>
      </c>
      <c r="C617" s="21" t="s">
        <v>188</v>
      </c>
      <c r="D617" s="22" t="str">
        <f>_xlfn.TEXTJOIN(" ",TRUE,Employees_Data[[#This Row],[First Name]],Employees_Data[[#This Row],[Last Name]])</f>
        <v>Samah Alkhatib</v>
      </c>
      <c r="E617" s="21" t="s">
        <v>44</v>
      </c>
      <c r="F617" s="23">
        <v>43239</v>
      </c>
      <c r="G617" s="24">
        <f ca="1">DATEDIF(Employees!$F617,TODAY(),"Y")</f>
        <v>8</v>
      </c>
      <c r="H617" s="21" t="s">
        <v>65</v>
      </c>
      <c r="I617" s="21" t="s">
        <v>40</v>
      </c>
      <c r="J617" s="21" t="s">
        <v>60</v>
      </c>
      <c r="K617" s="25">
        <v>705</v>
      </c>
      <c r="L617" s="25">
        <v>8460</v>
      </c>
      <c r="M617" s="21">
        <v>3</v>
      </c>
      <c r="N617" s="21">
        <v>6</v>
      </c>
      <c r="O617" s="21">
        <v>0</v>
      </c>
      <c r="P617" s="21">
        <v>8</v>
      </c>
      <c r="Q617" s="21" t="str">
        <f t="shared" ca="1" si="2"/>
        <v>Not Eligible</v>
      </c>
    </row>
    <row r="618" spans="1:17" ht="15.5" x14ac:dyDescent="0.35">
      <c r="A618" s="20">
        <v>617</v>
      </c>
      <c r="B618" s="21" t="s">
        <v>111</v>
      </c>
      <c r="C618" s="21" t="s">
        <v>838</v>
      </c>
      <c r="D618" s="22" t="str">
        <f>_xlfn.TEXTJOIN(" ",TRUE,Employees_Data[[#This Row],[First Name]],Employees_Data[[#This Row],[Last Name]])</f>
        <v>Eala Hatim</v>
      </c>
      <c r="E618" s="21" t="s">
        <v>44</v>
      </c>
      <c r="F618" s="23">
        <v>43737</v>
      </c>
      <c r="G618" s="24">
        <f ca="1">DATEDIF(Employees!$F618,TODAY(),"Y")</f>
        <v>7</v>
      </c>
      <c r="H618" s="21" t="s">
        <v>63</v>
      </c>
      <c r="I618" s="21" t="s">
        <v>27</v>
      </c>
      <c r="J618" s="21" t="s">
        <v>60</v>
      </c>
      <c r="K618" s="25">
        <v>3311</v>
      </c>
      <c r="L618" s="25">
        <v>39732</v>
      </c>
      <c r="M618" s="21">
        <v>4.5</v>
      </c>
      <c r="N618" s="21">
        <v>0</v>
      </c>
      <c r="O618" s="21">
        <v>0</v>
      </c>
      <c r="P618" s="21">
        <v>1</v>
      </c>
      <c r="Q618" s="21" t="str">
        <f t="shared" ca="1" si="2"/>
        <v>Not Eligible</v>
      </c>
    </row>
    <row r="619" spans="1:17" ht="15.5" x14ac:dyDescent="0.35">
      <c r="A619" s="20">
        <v>618</v>
      </c>
      <c r="B619" s="21" t="s">
        <v>555</v>
      </c>
      <c r="C619" s="21" t="s">
        <v>839</v>
      </c>
      <c r="D619" s="22" t="str">
        <f>_xlfn.TEXTJOIN(" ",TRUE,Employees_Data[[#This Row],[First Name]],Employees_Data[[#This Row],[Last Name]])</f>
        <v>Dalia Nahlawi</v>
      </c>
      <c r="E619" s="21" t="s">
        <v>44</v>
      </c>
      <c r="F619" s="23">
        <v>43107</v>
      </c>
      <c r="G619" s="24">
        <f ca="1">DATEDIF(Employees!$F619,TODAY(),"Y")</f>
        <v>8</v>
      </c>
      <c r="H619" s="21" t="s">
        <v>52</v>
      </c>
      <c r="I619" s="21" t="s">
        <v>27</v>
      </c>
      <c r="J619" s="21" t="s">
        <v>29</v>
      </c>
      <c r="K619" s="25">
        <v>2516</v>
      </c>
      <c r="L619" s="25">
        <v>30192</v>
      </c>
      <c r="M619" s="21">
        <v>3</v>
      </c>
      <c r="N619" s="21">
        <v>6</v>
      </c>
      <c r="O619" s="21">
        <v>0</v>
      </c>
      <c r="P619" s="21">
        <v>3</v>
      </c>
      <c r="Q619" s="21" t="str">
        <f t="shared" ca="1" si="2"/>
        <v>Not Eligible</v>
      </c>
    </row>
    <row r="620" spans="1:17" ht="15.5" x14ac:dyDescent="0.35">
      <c r="A620" s="20">
        <v>619</v>
      </c>
      <c r="B620" s="21" t="s">
        <v>840</v>
      </c>
      <c r="C620" s="21" t="s">
        <v>841</v>
      </c>
      <c r="D620" s="22" t="str">
        <f>_xlfn.TEXTJOIN(" ",TRUE,Employees_Data[[#This Row],[First Name]],Employees_Data[[#This Row],[Last Name]])</f>
        <v>Rabye' Alzrqawy</v>
      </c>
      <c r="E620" s="21" t="s">
        <v>25</v>
      </c>
      <c r="F620" s="23">
        <v>43742</v>
      </c>
      <c r="G620" s="24">
        <f ca="1">DATEDIF(Employees!$F620,TODAY(),"Y")</f>
        <v>7</v>
      </c>
      <c r="H620" s="21" t="s">
        <v>65</v>
      </c>
      <c r="I620" s="21" t="s">
        <v>40</v>
      </c>
      <c r="J620" s="21" t="s">
        <v>60</v>
      </c>
      <c r="K620" s="25">
        <v>2000</v>
      </c>
      <c r="L620" s="25">
        <v>24000</v>
      </c>
      <c r="M620" s="21">
        <v>3</v>
      </c>
      <c r="N620" s="21">
        <v>1</v>
      </c>
      <c r="O620" s="21">
        <v>0</v>
      </c>
      <c r="P620" s="21">
        <v>0</v>
      </c>
      <c r="Q620" s="21" t="str">
        <f t="shared" ca="1" si="2"/>
        <v>Not Eligible</v>
      </c>
    </row>
    <row r="621" spans="1:17" ht="15.5" x14ac:dyDescent="0.35">
      <c r="A621" s="20">
        <v>620</v>
      </c>
      <c r="B621" s="21" t="s">
        <v>506</v>
      </c>
      <c r="C621" s="21" t="s">
        <v>842</v>
      </c>
      <c r="D621" s="22" t="str">
        <f>_xlfn.TEXTJOIN(" ",TRUE,Employees_Data[[#This Row],[First Name]],Employees_Data[[#This Row],[Last Name]])</f>
        <v>Kholoud Huquq</v>
      </c>
      <c r="E621" s="21" t="s">
        <v>44</v>
      </c>
      <c r="F621" s="23">
        <v>43735</v>
      </c>
      <c r="G621" s="24">
        <f ca="1">DATEDIF(Employees!$F621,TODAY(),"Y")</f>
        <v>7</v>
      </c>
      <c r="H621" s="21" t="s">
        <v>76</v>
      </c>
      <c r="I621" s="21" t="s">
        <v>53</v>
      </c>
      <c r="J621" s="21" t="s">
        <v>83</v>
      </c>
      <c r="K621" s="25">
        <v>2860</v>
      </c>
      <c r="L621" s="25">
        <v>34320</v>
      </c>
      <c r="M621" s="21">
        <v>3</v>
      </c>
      <c r="N621" s="21">
        <v>0</v>
      </c>
      <c r="O621" s="21">
        <v>6</v>
      </c>
      <c r="P621" s="21">
        <v>7</v>
      </c>
      <c r="Q621" s="21" t="str">
        <f t="shared" ca="1" si="2"/>
        <v>Not Eligible</v>
      </c>
    </row>
    <row r="622" spans="1:17" ht="15.5" x14ac:dyDescent="0.35">
      <c r="A622" s="20">
        <v>621</v>
      </c>
      <c r="B622" s="21" t="s">
        <v>168</v>
      </c>
      <c r="C622" s="21" t="s">
        <v>843</v>
      </c>
      <c r="D622" s="22" t="str">
        <f>_xlfn.TEXTJOIN(" ",TRUE,Employees_Data[[#This Row],[First Name]],Employees_Data[[#This Row],[Last Name]])</f>
        <v>Ibrahim Alqatish</v>
      </c>
      <c r="E622" s="21" t="s">
        <v>25</v>
      </c>
      <c r="F622" s="23">
        <v>43557</v>
      </c>
      <c r="G622" s="24">
        <f ca="1">DATEDIF(Employees!$F622,TODAY(),"Y")</f>
        <v>7</v>
      </c>
      <c r="H622" s="21" t="s">
        <v>26</v>
      </c>
      <c r="I622" s="21" t="s">
        <v>27</v>
      </c>
      <c r="J622" s="21" t="s">
        <v>575</v>
      </c>
      <c r="K622" s="25">
        <v>943</v>
      </c>
      <c r="L622" s="25">
        <v>11316</v>
      </c>
      <c r="M622" s="21">
        <v>4.5</v>
      </c>
      <c r="N622" s="21">
        <v>0</v>
      </c>
      <c r="O622" s="21">
        <v>0</v>
      </c>
      <c r="P622" s="21">
        <v>1</v>
      </c>
      <c r="Q622" s="21" t="str">
        <f t="shared" ca="1" si="2"/>
        <v>Not Eligible</v>
      </c>
    </row>
    <row r="623" spans="1:17" ht="15.5" x14ac:dyDescent="0.35">
      <c r="A623" s="20">
        <v>622</v>
      </c>
      <c r="B623" s="21" t="s">
        <v>360</v>
      </c>
      <c r="C623" s="21" t="s">
        <v>844</v>
      </c>
      <c r="D623" s="22" t="str">
        <f>_xlfn.TEXTJOIN(" ",TRUE,Employees_Data[[#This Row],[First Name]],Employees_Data[[#This Row],[Last Name]])</f>
        <v>Salih Altawil</v>
      </c>
      <c r="E623" s="21" t="s">
        <v>25</v>
      </c>
      <c r="F623" s="23">
        <v>43720</v>
      </c>
      <c r="G623" s="24">
        <f ca="1">DATEDIF(Employees!$F623,TODAY(),"Y")</f>
        <v>7</v>
      </c>
      <c r="H623" s="21" t="s">
        <v>26</v>
      </c>
      <c r="I623" s="21" t="s">
        <v>71</v>
      </c>
      <c r="J623" s="21" t="s">
        <v>54</v>
      </c>
      <c r="K623" s="25">
        <v>1018</v>
      </c>
      <c r="L623" s="25">
        <v>12216</v>
      </c>
      <c r="M623" s="21">
        <v>2</v>
      </c>
      <c r="N623" s="21">
        <v>5</v>
      </c>
      <c r="O623" s="21">
        <v>0</v>
      </c>
      <c r="P623" s="21">
        <v>10</v>
      </c>
      <c r="Q623" s="21" t="str">
        <f t="shared" ca="1" si="2"/>
        <v>Not Eligible</v>
      </c>
    </row>
    <row r="624" spans="1:17" ht="15.5" x14ac:dyDescent="0.35">
      <c r="A624" s="20">
        <v>623</v>
      </c>
      <c r="B624" s="21" t="s">
        <v>138</v>
      </c>
      <c r="C624" s="21" t="s">
        <v>845</v>
      </c>
      <c r="D624" s="22" t="str">
        <f>_xlfn.TEXTJOIN(" ",TRUE,Employees_Data[[#This Row],[First Name]],Employees_Data[[#This Row],[Last Name]])</f>
        <v>Sami Alsyd Ahmad</v>
      </c>
      <c r="E624" s="21" t="s">
        <v>25</v>
      </c>
      <c r="F624" s="23">
        <v>43502</v>
      </c>
      <c r="G624" s="24">
        <f ca="1">DATEDIF(Employees!$F624,TODAY(),"Y")</f>
        <v>7</v>
      </c>
      <c r="H624" s="21" t="s">
        <v>26</v>
      </c>
      <c r="I624" s="21" t="s">
        <v>27</v>
      </c>
      <c r="J624" s="21" t="s">
        <v>83</v>
      </c>
      <c r="K624" s="25">
        <v>1835</v>
      </c>
      <c r="L624" s="25">
        <v>22020</v>
      </c>
      <c r="M624" s="21">
        <v>3</v>
      </c>
      <c r="N624" s="21">
        <v>1</v>
      </c>
      <c r="O624" s="21">
        <v>0</v>
      </c>
      <c r="P624" s="21">
        <v>50</v>
      </c>
      <c r="Q624" s="21" t="str">
        <f t="shared" ca="1" si="2"/>
        <v>Not Eligible</v>
      </c>
    </row>
    <row r="625" spans="1:17" ht="15.5" x14ac:dyDescent="0.35">
      <c r="A625" s="20">
        <v>624</v>
      </c>
      <c r="B625" s="21" t="s">
        <v>392</v>
      </c>
      <c r="C625" s="21" t="s">
        <v>846</v>
      </c>
      <c r="D625" s="22" t="str">
        <f>_xlfn.TEXTJOIN(" ",TRUE,Employees_Data[[#This Row],[First Name]],Employees_Data[[#This Row],[Last Name]])</f>
        <v>Zahir Aleitar</v>
      </c>
      <c r="E625" s="21" t="s">
        <v>25</v>
      </c>
      <c r="F625" s="23">
        <v>43348</v>
      </c>
      <c r="G625" s="24">
        <f ca="1">DATEDIF(Employees!$F625,TODAY(),"Y")</f>
        <v>8</v>
      </c>
      <c r="H625" s="21" t="s">
        <v>99</v>
      </c>
      <c r="I625" s="21" t="s">
        <v>71</v>
      </c>
      <c r="J625" s="21" t="s">
        <v>29</v>
      </c>
      <c r="K625" s="25">
        <v>2192</v>
      </c>
      <c r="L625" s="25">
        <v>26304</v>
      </c>
      <c r="M625" s="21">
        <v>4.5</v>
      </c>
      <c r="N625" s="21">
        <v>0</v>
      </c>
      <c r="O625" s="21">
        <v>4</v>
      </c>
      <c r="P625" s="21">
        <v>1</v>
      </c>
      <c r="Q625" s="21" t="str">
        <f t="shared" ca="1" si="2"/>
        <v>Not Eligible</v>
      </c>
    </row>
    <row r="626" spans="1:17" ht="15.5" x14ac:dyDescent="0.35">
      <c r="A626" s="20">
        <v>625</v>
      </c>
      <c r="B626" s="21" t="s">
        <v>847</v>
      </c>
      <c r="C626" s="21" t="s">
        <v>848</v>
      </c>
      <c r="D626" s="22" t="str">
        <f>_xlfn.TEXTJOIN(" ",TRUE,Employees_Data[[#This Row],[First Name]],Employees_Data[[#This Row],[Last Name]])</f>
        <v>Fatir Alealiu</v>
      </c>
      <c r="E626" s="21" t="s">
        <v>25</v>
      </c>
      <c r="F626" s="23">
        <v>43641</v>
      </c>
      <c r="G626" s="24">
        <f ca="1">DATEDIF(Employees!$F626,TODAY(),"Y")</f>
        <v>7</v>
      </c>
      <c r="H626" s="21" t="s">
        <v>52</v>
      </c>
      <c r="I626" s="21" t="s">
        <v>27</v>
      </c>
      <c r="J626" s="21" t="s">
        <v>54</v>
      </c>
      <c r="K626" s="25">
        <v>2875</v>
      </c>
      <c r="L626" s="25">
        <v>34500</v>
      </c>
      <c r="M626" s="21">
        <v>3</v>
      </c>
      <c r="N626" s="21">
        <v>0</v>
      </c>
      <c r="O626" s="21">
        <v>0</v>
      </c>
      <c r="P626" s="21">
        <v>4</v>
      </c>
      <c r="Q626" s="21" t="str">
        <f t="shared" ca="1" si="2"/>
        <v>Not Eligible</v>
      </c>
    </row>
    <row r="627" spans="1:17" ht="15.5" x14ac:dyDescent="0.35">
      <c r="A627" s="20">
        <v>626</v>
      </c>
      <c r="B627" s="21" t="s">
        <v>91</v>
      </c>
      <c r="C627" s="21" t="s">
        <v>848</v>
      </c>
      <c r="D627" s="22" t="str">
        <f>_xlfn.TEXTJOIN(" ",TRUE,Employees_Data[[#This Row],[First Name]],Employees_Data[[#This Row],[Last Name]])</f>
        <v>Samir Alealiu</v>
      </c>
      <c r="E627" s="21" t="s">
        <v>25</v>
      </c>
      <c r="F627" s="23">
        <v>43737</v>
      </c>
      <c r="G627" s="24">
        <f ca="1">DATEDIF(Employees!$F627,TODAY(),"Y")</f>
        <v>7</v>
      </c>
      <c r="H627" s="21" t="s">
        <v>81</v>
      </c>
      <c r="I627" s="21" t="s">
        <v>40</v>
      </c>
      <c r="J627" s="21" t="s">
        <v>29</v>
      </c>
      <c r="K627" s="25">
        <v>1332</v>
      </c>
      <c r="L627" s="25">
        <v>15984</v>
      </c>
      <c r="M627" s="21">
        <v>2</v>
      </c>
      <c r="N627" s="21">
        <v>0</v>
      </c>
      <c r="O627" s="21">
        <v>0</v>
      </c>
      <c r="P627" s="21">
        <v>14</v>
      </c>
      <c r="Q627" s="21" t="str">
        <f t="shared" ca="1" si="2"/>
        <v>Not Eligible</v>
      </c>
    </row>
    <row r="628" spans="1:17" ht="15.5" x14ac:dyDescent="0.35">
      <c r="A628" s="20">
        <v>627</v>
      </c>
      <c r="B628" s="21" t="s">
        <v>57</v>
      </c>
      <c r="C628" s="21" t="s">
        <v>849</v>
      </c>
      <c r="D628" s="22" t="str">
        <f>_xlfn.TEXTJOIN(" ",TRUE,Employees_Data[[#This Row],[First Name]],Employees_Data[[#This Row],[Last Name]])</f>
        <v>Muhamad Sulayman</v>
      </c>
      <c r="E628" s="21" t="s">
        <v>25</v>
      </c>
      <c r="F628" s="23">
        <v>43071</v>
      </c>
      <c r="G628" s="24">
        <f ca="1">DATEDIF(Employees!$F628,TODAY(),"Y")</f>
        <v>8</v>
      </c>
      <c r="H628" s="21" t="s">
        <v>73</v>
      </c>
      <c r="I628" s="21" t="s">
        <v>40</v>
      </c>
      <c r="J628" s="21" t="s">
        <v>60</v>
      </c>
      <c r="K628" s="25">
        <v>2023</v>
      </c>
      <c r="L628" s="25">
        <v>24276</v>
      </c>
      <c r="M628" s="21">
        <v>5</v>
      </c>
      <c r="N628" s="21">
        <v>6</v>
      </c>
      <c r="O628" s="21">
        <v>0</v>
      </c>
      <c r="P628" s="21">
        <v>5</v>
      </c>
      <c r="Q628" s="21" t="str">
        <f t="shared" ca="1" si="2"/>
        <v>Not Eligible</v>
      </c>
    </row>
    <row r="629" spans="1:17" ht="15.5" x14ac:dyDescent="0.35">
      <c r="A629" s="20">
        <v>628</v>
      </c>
      <c r="B629" s="21" t="s">
        <v>57</v>
      </c>
      <c r="C629" s="21" t="s">
        <v>850</v>
      </c>
      <c r="D629" s="22" t="str">
        <f>_xlfn.TEXTJOIN(" ",TRUE,Employees_Data[[#This Row],[First Name]],Employees_Data[[#This Row],[Last Name]])</f>
        <v>Muhamad Suqabani</v>
      </c>
      <c r="E629" s="21" t="s">
        <v>25</v>
      </c>
      <c r="F629" s="23">
        <v>44156</v>
      </c>
      <c r="G629" s="24">
        <f ca="1">DATEDIF(Employees!$F629,TODAY(),"Y")</f>
        <v>5</v>
      </c>
      <c r="H629" s="21" t="s">
        <v>99</v>
      </c>
      <c r="I629" s="21" t="s">
        <v>27</v>
      </c>
      <c r="J629" s="21" t="s">
        <v>575</v>
      </c>
      <c r="K629" s="25">
        <v>2094</v>
      </c>
      <c r="L629" s="25">
        <v>25128</v>
      </c>
      <c r="M629" s="21">
        <v>4.5</v>
      </c>
      <c r="N629" s="21">
        <v>6</v>
      </c>
      <c r="O629" s="21">
        <v>5</v>
      </c>
      <c r="P629" s="21">
        <v>2</v>
      </c>
      <c r="Q629" s="21" t="str">
        <f t="shared" ca="1" si="2"/>
        <v>Not Eligible</v>
      </c>
    </row>
    <row r="630" spans="1:17" ht="15.5" x14ac:dyDescent="0.35">
      <c r="A630" s="20">
        <v>629</v>
      </c>
      <c r="B630" s="21" t="s">
        <v>57</v>
      </c>
      <c r="C630" s="21" t="s">
        <v>851</v>
      </c>
      <c r="D630" s="22" t="str">
        <f>_xlfn.TEXTJOIN(" ",TRUE,Employees_Data[[#This Row],[First Name]],Employees_Data[[#This Row],[Last Name]])</f>
        <v>Muhamad Aldubbas</v>
      </c>
      <c r="E630" s="21" t="s">
        <v>25</v>
      </c>
      <c r="F630" s="23">
        <v>43617</v>
      </c>
      <c r="G630" s="24">
        <f ca="1">DATEDIF(Employees!$F630,TODAY(),"Y")</f>
        <v>7</v>
      </c>
      <c r="H630" s="21" t="s">
        <v>68</v>
      </c>
      <c r="I630" s="21" t="s">
        <v>40</v>
      </c>
      <c r="J630" s="21" t="s">
        <v>60</v>
      </c>
      <c r="K630" s="25">
        <v>3006</v>
      </c>
      <c r="L630" s="25">
        <v>36072</v>
      </c>
      <c r="M630" s="21">
        <v>4.5</v>
      </c>
      <c r="N630" s="21">
        <v>0</v>
      </c>
      <c r="O630" s="21">
        <v>3</v>
      </c>
      <c r="P630" s="21">
        <v>7</v>
      </c>
      <c r="Q630" s="21" t="str">
        <f t="shared" ca="1" si="2"/>
        <v>Not Eligible</v>
      </c>
    </row>
    <row r="631" spans="1:17" ht="15.5" x14ac:dyDescent="0.35">
      <c r="A631" s="20">
        <v>630</v>
      </c>
      <c r="B631" s="21" t="s">
        <v>852</v>
      </c>
      <c r="C631" s="21" t="s">
        <v>853</v>
      </c>
      <c r="D631" s="22" t="str">
        <f>_xlfn.TEXTJOIN(" ",TRUE,Employees_Data[[#This Row],[First Name]],Employees_Data[[#This Row],[Last Name]])</f>
        <v>Hamzaa Astitih</v>
      </c>
      <c r="E631" s="21" t="s">
        <v>25</v>
      </c>
      <c r="F631" s="23">
        <v>43795</v>
      </c>
      <c r="G631" s="24">
        <f ca="1">DATEDIF(Employees!$F631,TODAY(),"Y")</f>
        <v>6</v>
      </c>
      <c r="H631" s="21" t="s">
        <v>52</v>
      </c>
      <c r="I631" s="21" t="s">
        <v>53</v>
      </c>
      <c r="J631" s="21" t="s">
        <v>54</v>
      </c>
      <c r="K631" s="25">
        <v>2717</v>
      </c>
      <c r="L631" s="25">
        <v>32604</v>
      </c>
      <c r="M631" s="21">
        <v>5</v>
      </c>
      <c r="N631" s="21">
        <v>0</v>
      </c>
      <c r="O631" s="21">
        <v>0</v>
      </c>
      <c r="P631" s="21">
        <v>7</v>
      </c>
      <c r="Q631" s="21" t="str">
        <f t="shared" ca="1" si="2"/>
        <v>Not Eligible</v>
      </c>
    </row>
    <row r="632" spans="1:17" ht="15.5" x14ac:dyDescent="0.35">
      <c r="A632" s="20">
        <v>631</v>
      </c>
      <c r="B632" s="21" t="s">
        <v>849</v>
      </c>
      <c r="C632" s="21" t="s">
        <v>854</v>
      </c>
      <c r="D632" s="22" t="str">
        <f>_xlfn.TEXTJOIN(" ",TRUE,Employees_Data[[#This Row],[First Name]],Employees_Data[[#This Row],[Last Name]])</f>
        <v>Sulayman Zinu</v>
      </c>
      <c r="E632" s="21" t="s">
        <v>25</v>
      </c>
      <c r="F632" s="23">
        <v>43326</v>
      </c>
      <c r="G632" s="24">
        <f ca="1">DATEDIF(Employees!$F632,TODAY(),"Y")</f>
        <v>8</v>
      </c>
      <c r="H632" s="21" t="s">
        <v>98</v>
      </c>
      <c r="I632" s="21" t="s">
        <v>53</v>
      </c>
      <c r="J632" s="21" t="s">
        <v>54</v>
      </c>
      <c r="K632" s="25">
        <v>3135</v>
      </c>
      <c r="L632" s="25">
        <v>37620</v>
      </c>
      <c r="M632" s="21">
        <v>3</v>
      </c>
      <c r="N632" s="21">
        <v>1</v>
      </c>
      <c r="O632" s="21">
        <v>0</v>
      </c>
      <c r="P632" s="21">
        <v>5</v>
      </c>
      <c r="Q632" s="21" t="str">
        <f t="shared" ca="1" si="2"/>
        <v>Not Eligible</v>
      </c>
    </row>
    <row r="633" spans="1:17" ht="15.5" x14ac:dyDescent="0.35">
      <c r="A633" s="20">
        <v>632</v>
      </c>
      <c r="B633" s="21" t="s">
        <v>82</v>
      </c>
      <c r="C633" s="21" t="s">
        <v>69</v>
      </c>
      <c r="D633" s="22" t="str">
        <f>_xlfn.TEXTJOIN(" ",TRUE,Employees_Data[[#This Row],[First Name]],Employees_Data[[#This Row],[Last Name]])</f>
        <v>Alaa Alrifaei</v>
      </c>
      <c r="E633" s="21" t="s">
        <v>44</v>
      </c>
      <c r="F633" s="23">
        <v>43776</v>
      </c>
      <c r="G633" s="24">
        <f ca="1">DATEDIF(Employees!$F633,TODAY(),"Y")</f>
        <v>6</v>
      </c>
      <c r="H633" s="21" t="s">
        <v>65</v>
      </c>
      <c r="I633" s="21" t="s">
        <v>53</v>
      </c>
      <c r="J633" s="21" t="s">
        <v>60</v>
      </c>
      <c r="K633" s="25">
        <v>2334</v>
      </c>
      <c r="L633" s="25">
        <v>28008</v>
      </c>
      <c r="M633" s="21">
        <v>1</v>
      </c>
      <c r="N633" s="21">
        <v>2</v>
      </c>
      <c r="O633" s="21">
        <v>0</v>
      </c>
      <c r="P633" s="21">
        <v>2</v>
      </c>
      <c r="Q633" s="21" t="str">
        <f t="shared" ca="1" si="2"/>
        <v>Not Eligible</v>
      </c>
    </row>
    <row r="634" spans="1:17" ht="15.5" x14ac:dyDescent="0.35">
      <c r="A634" s="20">
        <v>633</v>
      </c>
      <c r="B634" s="21" t="s">
        <v>193</v>
      </c>
      <c r="C634" s="21" t="s">
        <v>69</v>
      </c>
      <c r="D634" s="22" t="str">
        <f>_xlfn.TEXTJOIN(" ",TRUE,Employees_Data[[#This Row],[First Name]],Employees_Data[[#This Row],[Last Name]])</f>
        <v>Rasha Alrifaei</v>
      </c>
      <c r="E634" s="21" t="s">
        <v>44</v>
      </c>
      <c r="F634" s="23">
        <v>43487</v>
      </c>
      <c r="G634" s="24">
        <f ca="1">DATEDIF(Employees!$F634,TODAY(),"Y")</f>
        <v>7</v>
      </c>
      <c r="H634" s="21" t="s">
        <v>65</v>
      </c>
      <c r="I634" s="21" t="s">
        <v>27</v>
      </c>
      <c r="J634" s="21" t="s">
        <v>60</v>
      </c>
      <c r="K634" s="25">
        <v>1661</v>
      </c>
      <c r="L634" s="25">
        <v>19932</v>
      </c>
      <c r="M634" s="21">
        <v>5</v>
      </c>
      <c r="N634" s="21">
        <v>4</v>
      </c>
      <c r="O634" s="21">
        <v>0</v>
      </c>
      <c r="P634" s="21">
        <v>9</v>
      </c>
      <c r="Q634" s="21" t="str">
        <f t="shared" ca="1" si="2"/>
        <v>Not Eligible</v>
      </c>
    </row>
    <row r="635" spans="1:17" ht="15.5" x14ac:dyDescent="0.35">
      <c r="A635" s="20">
        <v>634</v>
      </c>
      <c r="B635" s="21" t="s">
        <v>79</v>
      </c>
      <c r="C635" s="21" t="s">
        <v>855</v>
      </c>
      <c r="D635" s="22" t="str">
        <f>_xlfn.TEXTJOIN(" ",TRUE,Employees_Data[[#This Row],[First Name]],Employees_Data[[#This Row],[Last Name]])</f>
        <v>Bayan Darbika</v>
      </c>
      <c r="E635" s="21" t="s">
        <v>44</v>
      </c>
      <c r="F635" s="23">
        <v>43595</v>
      </c>
      <c r="G635" s="24">
        <f ca="1">DATEDIF(Employees!$F635,TODAY(),"Y")</f>
        <v>7</v>
      </c>
      <c r="H635" s="21" t="s">
        <v>372</v>
      </c>
      <c r="I635" s="21" t="s">
        <v>27</v>
      </c>
      <c r="J635" s="21" t="s">
        <v>575</v>
      </c>
      <c r="K635" s="25">
        <v>1230</v>
      </c>
      <c r="L635" s="25">
        <v>14760</v>
      </c>
      <c r="M635" s="21">
        <v>5</v>
      </c>
      <c r="N635" s="21">
        <v>0</v>
      </c>
      <c r="O635" s="21">
        <v>6</v>
      </c>
      <c r="P635" s="21">
        <v>5</v>
      </c>
      <c r="Q635" s="21" t="str">
        <f t="shared" ca="1" si="2"/>
        <v>Not Eligible</v>
      </c>
    </row>
    <row r="636" spans="1:17" ht="15.5" x14ac:dyDescent="0.35">
      <c r="A636" s="20">
        <v>635</v>
      </c>
      <c r="B636" s="21" t="s">
        <v>61</v>
      </c>
      <c r="C636" s="21" t="s">
        <v>278</v>
      </c>
      <c r="D636" s="22" t="str">
        <f>_xlfn.TEXTJOIN(" ",TRUE,Employees_Data[[#This Row],[First Name]],Employees_Data[[#This Row],[Last Name]])</f>
        <v>Iin Almunzilijiu</v>
      </c>
      <c r="E636" s="21" t="s">
        <v>44</v>
      </c>
      <c r="F636" s="23">
        <v>42434</v>
      </c>
      <c r="G636" s="24">
        <f ca="1">DATEDIF(Employees!$F636,TODAY(),"Y")</f>
        <v>10</v>
      </c>
      <c r="H636" s="21" t="s">
        <v>63</v>
      </c>
      <c r="I636" s="21" t="s">
        <v>40</v>
      </c>
      <c r="J636" s="21" t="s">
        <v>54</v>
      </c>
      <c r="K636" s="25">
        <v>1483</v>
      </c>
      <c r="L636" s="25">
        <v>17796</v>
      </c>
      <c r="M636" s="21">
        <v>5</v>
      </c>
      <c r="N636" s="21">
        <v>0</v>
      </c>
      <c r="O636" s="21">
        <v>2</v>
      </c>
      <c r="P636" s="21">
        <v>8</v>
      </c>
      <c r="Q636" s="21" t="str">
        <f t="shared" ca="1" si="2"/>
        <v>Not Eligible</v>
      </c>
    </row>
    <row r="637" spans="1:17" ht="15.5" x14ac:dyDescent="0.35">
      <c r="A637" s="20">
        <v>636</v>
      </c>
      <c r="B637" s="21" t="s">
        <v>146</v>
      </c>
      <c r="C637" s="21" t="s">
        <v>856</v>
      </c>
      <c r="D637" s="22" t="str">
        <f>_xlfn.TEXTJOIN(" ",TRUE,Employees_Data[[#This Row],[First Name]],Employees_Data[[#This Row],[Last Name]])</f>
        <v>Abd Alwahhab Aldhiyab</v>
      </c>
      <c r="E637" s="21" t="s">
        <v>25</v>
      </c>
      <c r="F637" s="23">
        <v>43614</v>
      </c>
      <c r="G637" s="24">
        <f ca="1">DATEDIF(Employees!$F637,TODAY(),"Y")</f>
        <v>7</v>
      </c>
      <c r="H637" s="21" t="s">
        <v>26</v>
      </c>
      <c r="I637" s="21" t="s">
        <v>53</v>
      </c>
      <c r="J637" s="21" t="s">
        <v>60</v>
      </c>
      <c r="K637" s="25">
        <v>2462</v>
      </c>
      <c r="L637" s="25">
        <v>29544</v>
      </c>
      <c r="M637" s="21">
        <v>3</v>
      </c>
      <c r="N637" s="21">
        <v>6</v>
      </c>
      <c r="O637" s="21">
        <v>3</v>
      </c>
      <c r="P637" s="21">
        <v>2</v>
      </c>
      <c r="Q637" s="21" t="str">
        <f t="shared" ca="1" si="2"/>
        <v>Not Eligible</v>
      </c>
    </row>
    <row r="638" spans="1:17" ht="15.5" x14ac:dyDescent="0.35">
      <c r="A638" s="20">
        <v>637</v>
      </c>
      <c r="B638" s="21" t="s">
        <v>735</v>
      </c>
      <c r="C638" s="21" t="s">
        <v>857</v>
      </c>
      <c r="D638" s="22" t="str">
        <f>_xlfn.TEXTJOIN(" ",TRUE,Employees_Data[[#This Row],[First Name]],Employees_Data[[#This Row],[Last Name]])</f>
        <v>Hanan Salahi</v>
      </c>
      <c r="E638" s="21" t="s">
        <v>44</v>
      </c>
      <c r="F638" s="23">
        <v>44194</v>
      </c>
      <c r="G638" s="24">
        <f ca="1">DATEDIF(Employees!$F638,TODAY(),"Y")</f>
        <v>5</v>
      </c>
      <c r="H638" s="21" t="s">
        <v>99</v>
      </c>
      <c r="I638" s="21" t="s">
        <v>27</v>
      </c>
      <c r="J638" s="21" t="s">
        <v>575</v>
      </c>
      <c r="K638" s="25">
        <v>2180</v>
      </c>
      <c r="L638" s="25">
        <v>26160</v>
      </c>
      <c r="M638" s="21">
        <v>5</v>
      </c>
      <c r="N638" s="21">
        <v>3</v>
      </c>
      <c r="O638" s="21">
        <v>0</v>
      </c>
      <c r="P638" s="21">
        <v>0</v>
      </c>
      <c r="Q638" s="21" t="str">
        <f t="shared" ca="1" si="2"/>
        <v>Not Eligible</v>
      </c>
    </row>
    <row r="639" spans="1:17" ht="15.5" x14ac:dyDescent="0.35">
      <c r="A639" s="20">
        <v>638</v>
      </c>
      <c r="B639" s="21" t="s">
        <v>233</v>
      </c>
      <c r="C639" s="21" t="s">
        <v>858</v>
      </c>
      <c r="D639" s="22" t="str">
        <f>_xlfn.TEXTJOIN(" ",TRUE,Employees_Data[[#This Row],[First Name]],Employees_Data[[#This Row],[Last Name]])</f>
        <v>Mari Ayuwb</v>
      </c>
      <c r="E639" s="21" t="s">
        <v>44</v>
      </c>
      <c r="F639" s="23">
        <v>42576</v>
      </c>
      <c r="G639" s="24">
        <f ca="1">DATEDIF(Employees!$F639,TODAY(),"Y")</f>
        <v>10</v>
      </c>
      <c r="H639" s="21" t="s">
        <v>140</v>
      </c>
      <c r="I639" s="21" t="s">
        <v>27</v>
      </c>
      <c r="J639" s="21" t="s">
        <v>60</v>
      </c>
      <c r="K639" s="25">
        <v>943</v>
      </c>
      <c r="L639" s="25">
        <v>11316</v>
      </c>
      <c r="M639" s="21">
        <v>5</v>
      </c>
      <c r="N639" s="21">
        <v>0</v>
      </c>
      <c r="O639" s="21">
        <v>4</v>
      </c>
      <c r="P639" s="21">
        <v>7</v>
      </c>
      <c r="Q639" s="21" t="str">
        <f t="shared" ca="1" si="2"/>
        <v>Not Eligible</v>
      </c>
    </row>
    <row r="640" spans="1:17" ht="15.5" x14ac:dyDescent="0.35">
      <c r="A640" s="20">
        <v>639</v>
      </c>
      <c r="B640" s="21" t="s">
        <v>36</v>
      </c>
      <c r="C640" s="21" t="s">
        <v>859</v>
      </c>
      <c r="D640" s="22" t="str">
        <f>_xlfn.TEXTJOIN(" ",TRUE,Employees_Data[[#This Row],[First Name]],Employees_Data[[#This Row],[Last Name]])</f>
        <v>Omar Shawqi</v>
      </c>
      <c r="E640" s="21" t="s">
        <v>25</v>
      </c>
      <c r="F640" s="23">
        <v>43688</v>
      </c>
      <c r="G640" s="24">
        <f ca="1">DATEDIF(Employees!$F640,TODAY(),"Y")</f>
        <v>7</v>
      </c>
      <c r="H640" s="21" t="s">
        <v>47</v>
      </c>
      <c r="I640" s="21" t="s">
        <v>27</v>
      </c>
      <c r="J640" s="21" t="s">
        <v>54</v>
      </c>
      <c r="K640" s="25">
        <v>2489</v>
      </c>
      <c r="L640" s="25">
        <v>29868</v>
      </c>
      <c r="M640" s="21">
        <v>3</v>
      </c>
      <c r="N640" s="21">
        <v>6</v>
      </c>
      <c r="O640" s="21">
        <v>0</v>
      </c>
      <c r="P640" s="21">
        <v>3</v>
      </c>
      <c r="Q640" s="21" t="str">
        <f t="shared" ca="1" si="2"/>
        <v>Not Eligible</v>
      </c>
    </row>
    <row r="641" spans="1:17" ht="15.5" x14ac:dyDescent="0.35">
      <c r="A641" s="20">
        <v>640</v>
      </c>
      <c r="B641" s="21" t="s">
        <v>216</v>
      </c>
      <c r="C641" s="21" t="s">
        <v>860</v>
      </c>
      <c r="D641" s="22" t="str">
        <f>_xlfn.TEXTJOIN(" ",TRUE,Employees_Data[[#This Row],[First Name]],Employees_Data[[#This Row],[Last Name]])</f>
        <v>Tariq Aldhahabi</v>
      </c>
      <c r="E641" s="21" t="s">
        <v>25</v>
      </c>
      <c r="F641" s="23">
        <v>43781</v>
      </c>
      <c r="G641" s="24">
        <f ca="1">DATEDIF(Employees!$F641,TODAY(),"Y")</f>
        <v>6</v>
      </c>
      <c r="H641" s="21" t="s">
        <v>59</v>
      </c>
      <c r="I641" s="21" t="s">
        <v>27</v>
      </c>
      <c r="J641" s="21" t="s">
        <v>83</v>
      </c>
      <c r="K641" s="25">
        <v>2279</v>
      </c>
      <c r="L641" s="25">
        <v>27348</v>
      </c>
      <c r="M641" s="21">
        <v>5</v>
      </c>
      <c r="N641" s="21">
        <v>0</v>
      </c>
      <c r="O641" s="21">
        <v>0</v>
      </c>
      <c r="P641" s="21">
        <v>4</v>
      </c>
      <c r="Q641" s="21" t="str">
        <f t="shared" ca="1" si="2"/>
        <v>Not Eligible</v>
      </c>
    </row>
    <row r="642" spans="1:17" ht="15.5" x14ac:dyDescent="0.35">
      <c r="A642" s="20">
        <v>641</v>
      </c>
      <c r="B642" s="21" t="s">
        <v>668</v>
      </c>
      <c r="C642" s="21" t="s">
        <v>644</v>
      </c>
      <c r="D642" s="22" t="str">
        <f>_xlfn.TEXTJOIN(" ",TRUE,Employees_Data[[#This Row],[First Name]],Employees_Data[[#This Row],[Last Name]])</f>
        <v>Rama Asead</v>
      </c>
      <c r="E642" s="21" t="s">
        <v>44</v>
      </c>
      <c r="F642" s="23">
        <v>43479</v>
      </c>
      <c r="G642" s="24">
        <f ca="1">DATEDIF(Employees!$F642,TODAY(),"Y")</f>
        <v>7</v>
      </c>
      <c r="H642" s="21" t="s">
        <v>99</v>
      </c>
      <c r="I642" s="21" t="s">
        <v>40</v>
      </c>
      <c r="J642" s="21" t="s">
        <v>54</v>
      </c>
      <c r="K642" s="25">
        <v>840</v>
      </c>
      <c r="L642" s="25">
        <v>10080</v>
      </c>
      <c r="M642" s="21">
        <v>3</v>
      </c>
      <c r="N642" s="21">
        <v>4</v>
      </c>
      <c r="O642" s="21">
        <v>0</v>
      </c>
      <c r="P642" s="21">
        <v>10</v>
      </c>
      <c r="Q642" s="21" t="str">
        <f t="shared" ca="1" si="2"/>
        <v>Not Eligible</v>
      </c>
    </row>
    <row r="643" spans="1:17" ht="15.5" x14ac:dyDescent="0.35">
      <c r="A643" s="20">
        <v>642</v>
      </c>
      <c r="B643" s="21" t="s">
        <v>861</v>
      </c>
      <c r="C643" s="21" t="s">
        <v>304</v>
      </c>
      <c r="D643" s="22" t="str">
        <f>_xlfn.TEXTJOIN(" ",TRUE,Employees_Data[[#This Row],[First Name]],Employees_Data[[#This Row],[Last Name]])</f>
        <v>Ghayth Eali</v>
      </c>
      <c r="E643" s="21" t="s">
        <v>25</v>
      </c>
      <c r="F643" s="23">
        <v>43511</v>
      </c>
      <c r="G643" s="24">
        <f ca="1">DATEDIF(Employees!$F643,TODAY(),"Y")</f>
        <v>7</v>
      </c>
      <c r="H643" s="21" t="s">
        <v>26</v>
      </c>
      <c r="I643" s="21" t="s">
        <v>27</v>
      </c>
      <c r="J643" s="21" t="s">
        <v>60</v>
      </c>
      <c r="K643" s="25">
        <v>1601</v>
      </c>
      <c r="L643" s="25">
        <v>19212</v>
      </c>
      <c r="M643" s="21">
        <v>5</v>
      </c>
      <c r="N643" s="21">
        <v>0</v>
      </c>
      <c r="O643" s="21">
        <v>0</v>
      </c>
      <c r="P643" s="21">
        <v>3</v>
      </c>
      <c r="Q643" s="21" t="str">
        <f t="shared" ca="1" si="2"/>
        <v>Not Eligible</v>
      </c>
    </row>
    <row r="644" spans="1:17" ht="15.5" x14ac:dyDescent="0.35">
      <c r="A644" s="20">
        <v>643</v>
      </c>
      <c r="B644" s="21" t="s">
        <v>240</v>
      </c>
      <c r="C644" s="21" t="s">
        <v>635</v>
      </c>
      <c r="D644" s="22" t="str">
        <f>_xlfn.TEXTJOIN(" ",TRUE,Employees_Data[[#This Row],[First Name]],Employees_Data[[#This Row],[Last Name]])</f>
        <v>Mahir Eabuwd</v>
      </c>
      <c r="E644" s="21" t="s">
        <v>25</v>
      </c>
      <c r="F644" s="23">
        <v>43218</v>
      </c>
      <c r="G644" s="24">
        <f ca="1">DATEDIF(Employees!$F644,TODAY(),"Y")</f>
        <v>8</v>
      </c>
      <c r="H644" s="21" t="s">
        <v>65</v>
      </c>
      <c r="I644" s="21" t="s">
        <v>27</v>
      </c>
      <c r="J644" s="21" t="s">
        <v>60</v>
      </c>
      <c r="K644" s="25">
        <v>1414</v>
      </c>
      <c r="L644" s="25">
        <v>16968</v>
      </c>
      <c r="M644" s="21">
        <v>5</v>
      </c>
      <c r="N644" s="21">
        <v>4</v>
      </c>
      <c r="O644" s="21">
        <v>0</v>
      </c>
      <c r="P644" s="21">
        <v>10</v>
      </c>
      <c r="Q644" s="21" t="str">
        <f t="shared" ca="1" si="2"/>
        <v>Not Eligible</v>
      </c>
    </row>
    <row r="645" spans="1:17" ht="15.5" x14ac:dyDescent="0.35">
      <c r="A645" s="20">
        <v>644</v>
      </c>
      <c r="B645" s="21" t="s">
        <v>173</v>
      </c>
      <c r="C645" s="21" t="s">
        <v>862</v>
      </c>
      <c r="D645" s="22" t="str">
        <f>_xlfn.TEXTJOIN(" ",TRUE,Employees_Data[[#This Row],[First Name]],Employees_Data[[#This Row],[Last Name]])</f>
        <v>Muwmin Almujahid</v>
      </c>
      <c r="E645" s="21" t="s">
        <v>25</v>
      </c>
      <c r="F645" s="23">
        <v>43915</v>
      </c>
      <c r="G645" s="24">
        <f ca="1">DATEDIF(Employees!$F645,TODAY(),"Y")</f>
        <v>6</v>
      </c>
      <c r="H645" s="21" t="s">
        <v>73</v>
      </c>
      <c r="I645" s="21" t="s">
        <v>53</v>
      </c>
      <c r="J645" s="21" t="s">
        <v>60</v>
      </c>
      <c r="K645" s="25">
        <v>905</v>
      </c>
      <c r="L645" s="25">
        <v>10860</v>
      </c>
      <c r="M645" s="21">
        <v>3</v>
      </c>
      <c r="N645" s="21">
        <v>0</v>
      </c>
      <c r="O645" s="21">
        <v>0</v>
      </c>
      <c r="P645" s="21">
        <v>8</v>
      </c>
      <c r="Q645" s="21" t="str">
        <f t="shared" ca="1" si="2"/>
        <v>Not Eligible</v>
      </c>
    </row>
    <row r="646" spans="1:17" ht="15.5" x14ac:dyDescent="0.35">
      <c r="A646" s="20">
        <v>645</v>
      </c>
      <c r="B646" s="21" t="s">
        <v>863</v>
      </c>
      <c r="C646" s="21" t="s">
        <v>342</v>
      </c>
      <c r="D646" s="22" t="str">
        <f>_xlfn.TEXTJOIN(" ",TRUE,Employees_Data[[#This Row],[First Name]],Employees_Data[[#This Row],[Last Name]])</f>
        <v>Dima Drwysh</v>
      </c>
      <c r="E646" s="21" t="s">
        <v>44</v>
      </c>
      <c r="F646" s="23">
        <v>43894</v>
      </c>
      <c r="G646" s="24">
        <f ca="1">DATEDIF(Employees!$F646,TODAY(),"Y")</f>
        <v>6</v>
      </c>
      <c r="H646" s="21" t="s">
        <v>76</v>
      </c>
      <c r="I646" s="21" t="s">
        <v>53</v>
      </c>
      <c r="J646" s="21" t="s">
        <v>60</v>
      </c>
      <c r="K646" s="25">
        <v>2525</v>
      </c>
      <c r="L646" s="25">
        <v>30300</v>
      </c>
      <c r="M646" s="21">
        <v>3</v>
      </c>
      <c r="N646" s="21">
        <v>0</v>
      </c>
      <c r="O646" s="21">
        <v>0</v>
      </c>
      <c r="P646" s="21">
        <v>10</v>
      </c>
      <c r="Q646" s="21" t="str">
        <f t="shared" ca="1" si="2"/>
        <v>Not Eligible</v>
      </c>
    </row>
    <row r="647" spans="1:17" ht="15.5" x14ac:dyDescent="0.35">
      <c r="A647" s="20">
        <v>646</v>
      </c>
      <c r="B647" s="21" t="s">
        <v>57</v>
      </c>
      <c r="C647" s="21" t="s">
        <v>186</v>
      </c>
      <c r="D647" s="22" t="str">
        <f>_xlfn.TEXTJOIN(" ",TRUE,Employees_Data[[#This Row],[First Name]],Employees_Data[[#This Row],[Last Name]])</f>
        <v>Muhamad Khalid</v>
      </c>
      <c r="E647" s="21" t="s">
        <v>25</v>
      </c>
      <c r="F647" s="23">
        <v>43245</v>
      </c>
      <c r="G647" s="24">
        <f ca="1">DATEDIF(Employees!$F647,TODAY(),"Y")</f>
        <v>8</v>
      </c>
      <c r="H647" s="21" t="s">
        <v>63</v>
      </c>
      <c r="I647" s="21" t="s">
        <v>27</v>
      </c>
      <c r="J647" s="21" t="s">
        <v>60</v>
      </c>
      <c r="K647" s="25">
        <v>1412</v>
      </c>
      <c r="L647" s="25">
        <v>16944</v>
      </c>
      <c r="M647" s="21">
        <v>2</v>
      </c>
      <c r="N647" s="21">
        <v>0</v>
      </c>
      <c r="O647" s="21">
        <v>0</v>
      </c>
      <c r="P647" s="21">
        <v>7</v>
      </c>
      <c r="Q647" s="21" t="str">
        <f t="shared" ca="1" si="2"/>
        <v>Not Eligible</v>
      </c>
    </row>
    <row r="648" spans="1:17" ht="15.5" x14ac:dyDescent="0.35">
      <c r="A648" s="20">
        <v>647</v>
      </c>
      <c r="B648" s="21" t="s">
        <v>346</v>
      </c>
      <c r="C648" s="21" t="s">
        <v>864</v>
      </c>
      <c r="D648" s="22" t="str">
        <f>_xlfn.TEXTJOIN(" ",TRUE,Employees_Data[[#This Row],[First Name]],Employees_Data[[#This Row],[Last Name]])</f>
        <v>Diea Filyun</v>
      </c>
      <c r="E648" s="21" t="s">
        <v>25</v>
      </c>
      <c r="F648" s="23">
        <v>43834</v>
      </c>
      <c r="G648" s="24">
        <f ca="1">DATEDIF(Employees!$F648,TODAY(),"Y")</f>
        <v>6</v>
      </c>
      <c r="H648" s="21" t="s">
        <v>52</v>
      </c>
      <c r="I648" s="21" t="s">
        <v>71</v>
      </c>
      <c r="J648" s="21" t="s">
        <v>54</v>
      </c>
      <c r="K648" s="25">
        <v>2397</v>
      </c>
      <c r="L648" s="25">
        <v>28764</v>
      </c>
      <c r="M648" s="21">
        <v>3</v>
      </c>
      <c r="N648" s="21">
        <v>0</v>
      </c>
      <c r="O648" s="21">
        <v>0</v>
      </c>
      <c r="P648" s="21">
        <v>100</v>
      </c>
      <c r="Q648" s="21" t="str">
        <f t="shared" ca="1" si="2"/>
        <v>Eligible</v>
      </c>
    </row>
    <row r="649" spans="1:17" ht="15.5" x14ac:dyDescent="0.35">
      <c r="A649" s="20">
        <v>648</v>
      </c>
      <c r="B649" s="21" t="s">
        <v>57</v>
      </c>
      <c r="C649" s="21" t="s">
        <v>865</v>
      </c>
      <c r="D649" s="22" t="str">
        <f>_xlfn.TEXTJOIN(" ",TRUE,Employees_Data[[#This Row],[First Name]],Employees_Data[[#This Row],[Last Name]])</f>
        <v>Muhamad Tasbihji</v>
      </c>
      <c r="E649" s="21" t="s">
        <v>25</v>
      </c>
      <c r="F649" s="23">
        <v>44055</v>
      </c>
      <c r="G649" s="24">
        <f ca="1">DATEDIF(Employees!$F649,TODAY(),"Y")</f>
        <v>6</v>
      </c>
      <c r="H649" s="21" t="s">
        <v>65</v>
      </c>
      <c r="I649" s="21" t="s">
        <v>27</v>
      </c>
      <c r="J649" s="21" t="s">
        <v>60</v>
      </c>
      <c r="K649" s="25">
        <v>1153</v>
      </c>
      <c r="L649" s="25">
        <v>13836</v>
      </c>
      <c r="M649" s="21">
        <v>4.5</v>
      </c>
      <c r="N649" s="21">
        <v>0</v>
      </c>
      <c r="O649" s="21">
        <v>2</v>
      </c>
      <c r="P649" s="21">
        <v>10</v>
      </c>
      <c r="Q649" s="21" t="str">
        <f t="shared" ca="1" si="2"/>
        <v>Not Eligible</v>
      </c>
    </row>
    <row r="650" spans="1:17" ht="15.5" x14ac:dyDescent="0.35">
      <c r="A650" s="20">
        <v>649</v>
      </c>
      <c r="B650" s="21" t="s">
        <v>191</v>
      </c>
      <c r="C650" s="21" t="s">
        <v>866</v>
      </c>
      <c r="D650" s="22" t="str">
        <f>_xlfn.TEXTJOIN(" ",TRUE,Employees_Data[[#This Row],[First Name]],Employees_Data[[#This Row],[Last Name]])</f>
        <v>Mazin Shumut</v>
      </c>
      <c r="E650" s="21" t="s">
        <v>25</v>
      </c>
      <c r="F650" s="23">
        <v>42952</v>
      </c>
      <c r="G650" s="24">
        <f ca="1">DATEDIF(Employees!$F650,TODAY(),"Y")</f>
        <v>9</v>
      </c>
      <c r="H650" s="21" t="s">
        <v>65</v>
      </c>
      <c r="I650" s="21" t="s">
        <v>27</v>
      </c>
      <c r="J650" s="21" t="s">
        <v>60</v>
      </c>
      <c r="K650" s="25">
        <v>2091</v>
      </c>
      <c r="L650" s="25">
        <v>25092</v>
      </c>
      <c r="M650" s="21">
        <v>2</v>
      </c>
      <c r="N650" s="21">
        <v>0</v>
      </c>
      <c r="O650" s="21">
        <v>0</v>
      </c>
      <c r="P650" s="21">
        <v>6</v>
      </c>
      <c r="Q650" s="21" t="str">
        <f t="shared" ca="1" si="2"/>
        <v>Not Eligible</v>
      </c>
    </row>
    <row r="651" spans="1:17" ht="15.5" x14ac:dyDescent="0.35">
      <c r="A651" s="20">
        <v>650</v>
      </c>
      <c r="B651" s="21" t="s">
        <v>36</v>
      </c>
      <c r="C651" s="21" t="s">
        <v>867</v>
      </c>
      <c r="D651" s="22" t="str">
        <f>_xlfn.TEXTJOIN(" ",TRUE,Employees_Data[[#This Row],[First Name]],Employees_Data[[#This Row],[Last Name]])</f>
        <v>Omar Zaqzuq</v>
      </c>
      <c r="E651" s="21" t="s">
        <v>25</v>
      </c>
      <c r="F651" s="23">
        <v>44011</v>
      </c>
      <c r="G651" s="24">
        <f ca="1">DATEDIF(Employees!$F651,TODAY(),"Y")</f>
        <v>6</v>
      </c>
      <c r="H651" s="21" t="s">
        <v>52</v>
      </c>
      <c r="I651" s="21" t="s">
        <v>53</v>
      </c>
      <c r="J651" s="21" t="s">
        <v>29</v>
      </c>
      <c r="K651" s="25">
        <v>1444</v>
      </c>
      <c r="L651" s="25">
        <v>17328</v>
      </c>
      <c r="M651" s="21">
        <v>5</v>
      </c>
      <c r="N651" s="21">
        <v>3</v>
      </c>
      <c r="O651" s="21">
        <v>0</v>
      </c>
      <c r="P651" s="21">
        <v>7</v>
      </c>
      <c r="Q651" s="21" t="str">
        <f t="shared" ca="1" si="2"/>
        <v>Not Eligible</v>
      </c>
    </row>
    <row r="652" spans="1:17" ht="15.5" x14ac:dyDescent="0.35">
      <c r="A652" s="20">
        <v>651</v>
      </c>
      <c r="B652" s="21" t="s">
        <v>868</v>
      </c>
      <c r="C652" s="21" t="s">
        <v>869</v>
      </c>
      <c r="D652" s="22" t="str">
        <f>_xlfn.TEXTJOIN(" ",TRUE,Employees_Data[[#This Row],[First Name]],Employees_Data[[#This Row],[Last Name]])</f>
        <v>Yasmin Eamir</v>
      </c>
      <c r="E652" s="21" t="s">
        <v>44</v>
      </c>
      <c r="F652" s="23">
        <v>42795</v>
      </c>
      <c r="G652" s="24">
        <f ca="1">DATEDIF(Employees!$F652,TODAY(),"Y")</f>
        <v>9</v>
      </c>
      <c r="H652" s="21" t="s">
        <v>52</v>
      </c>
      <c r="I652" s="21" t="s">
        <v>27</v>
      </c>
      <c r="J652" s="21" t="s">
        <v>60</v>
      </c>
      <c r="K652" s="25">
        <v>2360</v>
      </c>
      <c r="L652" s="25">
        <v>28320</v>
      </c>
      <c r="M652" s="21">
        <v>4.5</v>
      </c>
      <c r="N652" s="21">
        <v>0</v>
      </c>
      <c r="O652" s="21">
        <v>0</v>
      </c>
      <c r="P652" s="21">
        <v>1</v>
      </c>
      <c r="Q652" s="21" t="str">
        <f t="shared" ca="1" si="2"/>
        <v>Not Eligible</v>
      </c>
    </row>
    <row r="653" spans="1:17" ht="15.5" x14ac:dyDescent="0.35">
      <c r="A653" s="20">
        <v>652</v>
      </c>
      <c r="B653" s="21" t="s">
        <v>57</v>
      </c>
      <c r="C653" s="21" t="s">
        <v>791</v>
      </c>
      <c r="D653" s="22" t="str">
        <f>_xlfn.TEXTJOIN(" ",TRUE,Employees_Data[[#This Row],[First Name]],Employees_Data[[#This Row],[Last Name]])</f>
        <v>Muhamad Haydar</v>
      </c>
      <c r="E653" s="21" t="s">
        <v>25</v>
      </c>
      <c r="F653" s="23">
        <v>44177</v>
      </c>
      <c r="G653" s="24">
        <f ca="1">DATEDIF(Employees!$F653,TODAY(),"Y")</f>
        <v>5</v>
      </c>
      <c r="H653" s="21" t="s">
        <v>76</v>
      </c>
      <c r="I653" s="21" t="s">
        <v>53</v>
      </c>
      <c r="J653" s="21" t="s">
        <v>60</v>
      </c>
      <c r="K653" s="25">
        <v>2576</v>
      </c>
      <c r="L653" s="25">
        <v>30912</v>
      </c>
      <c r="M653" s="21">
        <v>1</v>
      </c>
      <c r="N653" s="21">
        <v>6</v>
      </c>
      <c r="O653" s="21">
        <v>0</v>
      </c>
      <c r="P653" s="21">
        <v>6</v>
      </c>
      <c r="Q653" s="21" t="str">
        <f t="shared" ca="1" si="2"/>
        <v>Not Eligible</v>
      </c>
    </row>
    <row r="654" spans="1:17" ht="15.5" x14ac:dyDescent="0.35">
      <c r="A654" s="20">
        <v>653</v>
      </c>
      <c r="B654" s="21" t="s">
        <v>57</v>
      </c>
      <c r="C654" s="21" t="s">
        <v>870</v>
      </c>
      <c r="D654" s="22" t="str">
        <f>_xlfn.TEXTJOIN(" ",TRUE,Employees_Data[[#This Row],[First Name]],Employees_Data[[#This Row],[Last Name]])</f>
        <v>Muhamad Ratib</v>
      </c>
      <c r="E654" s="21" t="s">
        <v>25</v>
      </c>
      <c r="F654" s="23">
        <v>43793</v>
      </c>
      <c r="G654" s="24">
        <f ca="1">DATEDIF(Employees!$F654,TODAY(),"Y")</f>
        <v>6</v>
      </c>
      <c r="H654" s="21" t="s">
        <v>65</v>
      </c>
      <c r="I654" s="21" t="s">
        <v>27</v>
      </c>
      <c r="J654" s="21" t="s">
        <v>54</v>
      </c>
      <c r="K654" s="25">
        <v>2376</v>
      </c>
      <c r="L654" s="25">
        <v>28512</v>
      </c>
      <c r="M654" s="21">
        <v>2</v>
      </c>
      <c r="N654" s="21">
        <v>6</v>
      </c>
      <c r="O654" s="21">
        <v>0</v>
      </c>
      <c r="P654" s="21">
        <v>57</v>
      </c>
      <c r="Q654" s="21" t="str">
        <f t="shared" ca="1" si="2"/>
        <v>Not Eligible</v>
      </c>
    </row>
    <row r="655" spans="1:17" ht="15.5" x14ac:dyDescent="0.35">
      <c r="A655" s="20">
        <v>654</v>
      </c>
      <c r="B655" s="21" t="s">
        <v>455</v>
      </c>
      <c r="C655" s="21" t="s">
        <v>348</v>
      </c>
      <c r="D655" s="22" t="str">
        <f>_xlfn.TEXTJOIN(" ",TRUE,Employees_Data[[#This Row],[First Name]],Employees_Data[[#This Row],[Last Name]])</f>
        <v>Muayid Siedih</v>
      </c>
      <c r="E655" s="21" t="s">
        <v>25</v>
      </c>
      <c r="F655" s="23">
        <v>43681</v>
      </c>
      <c r="G655" s="24">
        <f ca="1">DATEDIF(Employees!$F655,TODAY(),"Y")</f>
        <v>7</v>
      </c>
      <c r="H655" s="21" t="s">
        <v>76</v>
      </c>
      <c r="I655" s="21" t="s">
        <v>53</v>
      </c>
      <c r="J655" s="21" t="s">
        <v>60</v>
      </c>
      <c r="K655" s="25">
        <v>2924</v>
      </c>
      <c r="L655" s="25">
        <v>35088</v>
      </c>
      <c r="M655" s="21">
        <v>4.5</v>
      </c>
      <c r="N655" s="21">
        <v>0</v>
      </c>
      <c r="O655" s="21">
        <v>0</v>
      </c>
      <c r="P655" s="21">
        <v>10</v>
      </c>
      <c r="Q655" s="21" t="str">
        <f t="shared" ca="1" si="2"/>
        <v>Not Eligible</v>
      </c>
    </row>
    <row r="656" spans="1:17" ht="15.5" x14ac:dyDescent="0.35">
      <c r="A656" s="20">
        <v>655</v>
      </c>
      <c r="B656" s="21" t="s">
        <v>376</v>
      </c>
      <c r="C656" s="21" t="s">
        <v>871</v>
      </c>
      <c r="D656" s="22" t="str">
        <f>_xlfn.TEXTJOIN(" ",TRUE,Employees_Data[[#This Row],[First Name]],Employees_Data[[#This Row],[Last Name]])</f>
        <v>Husam Alhamd</v>
      </c>
      <c r="E656" s="21" t="s">
        <v>25</v>
      </c>
      <c r="F656" s="23">
        <v>42785</v>
      </c>
      <c r="G656" s="24">
        <f ca="1">DATEDIF(Employees!$F656,TODAY(),"Y")</f>
        <v>9</v>
      </c>
      <c r="H656" s="21" t="s">
        <v>99</v>
      </c>
      <c r="I656" s="21" t="s">
        <v>40</v>
      </c>
      <c r="J656" s="21" t="s">
        <v>29</v>
      </c>
      <c r="K656" s="25">
        <v>2548</v>
      </c>
      <c r="L656" s="25">
        <v>30576</v>
      </c>
      <c r="M656" s="21">
        <v>1</v>
      </c>
      <c r="N656" s="21">
        <v>0</v>
      </c>
      <c r="O656" s="21">
        <v>0</v>
      </c>
      <c r="P656" s="21">
        <v>10</v>
      </c>
      <c r="Q656" s="21" t="str">
        <f t="shared" ca="1" si="2"/>
        <v>Not Eligible</v>
      </c>
    </row>
    <row r="657" spans="1:17" ht="15.5" x14ac:dyDescent="0.35">
      <c r="A657" s="20">
        <v>656</v>
      </c>
      <c r="B657" s="21" t="s">
        <v>872</v>
      </c>
      <c r="C657" s="21" t="s">
        <v>873</v>
      </c>
      <c r="D657" s="22" t="str">
        <f>_xlfn.TEXTJOIN(" ",TRUE,Employees_Data[[#This Row],[First Name]],Employees_Data[[#This Row],[Last Name]])</f>
        <v>Abdalkrim Fadal</v>
      </c>
      <c r="E657" s="21" t="s">
        <v>25</v>
      </c>
      <c r="F657" s="23">
        <v>43852</v>
      </c>
      <c r="G657" s="24">
        <f ca="1">DATEDIF(Employees!$F657,TODAY(),"Y")</f>
        <v>6</v>
      </c>
      <c r="H657" s="21" t="s">
        <v>65</v>
      </c>
      <c r="I657" s="21" t="s">
        <v>40</v>
      </c>
      <c r="J657" s="21" t="s">
        <v>83</v>
      </c>
      <c r="K657" s="25">
        <v>841</v>
      </c>
      <c r="L657" s="25">
        <v>10092</v>
      </c>
      <c r="M657" s="21">
        <v>1</v>
      </c>
      <c r="N657" s="21">
        <v>4</v>
      </c>
      <c r="O657" s="21">
        <v>0</v>
      </c>
      <c r="P657" s="21">
        <v>7</v>
      </c>
      <c r="Q657" s="21" t="str">
        <f t="shared" ca="1" si="2"/>
        <v>Not Eligible</v>
      </c>
    </row>
    <row r="658" spans="1:17" ht="15.5" x14ac:dyDescent="0.35">
      <c r="A658" s="20">
        <v>657</v>
      </c>
      <c r="B658" s="21" t="s">
        <v>79</v>
      </c>
      <c r="C658" s="21" t="s">
        <v>874</v>
      </c>
      <c r="D658" s="22" t="str">
        <f>_xlfn.TEXTJOIN(" ",TRUE,Employees_Data[[#This Row],[First Name]],Employees_Data[[#This Row],[Last Name]])</f>
        <v>Bayan Eurnus</v>
      </c>
      <c r="E658" s="21" t="s">
        <v>44</v>
      </c>
      <c r="F658" s="23">
        <v>43966</v>
      </c>
      <c r="G658" s="24">
        <f ca="1">DATEDIF(Employees!$F658,TODAY(),"Y")</f>
        <v>6</v>
      </c>
      <c r="H658" s="21" t="s">
        <v>52</v>
      </c>
      <c r="I658" s="21" t="s">
        <v>27</v>
      </c>
      <c r="J658" s="21" t="s">
        <v>60</v>
      </c>
      <c r="K658" s="25">
        <v>3017</v>
      </c>
      <c r="L658" s="25">
        <v>36204</v>
      </c>
      <c r="M658" s="21">
        <v>3</v>
      </c>
      <c r="N658" s="21">
        <v>0</v>
      </c>
      <c r="O658" s="21">
        <v>0</v>
      </c>
      <c r="P658" s="21">
        <v>6</v>
      </c>
      <c r="Q658" s="21" t="str">
        <f t="shared" ca="1" si="2"/>
        <v>Not Eligible</v>
      </c>
    </row>
    <row r="659" spans="1:17" ht="15.5" x14ac:dyDescent="0.35">
      <c r="A659" s="20">
        <v>658</v>
      </c>
      <c r="B659" s="21" t="s">
        <v>875</v>
      </c>
      <c r="C659" s="21" t="s">
        <v>876</v>
      </c>
      <c r="D659" s="22" t="str">
        <f>_xlfn.TEXTJOIN(" ",TRUE,Employees_Data[[#This Row],[First Name]],Employees_Data[[#This Row],[Last Name]])</f>
        <v>Abd Almueiyn Eitaya</v>
      </c>
      <c r="E659" s="21" t="s">
        <v>25</v>
      </c>
      <c r="F659" s="23">
        <v>43126</v>
      </c>
      <c r="G659" s="24">
        <f ca="1">DATEDIF(Employees!$F659,TODAY(),"Y")</f>
        <v>8</v>
      </c>
      <c r="H659" s="21" t="s">
        <v>76</v>
      </c>
      <c r="I659" s="21" t="s">
        <v>53</v>
      </c>
      <c r="J659" s="21" t="s">
        <v>60</v>
      </c>
      <c r="K659" s="25">
        <v>1077</v>
      </c>
      <c r="L659" s="25">
        <v>12924</v>
      </c>
      <c r="M659" s="21">
        <v>5</v>
      </c>
      <c r="N659" s="21">
        <v>0</v>
      </c>
      <c r="O659" s="21">
        <v>0</v>
      </c>
      <c r="P659" s="21">
        <v>9</v>
      </c>
      <c r="Q659" s="21" t="str">
        <f t="shared" ca="1" si="2"/>
        <v>Not Eligible</v>
      </c>
    </row>
    <row r="660" spans="1:17" ht="15.5" x14ac:dyDescent="0.35">
      <c r="A660" s="20">
        <v>659</v>
      </c>
      <c r="B660" s="21" t="s">
        <v>231</v>
      </c>
      <c r="C660" s="21" t="s">
        <v>877</v>
      </c>
      <c r="D660" s="22" t="str">
        <f>_xlfn.TEXTJOIN(" ",TRUE,Employees_Data[[#This Row],[First Name]],Employees_Data[[#This Row],[Last Name]])</f>
        <v>Sahar Qisam</v>
      </c>
      <c r="E660" s="21" t="s">
        <v>44</v>
      </c>
      <c r="F660" s="23">
        <v>43223</v>
      </c>
      <c r="G660" s="24">
        <f ca="1">DATEDIF(Employees!$F660,TODAY(),"Y")</f>
        <v>8</v>
      </c>
      <c r="H660" s="21" t="s">
        <v>81</v>
      </c>
      <c r="I660" s="21" t="s">
        <v>27</v>
      </c>
      <c r="J660" s="21" t="s">
        <v>83</v>
      </c>
      <c r="K660" s="25">
        <v>3316</v>
      </c>
      <c r="L660" s="25">
        <v>39792</v>
      </c>
      <c r="M660" s="21">
        <v>4.5</v>
      </c>
      <c r="N660" s="21">
        <v>0</v>
      </c>
      <c r="O660" s="21">
        <v>0</v>
      </c>
      <c r="P660" s="21">
        <v>8</v>
      </c>
      <c r="Q660" s="21" t="str">
        <f t="shared" ca="1" si="2"/>
        <v>Not Eligible</v>
      </c>
    </row>
    <row r="661" spans="1:17" ht="15.5" x14ac:dyDescent="0.35">
      <c r="A661" s="20">
        <v>660</v>
      </c>
      <c r="B661" s="21" t="s">
        <v>133</v>
      </c>
      <c r="C661" s="21" t="s">
        <v>407</v>
      </c>
      <c r="D661" s="22" t="str">
        <f>_xlfn.TEXTJOIN(" ",TRUE,Employees_Data[[#This Row],[First Name]],Employees_Data[[#This Row],[Last Name]])</f>
        <v>Rafat Musaa</v>
      </c>
      <c r="E661" s="21" t="s">
        <v>25</v>
      </c>
      <c r="F661" s="23">
        <v>43442</v>
      </c>
      <c r="G661" s="24">
        <f ca="1">DATEDIF(Employees!$F661,TODAY(),"Y")</f>
        <v>7</v>
      </c>
      <c r="H661" s="21" t="s">
        <v>140</v>
      </c>
      <c r="I661" s="21" t="s">
        <v>71</v>
      </c>
      <c r="J661" s="21" t="s">
        <v>83</v>
      </c>
      <c r="K661" s="25">
        <v>2188</v>
      </c>
      <c r="L661" s="25">
        <v>26256</v>
      </c>
      <c r="M661" s="21">
        <v>4.5</v>
      </c>
      <c r="N661" s="21">
        <v>5</v>
      </c>
      <c r="O661" s="21">
        <v>0</v>
      </c>
      <c r="P661" s="21">
        <v>9</v>
      </c>
      <c r="Q661" s="21" t="str">
        <f t="shared" ca="1" si="2"/>
        <v>Not Eligible</v>
      </c>
    </row>
    <row r="662" spans="1:17" ht="15.5" x14ac:dyDescent="0.35">
      <c r="A662" s="20">
        <v>661</v>
      </c>
      <c r="B662" s="21" t="s">
        <v>878</v>
      </c>
      <c r="C662" s="21" t="s">
        <v>879</v>
      </c>
      <c r="D662" s="22" t="str">
        <f>_xlfn.TEXTJOIN(" ",TRUE,Employees_Data[[#This Row],[First Name]],Employees_Data[[#This Row],[Last Name]])</f>
        <v>Shafiq Almalih</v>
      </c>
      <c r="E662" s="21" t="s">
        <v>25</v>
      </c>
      <c r="F662" s="23">
        <v>43500</v>
      </c>
      <c r="G662" s="24">
        <f ca="1">DATEDIF(Employees!$F662,TODAY(),"Y")</f>
        <v>7</v>
      </c>
      <c r="H662" s="21" t="s">
        <v>140</v>
      </c>
      <c r="I662" s="21" t="s">
        <v>53</v>
      </c>
      <c r="J662" s="21" t="s">
        <v>83</v>
      </c>
      <c r="K662" s="25">
        <v>1684</v>
      </c>
      <c r="L662" s="25">
        <v>20208</v>
      </c>
      <c r="M662" s="21">
        <v>5</v>
      </c>
      <c r="N662" s="21">
        <v>0</v>
      </c>
      <c r="O662" s="21">
        <v>0</v>
      </c>
      <c r="P662" s="21">
        <v>6</v>
      </c>
      <c r="Q662" s="21" t="str">
        <f t="shared" ca="1" si="2"/>
        <v>Not Eligible</v>
      </c>
    </row>
    <row r="663" spans="1:17" ht="15.5" x14ac:dyDescent="0.35">
      <c r="A663" s="20">
        <v>662</v>
      </c>
      <c r="B663" s="21" t="s">
        <v>880</v>
      </c>
      <c r="C663" s="21" t="s">
        <v>881</v>
      </c>
      <c r="D663" s="22" t="str">
        <f>_xlfn.TEXTJOIN(" ",TRUE,Employees_Data[[#This Row],[First Name]],Employees_Data[[#This Row],[Last Name]])</f>
        <v>Raghad Aghasi</v>
      </c>
      <c r="E663" s="21" t="s">
        <v>44</v>
      </c>
      <c r="F663" s="23">
        <v>43783</v>
      </c>
      <c r="G663" s="24">
        <f ca="1">DATEDIF(Employees!$F663,TODAY(),"Y")</f>
        <v>6</v>
      </c>
      <c r="H663" s="21" t="s">
        <v>65</v>
      </c>
      <c r="I663" s="21" t="s">
        <v>27</v>
      </c>
      <c r="J663" s="21" t="s">
        <v>54</v>
      </c>
      <c r="K663" s="25">
        <v>716</v>
      </c>
      <c r="L663" s="25">
        <v>8592</v>
      </c>
      <c r="M663" s="21">
        <v>3</v>
      </c>
      <c r="N663" s="21">
        <v>0</v>
      </c>
      <c r="O663" s="21">
        <v>0</v>
      </c>
      <c r="P663" s="21">
        <v>8</v>
      </c>
      <c r="Q663" s="21" t="str">
        <f t="shared" ca="1" si="2"/>
        <v>Not Eligible</v>
      </c>
    </row>
    <row r="664" spans="1:17" ht="15.5" x14ac:dyDescent="0.35">
      <c r="A664" s="20">
        <v>663</v>
      </c>
      <c r="B664" s="21" t="s">
        <v>431</v>
      </c>
      <c r="C664" s="21" t="s">
        <v>494</v>
      </c>
      <c r="D664" s="22" t="str">
        <f>_xlfn.TEXTJOIN(" ",TRUE,Employees_Data[[#This Row],[First Name]],Employees_Data[[#This Row],[Last Name]])</f>
        <v>Ruba Alhumwi</v>
      </c>
      <c r="E664" s="21" t="s">
        <v>44</v>
      </c>
      <c r="F664" s="23">
        <v>43604</v>
      </c>
      <c r="G664" s="24">
        <f ca="1">DATEDIF(Employees!$F664,TODAY(),"Y")</f>
        <v>7</v>
      </c>
      <c r="H664" s="21" t="s">
        <v>52</v>
      </c>
      <c r="I664" s="21" t="s">
        <v>27</v>
      </c>
      <c r="J664" s="21" t="s">
        <v>60</v>
      </c>
      <c r="K664" s="25">
        <v>2703</v>
      </c>
      <c r="L664" s="25">
        <v>32436</v>
      </c>
      <c r="M664" s="21">
        <v>2</v>
      </c>
      <c r="N664" s="21">
        <v>0</v>
      </c>
      <c r="O664" s="21">
        <v>0</v>
      </c>
      <c r="P664" s="21">
        <v>4</v>
      </c>
      <c r="Q664" s="21" t="str">
        <f t="shared" ca="1" si="2"/>
        <v>Not Eligible</v>
      </c>
    </row>
    <row r="665" spans="1:17" ht="15.5" x14ac:dyDescent="0.35">
      <c r="A665" s="20">
        <v>664</v>
      </c>
      <c r="B665" s="21" t="s">
        <v>93</v>
      </c>
      <c r="C665" s="21" t="s">
        <v>882</v>
      </c>
      <c r="D665" s="22" t="str">
        <f>_xlfn.TEXTJOIN(" ",TRUE,Employees_Data[[#This Row],[First Name]],Employees_Data[[#This Row],[Last Name]])</f>
        <v>Bilal Alqalish</v>
      </c>
      <c r="E665" s="21" t="s">
        <v>25</v>
      </c>
      <c r="F665" s="23">
        <v>43289</v>
      </c>
      <c r="G665" s="24">
        <f ca="1">DATEDIF(Employees!$F665,TODAY(),"Y")</f>
        <v>8</v>
      </c>
      <c r="H665" s="21" t="s">
        <v>95</v>
      </c>
      <c r="I665" s="21" t="s">
        <v>27</v>
      </c>
      <c r="J665" s="21" t="s">
        <v>575</v>
      </c>
      <c r="K665" s="25">
        <v>2361</v>
      </c>
      <c r="L665" s="25">
        <v>28332</v>
      </c>
      <c r="M665" s="21">
        <v>5</v>
      </c>
      <c r="N665" s="21">
        <v>0</v>
      </c>
      <c r="O665" s="21">
        <v>0</v>
      </c>
      <c r="P665" s="21">
        <v>1</v>
      </c>
      <c r="Q665" s="21" t="str">
        <f t="shared" ca="1" si="2"/>
        <v>Not Eligible</v>
      </c>
    </row>
    <row r="666" spans="1:17" ht="15.5" x14ac:dyDescent="0.35">
      <c r="A666" s="20">
        <v>665</v>
      </c>
      <c r="B666" s="21" t="s">
        <v>57</v>
      </c>
      <c r="C666" s="21" t="s">
        <v>164</v>
      </c>
      <c r="D666" s="22" t="str">
        <f>_xlfn.TEXTJOIN(" ",TRUE,Employees_Data[[#This Row],[First Name]],Employees_Data[[#This Row],[Last Name]])</f>
        <v>Muhamad Almisri</v>
      </c>
      <c r="E666" s="21" t="s">
        <v>25</v>
      </c>
      <c r="F666" s="23">
        <v>44141</v>
      </c>
      <c r="G666" s="24">
        <f ca="1">DATEDIF(Employees!$F666,TODAY(),"Y")</f>
        <v>5</v>
      </c>
      <c r="H666" s="21" t="s">
        <v>52</v>
      </c>
      <c r="I666" s="21" t="s">
        <v>27</v>
      </c>
      <c r="J666" s="21" t="s">
        <v>54</v>
      </c>
      <c r="K666" s="25">
        <v>1797</v>
      </c>
      <c r="L666" s="25">
        <v>21564</v>
      </c>
      <c r="M666" s="21">
        <v>1</v>
      </c>
      <c r="N666" s="21">
        <v>6</v>
      </c>
      <c r="O666" s="21">
        <v>0</v>
      </c>
      <c r="P666" s="21">
        <v>7</v>
      </c>
      <c r="Q666" s="21" t="str">
        <f t="shared" ca="1" si="2"/>
        <v>Not Eligible</v>
      </c>
    </row>
    <row r="667" spans="1:17" ht="15.5" x14ac:dyDescent="0.35">
      <c r="A667" s="20">
        <v>666</v>
      </c>
      <c r="B667" s="21" t="s">
        <v>86</v>
      </c>
      <c r="C667" s="21" t="s">
        <v>883</v>
      </c>
      <c r="D667" s="22" t="str">
        <f>_xlfn.TEXTJOIN(" ",TRUE,Employees_Data[[#This Row],[First Name]],Employees_Data[[#This Row],[Last Name]])</f>
        <v>Husayn Hawria</v>
      </c>
      <c r="E667" s="21" t="s">
        <v>25</v>
      </c>
      <c r="F667" s="23">
        <v>43995</v>
      </c>
      <c r="G667" s="24">
        <f ca="1">DATEDIF(Employees!$F667,TODAY(),"Y")</f>
        <v>6</v>
      </c>
      <c r="H667" s="21" t="s">
        <v>115</v>
      </c>
      <c r="I667" s="21" t="s">
        <v>27</v>
      </c>
      <c r="J667" s="21" t="s">
        <v>575</v>
      </c>
      <c r="K667" s="25">
        <v>2252</v>
      </c>
      <c r="L667" s="25">
        <v>27024</v>
      </c>
      <c r="M667" s="21">
        <v>3</v>
      </c>
      <c r="N667" s="21">
        <v>0</v>
      </c>
      <c r="O667" s="21">
        <v>0</v>
      </c>
      <c r="P667" s="21">
        <v>2</v>
      </c>
      <c r="Q667" s="21" t="str">
        <f t="shared" ca="1" si="2"/>
        <v>Not Eligible</v>
      </c>
    </row>
    <row r="668" spans="1:17" ht="15.5" x14ac:dyDescent="0.35">
      <c r="A668" s="20">
        <v>667</v>
      </c>
      <c r="B668" s="21" t="s">
        <v>520</v>
      </c>
      <c r="C668" s="21" t="s">
        <v>884</v>
      </c>
      <c r="D668" s="22" t="str">
        <f>_xlfn.TEXTJOIN(" ",TRUE,Employees_Data[[#This Row],[First Name]],Employees_Data[[#This Row],[Last Name]])</f>
        <v>Safa Alshahadat</v>
      </c>
      <c r="E668" s="21" t="s">
        <v>44</v>
      </c>
      <c r="F668" s="23">
        <v>43373</v>
      </c>
      <c r="G668" s="24">
        <f ca="1">DATEDIF(Employees!$F668,TODAY(),"Y")</f>
        <v>8</v>
      </c>
      <c r="H668" s="21" t="s">
        <v>52</v>
      </c>
      <c r="I668" s="21" t="s">
        <v>27</v>
      </c>
      <c r="J668" s="21" t="s">
        <v>60</v>
      </c>
      <c r="K668" s="25">
        <v>2486</v>
      </c>
      <c r="L668" s="25">
        <v>29832</v>
      </c>
      <c r="M668" s="21">
        <v>5</v>
      </c>
      <c r="N668" s="21">
        <v>5</v>
      </c>
      <c r="O668" s="21">
        <v>2</v>
      </c>
      <c r="P668" s="21">
        <v>9</v>
      </c>
      <c r="Q668" s="21" t="str">
        <f t="shared" ca="1" si="2"/>
        <v>Not Eligible</v>
      </c>
    </row>
    <row r="669" spans="1:17" ht="15.5" x14ac:dyDescent="0.35">
      <c r="A669" s="20">
        <v>668</v>
      </c>
      <c r="B669" s="21" t="s">
        <v>55</v>
      </c>
      <c r="C669" s="21" t="s">
        <v>885</v>
      </c>
      <c r="D669" s="22" t="str">
        <f>_xlfn.TEXTJOIN(" ",TRUE,Employees_Data[[#This Row],[First Name]],Employees_Data[[#This Row],[Last Name]])</f>
        <v>Ahmad Aldiyk</v>
      </c>
      <c r="E669" s="21" t="s">
        <v>25</v>
      </c>
      <c r="F669" s="23">
        <v>43995</v>
      </c>
      <c r="G669" s="24">
        <f ca="1">DATEDIF(Employees!$F669,TODAY(),"Y")</f>
        <v>6</v>
      </c>
      <c r="H669" s="21" t="s">
        <v>52</v>
      </c>
      <c r="I669" s="21" t="s">
        <v>27</v>
      </c>
      <c r="J669" s="21" t="s">
        <v>60</v>
      </c>
      <c r="K669" s="25">
        <v>1197</v>
      </c>
      <c r="L669" s="25">
        <v>14364</v>
      </c>
      <c r="M669" s="21">
        <v>2</v>
      </c>
      <c r="N669" s="21">
        <v>4</v>
      </c>
      <c r="O669" s="21">
        <v>0</v>
      </c>
      <c r="P669" s="21">
        <v>8</v>
      </c>
      <c r="Q669" s="21" t="str">
        <f t="shared" ca="1" si="2"/>
        <v>Not Eligible</v>
      </c>
    </row>
    <row r="670" spans="1:17" ht="15.5" x14ac:dyDescent="0.35">
      <c r="A670" s="20">
        <v>669</v>
      </c>
      <c r="B670" s="21" t="s">
        <v>886</v>
      </c>
      <c r="C670" s="21" t="s">
        <v>887</v>
      </c>
      <c r="D670" s="22" t="str">
        <f>_xlfn.TEXTJOIN(" ",TRUE,Employees_Data[[#This Row],[First Name]],Employees_Data[[#This Row],[Last Name]])</f>
        <v>Hind Almueasaeas</v>
      </c>
      <c r="E670" s="21" t="s">
        <v>44</v>
      </c>
      <c r="F670" s="23">
        <v>43590</v>
      </c>
      <c r="G670" s="24">
        <f ca="1">DATEDIF(Employees!$F670,TODAY(),"Y")</f>
        <v>7</v>
      </c>
      <c r="H670" s="21" t="s">
        <v>76</v>
      </c>
      <c r="I670" s="21" t="s">
        <v>40</v>
      </c>
      <c r="J670" s="21" t="s">
        <v>60</v>
      </c>
      <c r="K670" s="25">
        <v>3389</v>
      </c>
      <c r="L670" s="25">
        <v>40668</v>
      </c>
      <c r="M670" s="21">
        <v>3</v>
      </c>
      <c r="N670" s="21">
        <v>1</v>
      </c>
      <c r="O670" s="21">
        <v>0</v>
      </c>
      <c r="P670" s="21">
        <v>7</v>
      </c>
      <c r="Q670" s="21" t="str">
        <f t="shared" ca="1" si="2"/>
        <v>Not Eligible</v>
      </c>
    </row>
    <row r="671" spans="1:17" ht="15.5" x14ac:dyDescent="0.35">
      <c r="A671" s="20">
        <v>670</v>
      </c>
      <c r="B671" s="21" t="s">
        <v>236</v>
      </c>
      <c r="C671" s="21" t="s">
        <v>888</v>
      </c>
      <c r="D671" s="22" t="str">
        <f>_xlfn.TEXTJOIN(" ",TRUE,Employees_Data[[#This Row],[First Name]],Employees_Data[[#This Row],[Last Name]])</f>
        <v>Dania Earmush</v>
      </c>
      <c r="E671" s="21" t="s">
        <v>44</v>
      </c>
      <c r="F671" s="23">
        <v>43800</v>
      </c>
      <c r="G671" s="24">
        <f ca="1">DATEDIF(Employees!$F671,TODAY(),"Y")</f>
        <v>6</v>
      </c>
      <c r="H671" s="21" t="s">
        <v>59</v>
      </c>
      <c r="I671" s="21" t="s">
        <v>53</v>
      </c>
      <c r="J671" s="21" t="s">
        <v>54</v>
      </c>
      <c r="K671" s="25">
        <v>2760</v>
      </c>
      <c r="L671" s="25">
        <v>33120</v>
      </c>
      <c r="M671" s="21">
        <v>1</v>
      </c>
      <c r="N671" s="21">
        <v>6</v>
      </c>
      <c r="O671" s="21">
        <v>6</v>
      </c>
      <c r="P671" s="21">
        <v>1</v>
      </c>
      <c r="Q671" s="21" t="str">
        <f t="shared" ca="1" si="2"/>
        <v>Not Eligible</v>
      </c>
    </row>
    <row r="672" spans="1:17" ht="15.5" x14ac:dyDescent="0.35">
      <c r="A672" s="20">
        <v>671</v>
      </c>
      <c r="B672" s="21" t="s">
        <v>234</v>
      </c>
      <c r="C672" s="21" t="s">
        <v>889</v>
      </c>
      <c r="D672" s="22" t="str">
        <f>_xlfn.TEXTJOIN(" ",TRUE,Employees_Data[[#This Row],[First Name]],Employees_Data[[#This Row],[Last Name]])</f>
        <v>Ayly Bahriin</v>
      </c>
      <c r="E672" s="21" t="s">
        <v>25</v>
      </c>
      <c r="F672" s="23">
        <v>42992</v>
      </c>
      <c r="G672" s="24">
        <f ca="1">DATEDIF(Employees!$F672,TODAY(),"Y")</f>
        <v>9</v>
      </c>
      <c r="H672" s="21" t="s">
        <v>110</v>
      </c>
      <c r="I672" s="21" t="s">
        <v>40</v>
      </c>
      <c r="J672" s="21" t="s">
        <v>54</v>
      </c>
      <c r="K672" s="25">
        <v>1232</v>
      </c>
      <c r="L672" s="25">
        <v>14784</v>
      </c>
      <c r="M672" s="21">
        <v>5</v>
      </c>
      <c r="N672" s="21">
        <v>3</v>
      </c>
      <c r="O672" s="21">
        <v>0</v>
      </c>
      <c r="P672" s="21">
        <v>10</v>
      </c>
      <c r="Q672" s="21" t="str">
        <f t="shared" ca="1" si="2"/>
        <v>Not Eligible</v>
      </c>
    </row>
    <row r="673" spans="1:17" ht="15.5" x14ac:dyDescent="0.35">
      <c r="A673" s="20">
        <v>672</v>
      </c>
      <c r="B673" s="21" t="s">
        <v>623</v>
      </c>
      <c r="C673" s="21" t="s">
        <v>890</v>
      </c>
      <c r="D673" s="22" t="str">
        <f>_xlfn.TEXTJOIN(" ",TRUE,Employees_Data[[#This Row],[First Name]],Employees_Data[[#This Row],[Last Name]])</f>
        <v>Jihan Nadir</v>
      </c>
      <c r="E673" s="21" t="s">
        <v>44</v>
      </c>
      <c r="F673" s="23">
        <v>43573</v>
      </c>
      <c r="G673" s="24">
        <f ca="1">DATEDIF(Employees!$F673,TODAY(),"Y")</f>
        <v>7</v>
      </c>
      <c r="H673" s="21" t="s">
        <v>76</v>
      </c>
      <c r="I673" s="21" t="s">
        <v>53</v>
      </c>
      <c r="J673" s="21" t="s">
        <v>60</v>
      </c>
      <c r="K673" s="25">
        <v>1045</v>
      </c>
      <c r="L673" s="25">
        <v>12540</v>
      </c>
      <c r="M673" s="21">
        <v>5</v>
      </c>
      <c r="N673" s="21">
        <v>6</v>
      </c>
      <c r="O673" s="21">
        <v>0</v>
      </c>
      <c r="P673" s="21">
        <v>4</v>
      </c>
      <c r="Q673" s="21" t="str">
        <f t="shared" ca="1" si="2"/>
        <v>Not Eligible</v>
      </c>
    </row>
    <row r="674" spans="1:17" ht="15.5" x14ac:dyDescent="0.35">
      <c r="A674" s="20">
        <v>673</v>
      </c>
      <c r="B674" s="21" t="s">
        <v>57</v>
      </c>
      <c r="C674" s="21" t="s">
        <v>891</v>
      </c>
      <c r="D674" s="22" t="str">
        <f>_xlfn.TEXTJOIN(" ",TRUE,Employees_Data[[#This Row],[First Name]],Employees_Data[[#This Row],[Last Name]])</f>
        <v>Muhamad Sharif Aldaghly</v>
      </c>
      <c r="E674" s="21" t="s">
        <v>25</v>
      </c>
      <c r="F674" s="23">
        <v>43104</v>
      </c>
      <c r="G674" s="24">
        <f ca="1">DATEDIF(Employees!$F674,TODAY(),"Y")</f>
        <v>8</v>
      </c>
      <c r="H674" s="21" t="s">
        <v>73</v>
      </c>
      <c r="I674" s="21" t="s">
        <v>27</v>
      </c>
      <c r="J674" s="21" t="s">
        <v>29</v>
      </c>
      <c r="K674" s="25">
        <v>3257</v>
      </c>
      <c r="L674" s="25">
        <v>39084</v>
      </c>
      <c r="M674" s="21">
        <v>3</v>
      </c>
      <c r="N674" s="21">
        <v>0</v>
      </c>
      <c r="O674" s="21">
        <v>0</v>
      </c>
      <c r="P674" s="21">
        <v>6</v>
      </c>
      <c r="Q674" s="21" t="str">
        <f t="shared" ca="1" si="2"/>
        <v>Not Eligible</v>
      </c>
    </row>
    <row r="675" spans="1:17" ht="15.5" x14ac:dyDescent="0.35">
      <c r="A675" s="20">
        <v>674</v>
      </c>
      <c r="B675" s="21" t="s">
        <v>892</v>
      </c>
      <c r="C675" s="21" t="s">
        <v>893</v>
      </c>
      <c r="D675" s="22" t="str">
        <f>_xlfn.TEXTJOIN(" ",TRUE,Employees_Data[[#This Row],[First Name]],Employees_Data[[#This Row],[Last Name]])</f>
        <v>Emara bwalsibae</v>
      </c>
      <c r="E675" s="21" t="s">
        <v>44</v>
      </c>
      <c r="F675" s="23">
        <v>43160</v>
      </c>
      <c r="G675" s="24">
        <f ca="1">DATEDIF(Employees!$F675,TODAY(),"Y")</f>
        <v>8</v>
      </c>
      <c r="H675" s="21" t="s">
        <v>76</v>
      </c>
      <c r="I675" s="21" t="s">
        <v>27</v>
      </c>
      <c r="J675" s="21" t="s">
        <v>83</v>
      </c>
      <c r="K675" s="25">
        <v>3026</v>
      </c>
      <c r="L675" s="25">
        <v>36312</v>
      </c>
      <c r="M675" s="21">
        <v>3</v>
      </c>
      <c r="N675" s="21">
        <v>4</v>
      </c>
      <c r="O675" s="21">
        <v>0</v>
      </c>
      <c r="P675" s="21">
        <v>1</v>
      </c>
      <c r="Q675" s="21" t="str">
        <f t="shared" ca="1" si="2"/>
        <v>Not Eligible</v>
      </c>
    </row>
    <row r="676" spans="1:17" ht="15.5" x14ac:dyDescent="0.35">
      <c r="A676" s="20">
        <v>675</v>
      </c>
      <c r="B676" s="21" t="s">
        <v>894</v>
      </c>
      <c r="C676" s="21" t="s">
        <v>895</v>
      </c>
      <c r="D676" s="22" t="str">
        <f>_xlfn.TEXTJOIN(" ",TRUE,Employees_Data[[#This Row],[First Name]],Employees_Data[[#This Row],[Last Name]])</f>
        <v>Razzan Alhusayni</v>
      </c>
      <c r="E676" s="21" t="s">
        <v>44</v>
      </c>
      <c r="F676" s="23">
        <v>43766</v>
      </c>
      <c r="G676" s="24">
        <f ca="1">DATEDIF(Employees!$F676,TODAY(),"Y")</f>
        <v>6</v>
      </c>
      <c r="H676" s="21" t="s">
        <v>99</v>
      </c>
      <c r="I676" s="21" t="s">
        <v>27</v>
      </c>
      <c r="J676" s="21" t="s">
        <v>60</v>
      </c>
      <c r="K676" s="25">
        <v>1898</v>
      </c>
      <c r="L676" s="25">
        <v>22776</v>
      </c>
      <c r="M676" s="21">
        <v>4.5</v>
      </c>
      <c r="N676" s="21">
        <v>1</v>
      </c>
      <c r="O676" s="21">
        <v>0</v>
      </c>
      <c r="P676" s="21">
        <v>2</v>
      </c>
      <c r="Q676" s="21" t="str">
        <f t="shared" ca="1" si="2"/>
        <v>Not Eligible</v>
      </c>
    </row>
    <row r="677" spans="1:17" ht="15.5" x14ac:dyDescent="0.35">
      <c r="A677" s="20">
        <v>676</v>
      </c>
      <c r="B677" s="21" t="s">
        <v>896</v>
      </c>
      <c r="C677" s="21" t="s">
        <v>897</v>
      </c>
      <c r="D677" s="22" t="str">
        <f>_xlfn.TEXTJOIN(" ",TRUE,Employees_Data[[#This Row],[First Name]],Employees_Data[[#This Row],[Last Name]])</f>
        <v>Ghassan Aljamal</v>
      </c>
      <c r="E677" s="21" t="s">
        <v>25</v>
      </c>
      <c r="F677" s="23">
        <v>43275</v>
      </c>
      <c r="G677" s="24">
        <f ca="1">DATEDIF(Employees!$F677,TODAY(),"Y")</f>
        <v>8</v>
      </c>
      <c r="H677" s="21" t="s">
        <v>52</v>
      </c>
      <c r="I677" s="21" t="s">
        <v>27</v>
      </c>
      <c r="J677" s="21" t="s">
        <v>83</v>
      </c>
      <c r="K677" s="25">
        <v>2778</v>
      </c>
      <c r="L677" s="25">
        <v>33336</v>
      </c>
      <c r="M677" s="21">
        <v>3</v>
      </c>
      <c r="N677" s="21">
        <v>2</v>
      </c>
      <c r="O677" s="21">
        <v>0</v>
      </c>
      <c r="P677" s="21">
        <v>20</v>
      </c>
      <c r="Q677" s="21" t="str">
        <f t="shared" ca="1" si="2"/>
        <v>Not Eligible</v>
      </c>
    </row>
    <row r="678" spans="1:17" ht="15.5" x14ac:dyDescent="0.35">
      <c r="A678" s="20">
        <v>677</v>
      </c>
      <c r="B678" s="21" t="s">
        <v>36</v>
      </c>
      <c r="C678" s="21" t="s">
        <v>898</v>
      </c>
      <c r="D678" s="22" t="str">
        <f>_xlfn.TEXTJOIN(" ",TRUE,Employees_Data[[#This Row],[First Name]],Employees_Data[[#This Row],[Last Name]])</f>
        <v>Omar Kahulus</v>
      </c>
      <c r="E678" s="21" t="s">
        <v>25</v>
      </c>
      <c r="F678" s="23">
        <v>43104</v>
      </c>
      <c r="G678" s="24">
        <f ca="1">DATEDIF(Employees!$F678,TODAY(),"Y")</f>
        <v>8</v>
      </c>
      <c r="H678" s="21" t="s">
        <v>99</v>
      </c>
      <c r="I678" s="21" t="s">
        <v>71</v>
      </c>
      <c r="J678" s="21" t="s">
        <v>60</v>
      </c>
      <c r="K678" s="25">
        <v>2880</v>
      </c>
      <c r="L678" s="25">
        <v>34560</v>
      </c>
      <c r="M678" s="21">
        <v>2</v>
      </c>
      <c r="N678" s="21">
        <v>4</v>
      </c>
      <c r="O678" s="21">
        <v>0</v>
      </c>
      <c r="P678" s="21">
        <v>5</v>
      </c>
      <c r="Q678" s="21" t="str">
        <f t="shared" ca="1" si="2"/>
        <v>Not Eligible</v>
      </c>
    </row>
    <row r="679" spans="1:17" ht="15.5" x14ac:dyDescent="0.35">
      <c r="A679" s="20">
        <v>678</v>
      </c>
      <c r="B679" s="21" t="s">
        <v>293</v>
      </c>
      <c r="C679" s="21" t="s">
        <v>899</v>
      </c>
      <c r="D679" s="22" t="str">
        <f>_xlfn.TEXTJOIN(" ",TRUE,Employees_Data[[#This Row],[First Name]],Employees_Data[[#This Row],[Last Name]])</f>
        <v>Amjad Nasir</v>
      </c>
      <c r="E679" s="21" t="s">
        <v>25</v>
      </c>
      <c r="F679" s="23">
        <v>43538</v>
      </c>
      <c r="G679" s="24">
        <f ca="1">DATEDIF(Employees!$F679,TODAY(),"Y")</f>
        <v>7</v>
      </c>
      <c r="H679" s="21" t="s">
        <v>372</v>
      </c>
      <c r="I679" s="21" t="s">
        <v>40</v>
      </c>
      <c r="J679" s="21" t="s">
        <v>54</v>
      </c>
      <c r="K679" s="25">
        <v>2815</v>
      </c>
      <c r="L679" s="25">
        <v>33780</v>
      </c>
      <c r="M679" s="21">
        <v>3</v>
      </c>
      <c r="N679" s="21">
        <v>6</v>
      </c>
      <c r="O679" s="21">
        <v>0</v>
      </c>
      <c r="P679" s="21">
        <v>2</v>
      </c>
      <c r="Q679" s="21" t="str">
        <f t="shared" ca="1" si="2"/>
        <v>Not Eligible</v>
      </c>
    </row>
    <row r="680" spans="1:17" ht="15.5" x14ac:dyDescent="0.35">
      <c r="A680" s="20">
        <v>679</v>
      </c>
      <c r="B680" s="21" t="s">
        <v>900</v>
      </c>
      <c r="C680" s="21" t="s">
        <v>901</v>
      </c>
      <c r="D680" s="22" t="str">
        <f>_xlfn.TEXTJOIN(" ",TRUE,Employees_Data[[#This Row],[First Name]],Employees_Data[[#This Row],[Last Name]])</f>
        <v>Iman Ghrz Aldiyn</v>
      </c>
      <c r="E680" s="21" t="s">
        <v>44</v>
      </c>
      <c r="F680" s="23">
        <v>43448</v>
      </c>
      <c r="G680" s="24">
        <f ca="1">DATEDIF(Employees!$F680,TODAY(),"Y")</f>
        <v>7</v>
      </c>
      <c r="H680" s="21" t="s">
        <v>68</v>
      </c>
      <c r="I680" s="21" t="s">
        <v>71</v>
      </c>
      <c r="J680" s="21" t="s">
        <v>575</v>
      </c>
      <c r="K680" s="25">
        <v>1134</v>
      </c>
      <c r="L680" s="25">
        <v>13608</v>
      </c>
      <c r="M680" s="21">
        <v>2</v>
      </c>
      <c r="N680" s="21">
        <v>0</v>
      </c>
      <c r="O680" s="21">
        <v>0</v>
      </c>
      <c r="P680" s="21">
        <v>14</v>
      </c>
      <c r="Q680" s="21" t="str">
        <f t="shared" ca="1" si="2"/>
        <v>Not Eligible</v>
      </c>
    </row>
    <row r="681" spans="1:17" ht="15.5" x14ac:dyDescent="0.35">
      <c r="A681" s="20">
        <v>680</v>
      </c>
      <c r="B681" s="21" t="s">
        <v>902</v>
      </c>
      <c r="C681" s="21" t="s">
        <v>903</v>
      </c>
      <c r="D681" s="22" t="str">
        <f>_xlfn.TEXTJOIN(" ",TRUE,Employees_Data[[#This Row],[First Name]],Employees_Data[[#This Row],[Last Name]])</f>
        <v>Alysia Alyaghshiu</v>
      </c>
      <c r="E681" s="21" t="s">
        <v>44</v>
      </c>
      <c r="F681" s="23">
        <v>43757</v>
      </c>
      <c r="G681" s="24">
        <f ca="1">DATEDIF(Employees!$F681,TODAY(),"Y")</f>
        <v>7</v>
      </c>
      <c r="H681" s="21" t="s">
        <v>98</v>
      </c>
      <c r="I681" s="21" t="s">
        <v>53</v>
      </c>
      <c r="J681" s="21" t="s">
        <v>29</v>
      </c>
      <c r="K681" s="25">
        <v>3334</v>
      </c>
      <c r="L681" s="25">
        <v>40008</v>
      </c>
      <c r="M681" s="21">
        <v>1</v>
      </c>
      <c r="N681" s="21">
        <v>0</v>
      </c>
      <c r="O681" s="21">
        <v>0</v>
      </c>
      <c r="P681" s="21">
        <v>4</v>
      </c>
      <c r="Q681" s="21" t="str">
        <f t="shared" ca="1" si="2"/>
        <v>Not Eligible</v>
      </c>
    </row>
    <row r="682" spans="1:17" ht="15.5" x14ac:dyDescent="0.35">
      <c r="A682" s="20">
        <v>681</v>
      </c>
      <c r="B682" s="21" t="s">
        <v>89</v>
      </c>
      <c r="C682" s="21" t="s">
        <v>345</v>
      </c>
      <c r="D682" s="22" t="str">
        <f>_xlfn.TEXTJOIN(" ",TRUE,Employees_Data[[#This Row],[First Name]],Employees_Data[[#This Row],[Last Name]])</f>
        <v>Ayham Alqadi</v>
      </c>
      <c r="E682" s="21" t="s">
        <v>25</v>
      </c>
      <c r="F682" s="23">
        <v>43981</v>
      </c>
      <c r="G682" s="24">
        <f ca="1">DATEDIF(Employees!$F682,TODAY(),"Y")</f>
        <v>6</v>
      </c>
      <c r="H682" s="21" t="s">
        <v>52</v>
      </c>
      <c r="I682" s="21" t="s">
        <v>71</v>
      </c>
      <c r="J682" s="21" t="s">
        <v>575</v>
      </c>
      <c r="K682" s="25">
        <v>2574</v>
      </c>
      <c r="L682" s="25">
        <v>30888</v>
      </c>
      <c r="M682" s="21">
        <v>3</v>
      </c>
      <c r="N682" s="21">
        <v>3</v>
      </c>
      <c r="O682" s="21">
        <v>0</v>
      </c>
      <c r="P682" s="21">
        <v>4</v>
      </c>
      <c r="Q682" s="21" t="str">
        <f t="shared" ca="1" si="2"/>
        <v>Not Eligible</v>
      </c>
    </row>
    <row r="683" spans="1:17" ht="15.5" x14ac:dyDescent="0.35">
      <c r="A683" s="20">
        <v>682</v>
      </c>
      <c r="B683" s="21" t="s">
        <v>346</v>
      </c>
      <c r="C683" s="21" t="s">
        <v>904</v>
      </c>
      <c r="D683" s="22" t="str">
        <f>_xlfn.TEXTJOIN(" ",TRUE,Employees_Data[[#This Row],[First Name]],Employees_Data[[#This Row],[Last Name]])</f>
        <v>Diea Shuelan</v>
      </c>
      <c r="E683" s="21" t="s">
        <v>25</v>
      </c>
      <c r="F683" s="23">
        <v>43530</v>
      </c>
      <c r="G683" s="24">
        <f ca="1">DATEDIF(Employees!$F683,TODAY(),"Y")</f>
        <v>7</v>
      </c>
      <c r="H683" s="21" t="s">
        <v>52</v>
      </c>
      <c r="I683" s="21" t="s">
        <v>27</v>
      </c>
      <c r="J683" s="21" t="s">
        <v>29</v>
      </c>
      <c r="K683" s="25">
        <v>1123</v>
      </c>
      <c r="L683" s="25">
        <v>13476</v>
      </c>
      <c r="M683" s="21">
        <v>1</v>
      </c>
      <c r="N683" s="21">
        <v>0</v>
      </c>
      <c r="O683" s="21">
        <v>0</v>
      </c>
      <c r="P683" s="21">
        <v>7</v>
      </c>
      <c r="Q683" s="21" t="str">
        <f t="shared" ca="1" si="2"/>
        <v>Not Eligible</v>
      </c>
    </row>
    <row r="684" spans="1:17" ht="15.5" x14ac:dyDescent="0.35">
      <c r="A684" s="20">
        <v>683</v>
      </c>
      <c r="B684" s="21" t="s">
        <v>376</v>
      </c>
      <c r="C684" s="21" t="s">
        <v>775</v>
      </c>
      <c r="D684" s="22" t="str">
        <f>_xlfn.TEXTJOIN(" ",TRUE,Employees_Data[[#This Row],[First Name]],Employees_Data[[#This Row],[Last Name]])</f>
        <v>Husam Alsaed</v>
      </c>
      <c r="E684" s="21" t="s">
        <v>25</v>
      </c>
      <c r="F684" s="23">
        <v>42502</v>
      </c>
      <c r="G684" s="24">
        <f ca="1">DATEDIF(Employees!$F684,TODAY(),"Y")</f>
        <v>10</v>
      </c>
      <c r="H684" s="21" t="s">
        <v>65</v>
      </c>
      <c r="I684" s="21" t="s">
        <v>53</v>
      </c>
      <c r="J684" s="21" t="s">
        <v>54</v>
      </c>
      <c r="K684" s="25">
        <v>2147</v>
      </c>
      <c r="L684" s="25">
        <v>25764</v>
      </c>
      <c r="M684" s="21">
        <v>3</v>
      </c>
      <c r="N684" s="21">
        <v>0</v>
      </c>
      <c r="O684" s="21">
        <v>4</v>
      </c>
      <c r="P684" s="21">
        <v>2</v>
      </c>
      <c r="Q684" s="21" t="str">
        <f t="shared" ca="1" si="2"/>
        <v>Not Eligible</v>
      </c>
    </row>
    <row r="685" spans="1:17" ht="15.5" x14ac:dyDescent="0.35">
      <c r="A685" s="20">
        <v>684</v>
      </c>
      <c r="B685" s="21" t="s">
        <v>905</v>
      </c>
      <c r="C685" s="21" t="s">
        <v>906</v>
      </c>
      <c r="D685" s="22" t="str">
        <f>_xlfn.TEXTJOIN(" ",TRUE,Employees_Data[[#This Row],[First Name]],Employees_Data[[#This Row],[Last Name]])</f>
        <v>Asd Bwfaeur</v>
      </c>
      <c r="E685" s="21" t="s">
        <v>25</v>
      </c>
      <c r="F685" s="23">
        <v>42913</v>
      </c>
      <c r="G685" s="24">
        <f ca="1">DATEDIF(Employees!$F685,TODAY(),"Y")</f>
        <v>9</v>
      </c>
      <c r="H685" s="21" t="s">
        <v>73</v>
      </c>
      <c r="I685" s="21" t="s">
        <v>27</v>
      </c>
      <c r="J685" s="21" t="s">
        <v>54</v>
      </c>
      <c r="K685" s="25">
        <v>2929</v>
      </c>
      <c r="L685" s="25">
        <v>35148</v>
      </c>
      <c r="M685" s="21">
        <v>4.5</v>
      </c>
      <c r="N685" s="21">
        <v>0</v>
      </c>
      <c r="O685" s="21">
        <v>0</v>
      </c>
      <c r="P685" s="21">
        <v>2</v>
      </c>
      <c r="Q685" s="21" t="str">
        <f t="shared" ca="1" si="2"/>
        <v>Not Eligible</v>
      </c>
    </row>
    <row r="686" spans="1:17" ht="15.5" x14ac:dyDescent="0.35">
      <c r="A686" s="20">
        <v>685</v>
      </c>
      <c r="B686" s="21" t="s">
        <v>907</v>
      </c>
      <c r="C686" s="21" t="s">
        <v>908</v>
      </c>
      <c r="D686" s="22" t="str">
        <f>_xlfn.TEXTJOIN(" ",TRUE,Employees_Data[[#This Row],[First Name]],Employees_Data[[#This Row],[Last Name]])</f>
        <v>Sari Hanna</v>
      </c>
      <c r="E686" s="21" t="s">
        <v>25</v>
      </c>
      <c r="F686" s="23">
        <v>43977</v>
      </c>
      <c r="G686" s="24">
        <f ca="1">DATEDIF(Employees!$F686,TODAY(),"Y")</f>
        <v>6</v>
      </c>
      <c r="H686" s="21" t="s">
        <v>81</v>
      </c>
      <c r="I686" s="21" t="s">
        <v>315</v>
      </c>
      <c r="J686" s="21" t="s">
        <v>83</v>
      </c>
      <c r="K686" s="25">
        <v>1452</v>
      </c>
      <c r="L686" s="25">
        <v>17424</v>
      </c>
      <c r="M686" s="21">
        <v>2</v>
      </c>
      <c r="N686" s="21">
        <v>0</v>
      </c>
      <c r="O686" s="21">
        <v>3</v>
      </c>
      <c r="P686" s="21">
        <v>1</v>
      </c>
      <c r="Q686" s="21" t="str">
        <f t="shared" ca="1" si="2"/>
        <v>Not Eligible</v>
      </c>
    </row>
    <row r="687" spans="1:17" ht="15.5" x14ac:dyDescent="0.35">
      <c r="A687" s="20">
        <v>686</v>
      </c>
      <c r="B687" s="21" t="s">
        <v>909</v>
      </c>
      <c r="C687" s="21" t="s">
        <v>910</v>
      </c>
      <c r="D687" s="22" t="str">
        <f>_xlfn.TEXTJOIN(" ",TRUE,Employees_Data[[#This Row],[First Name]],Employees_Data[[#This Row],[Last Name]])</f>
        <v>Eubayda Kayd</v>
      </c>
      <c r="E687" s="21" t="s">
        <v>25</v>
      </c>
      <c r="F687" s="23">
        <v>43985</v>
      </c>
      <c r="G687" s="24">
        <f ca="1">DATEDIF(Employees!$F687,TODAY(),"Y")</f>
        <v>6</v>
      </c>
      <c r="H687" s="21" t="s">
        <v>76</v>
      </c>
      <c r="I687" s="21" t="s">
        <v>27</v>
      </c>
      <c r="J687" s="21" t="s">
        <v>60</v>
      </c>
      <c r="K687" s="25">
        <v>3237</v>
      </c>
      <c r="L687" s="25">
        <v>38844</v>
      </c>
      <c r="M687" s="21">
        <v>3</v>
      </c>
      <c r="N687" s="21">
        <v>1</v>
      </c>
      <c r="O687" s="21">
        <v>0</v>
      </c>
      <c r="P687" s="21">
        <v>4</v>
      </c>
      <c r="Q687" s="21" t="str">
        <f t="shared" ca="1" si="2"/>
        <v>Not Eligible</v>
      </c>
    </row>
    <row r="688" spans="1:17" ht="15.5" x14ac:dyDescent="0.35">
      <c r="A688" s="20">
        <v>687</v>
      </c>
      <c r="B688" s="21" t="s">
        <v>311</v>
      </c>
      <c r="C688" s="21" t="s">
        <v>911</v>
      </c>
      <c r="D688" s="22" t="str">
        <f>_xlfn.TEXTJOIN(" ",TRUE,Employees_Data[[#This Row],[First Name]],Employees_Data[[#This Row],[Last Name]])</f>
        <v>Khalil Alkalu</v>
      </c>
      <c r="E688" s="21" t="s">
        <v>25</v>
      </c>
      <c r="F688" s="23">
        <v>42927</v>
      </c>
      <c r="G688" s="24">
        <f ca="1">DATEDIF(Employees!$F688,TODAY(),"Y")</f>
        <v>9</v>
      </c>
      <c r="H688" s="21" t="s">
        <v>76</v>
      </c>
      <c r="I688" s="21" t="s">
        <v>27</v>
      </c>
      <c r="J688" s="21" t="s">
        <v>60</v>
      </c>
      <c r="K688" s="25">
        <v>2819</v>
      </c>
      <c r="L688" s="25">
        <v>33828</v>
      </c>
      <c r="M688" s="21">
        <v>5</v>
      </c>
      <c r="N688" s="21">
        <v>0</v>
      </c>
      <c r="O688" s="21">
        <v>0</v>
      </c>
      <c r="P688" s="21">
        <v>0</v>
      </c>
      <c r="Q688" s="21" t="str">
        <f t="shared" ca="1" si="2"/>
        <v>Not Eligible</v>
      </c>
    </row>
    <row r="689" spans="1:17" ht="15.5" x14ac:dyDescent="0.35">
      <c r="A689" s="20">
        <v>688</v>
      </c>
      <c r="B689" s="21" t="s">
        <v>57</v>
      </c>
      <c r="C689" s="21" t="s">
        <v>912</v>
      </c>
      <c r="D689" s="22" t="str">
        <f>_xlfn.TEXTJOIN(" ",TRUE,Employees_Data[[#This Row],[First Name]],Employees_Data[[#This Row],[Last Name]])</f>
        <v>Muhamad Shrbjy</v>
      </c>
      <c r="E689" s="21" t="s">
        <v>25</v>
      </c>
      <c r="F689" s="23">
        <v>43250</v>
      </c>
      <c r="G689" s="24">
        <f ca="1">DATEDIF(Employees!$F689,TODAY(),"Y")</f>
        <v>8</v>
      </c>
      <c r="H689" s="21" t="s">
        <v>140</v>
      </c>
      <c r="I689" s="21" t="s">
        <v>27</v>
      </c>
      <c r="J689" s="21" t="s">
        <v>60</v>
      </c>
      <c r="K689" s="25">
        <v>2069</v>
      </c>
      <c r="L689" s="25">
        <v>24828</v>
      </c>
      <c r="M689" s="21">
        <v>3</v>
      </c>
      <c r="N689" s="21">
        <v>0</v>
      </c>
      <c r="O689" s="21">
        <v>0</v>
      </c>
      <c r="P689" s="21">
        <v>10</v>
      </c>
      <c r="Q689" s="21" t="str">
        <f t="shared" ca="1" si="2"/>
        <v>Not Eligible</v>
      </c>
    </row>
    <row r="690" spans="1:17" ht="15.5" x14ac:dyDescent="0.35">
      <c r="A690" s="26">
        <v>689</v>
      </c>
      <c r="B690" s="27" t="s">
        <v>913</v>
      </c>
      <c r="C690" s="27" t="s">
        <v>521</v>
      </c>
      <c r="D690" s="28" t="str">
        <f>_xlfn.TEXTJOIN(" ",TRUE,Employees_Data[[#This Row],[First Name]],Employees_Data[[#This Row],[Last Name]])</f>
        <v>Abd Albasit AlAhmar</v>
      </c>
      <c r="E690" s="27" t="s">
        <v>25</v>
      </c>
      <c r="F690" s="29">
        <v>44048</v>
      </c>
      <c r="G690" s="30">
        <f ca="1">DATEDIF(Employees!$F690,TODAY(),"Y")</f>
        <v>6</v>
      </c>
      <c r="H690" s="27" t="s">
        <v>73</v>
      </c>
      <c r="I690" s="27" t="s">
        <v>53</v>
      </c>
      <c r="J690" s="27" t="s">
        <v>60</v>
      </c>
      <c r="K690" s="31">
        <v>2606</v>
      </c>
      <c r="L690" s="31">
        <v>31272</v>
      </c>
      <c r="M690" s="27">
        <v>5</v>
      </c>
      <c r="N690" s="27">
        <v>0</v>
      </c>
      <c r="O690" s="27">
        <v>0</v>
      </c>
      <c r="P690" s="27">
        <v>0</v>
      </c>
      <c r="Q690" s="27" t="str">
        <f t="shared" ca="1" si="2"/>
        <v>Not Eligible</v>
      </c>
    </row>
    <row r="691" spans="1:17" ht="15.5" x14ac:dyDescent="0.35">
      <c r="F691" s="11"/>
      <c r="G691" s="6"/>
    </row>
    <row r="692" spans="1:17" ht="15.5" x14ac:dyDescent="0.35">
      <c r="F692" s="11"/>
      <c r="G692" s="6"/>
    </row>
    <row r="693" spans="1:17" ht="15.5" x14ac:dyDescent="0.35">
      <c r="F693" s="11"/>
      <c r="G693" s="6"/>
    </row>
    <row r="694" spans="1:17" ht="15.5" x14ac:dyDescent="0.35">
      <c r="F694" s="11"/>
      <c r="G694" s="6"/>
    </row>
    <row r="695" spans="1:17" ht="15.5" x14ac:dyDescent="0.35">
      <c r="F695" s="11"/>
      <c r="G695" s="6"/>
    </row>
    <row r="696" spans="1:17" ht="15.5" x14ac:dyDescent="0.35">
      <c r="F696" s="11"/>
      <c r="G696" s="6"/>
    </row>
    <row r="697" spans="1:17" ht="15.5" x14ac:dyDescent="0.35">
      <c r="F697" s="11"/>
      <c r="G697" s="6"/>
    </row>
    <row r="698" spans="1:17" ht="15.5" x14ac:dyDescent="0.35">
      <c r="F698" s="11"/>
      <c r="G698" s="6"/>
    </row>
    <row r="699" spans="1:17" ht="15.5" x14ac:dyDescent="0.35">
      <c r="F699" s="11"/>
      <c r="G699" s="6"/>
    </row>
    <row r="700" spans="1:17" ht="15.5" x14ac:dyDescent="0.35">
      <c r="F700" s="11"/>
      <c r="G700" s="6"/>
    </row>
    <row r="701" spans="1:17" ht="15.5" x14ac:dyDescent="0.35">
      <c r="F701" s="11"/>
      <c r="G701" s="6"/>
    </row>
    <row r="702" spans="1:17" ht="15.5" x14ac:dyDescent="0.35">
      <c r="F702" s="11"/>
      <c r="G702" s="6"/>
    </row>
    <row r="703" spans="1:17" ht="15.5" x14ac:dyDescent="0.35">
      <c r="F703" s="11"/>
      <c r="G703" s="6"/>
    </row>
    <row r="704" spans="1:17" ht="15.5" x14ac:dyDescent="0.35">
      <c r="F704" s="11"/>
      <c r="G704" s="6"/>
    </row>
    <row r="705" spans="6:7" ht="15.5" x14ac:dyDescent="0.35">
      <c r="F705" s="11"/>
      <c r="G705" s="6"/>
    </row>
    <row r="706" spans="6:7" ht="15.5" x14ac:dyDescent="0.35">
      <c r="F706" s="11"/>
      <c r="G706" s="6"/>
    </row>
    <row r="707" spans="6:7" ht="15.5" x14ac:dyDescent="0.35">
      <c r="F707" s="11"/>
      <c r="G707" s="6"/>
    </row>
    <row r="708" spans="6:7" ht="15.5" x14ac:dyDescent="0.35">
      <c r="F708" s="11"/>
      <c r="G708" s="6"/>
    </row>
    <row r="709" spans="6:7" ht="15.5" x14ac:dyDescent="0.35">
      <c r="F709" s="11"/>
      <c r="G709" s="6"/>
    </row>
    <row r="710" spans="6:7" ht="15.5" x14ac:dyDescent="0.35">
      <c r="F710" s="11"/>
      <c r="G710" s="6"/>
    </row>
    <row r="711" spans="6:7" ht="15.5" x14ac:dyDescent="0.35">
      <c r="F711" s="11"/>
      <c r="G711" s="6"/>
    </row>
    <row r="712" spans="6:7" ht="15.5" x14ac:dyDescent="0.35">
      <c r="F712" s="11"/>
      <c r="G712" s="6"/>
    </row>
    <row r="713" spans="6:7" ht="15.5" x14ac:dyDescent="0.35">
      <c r="F713" s="11"/>
      <c r="G713" s="6"/>
    </row>
    <row r="714" spans="6:7" ht="15.5" x14ac:dyDescent="0.35">
      <c r="F714" s="11"/>
      <c r="G714" s="6"/>
    </row>
    <row r="715" spans="6:7" ht="15.5" x14ac:dyDescent="0.35">
      <c r="F715" s="11"/>
      <c r="G715" s="6"/>
    </row>
    <row r="716" spans="6:7" ht="15.5" x14ac:dyDescent="0.35">
      <c r="F716" s="11"/>
      <c r="G716" s="6"/>
    </row>
    <row r="717" spans="6:7" ht="15.5" x14ac:dyDescent="0.35">
      <c r="F717" s="11"/>
      <c r="G717" s="6"/>
    </row>
    <row r="718" spans="6:7" ht="15.5" x14ac:dyDescent="0.35">
      <c r="F718" s="11"/>
      <c r="G718" s="6"/>
    </row>
    <row r="719" spans="6:7" ht="15.5" x14ac:dyDescent="0.35">
      <c r="F719" s="11"/>
      <c r="G719" s="6"/>
    </row>
    <row r="720" spans="6:7" ht="15.5" x14ac:dyDescent="0.35">
      <c r="F720" s="11"/>
      <c r="G720" s="6"/>
    </row>
    <row r="721" spans="6:7" ht="15.5" x14ac:dyDescent="0.35">
      <c r="F721" s="11"/>
      <c r="G721" s="6"/>
    </row>
    <row r="722" spans="6:7" ht="15.5" x14ac:dyDescent="0.35">
      <c r="F722" s="11"/>
      <c r="G722" s="6"/>
    </row>
    <row r="723" spans="6:7" ht="15.5" x14ac:dyDescent="0.35">
      <c r="F723" s="11"/>
      <c r="G723" s="6"/>
    </row>
    <row r="724" spans="6:7" ht="15.5" x14ac:dyDescent="0.35">
      <c r="F724" s="11"/>
      <c r="G724" s="6"/>
    </row>
    <row r="725" spans="6:7" ht="15.5" x14ac:dyDescent="0.35">
      <c r="F725" s="11"/>
      <c r="G725" s="6"/>
    </row>
    <row r="726" spans="6:7" ht="15.5" x14ac:dyDescent="0.35">
      <c r="F726" s="11"/>
      <c r="G726" s="6"/>
    </row>
    <row r="727" spans="6:7" ht="15.5" x14ac:dyDescent="0.35">
      <c r="F727" s="11"/>
      <c r="G727" s="6"/>
    </row>
    <row r="728" spans="6:7" ht="15.5" x14ac:dyDescent="0.35">
      <c r="F728" s="11"/>
      <c r="G728" s="6"/>
    </row>
    <row r="729" spans="6:7" ht="15.5" x14ac:dyDescent="0.35">
      <c r="F729" s="11"/>
      <c r="G729" s="6"/>
    </row>
    <row r="730" spans="6:7" ht="15.5" x14ac:dyDescent="0.35">
      <c r="F730" s="11"/>
      <c r="G730" s="6"/>
    </row>
    <row r="731" spans="6:7" ht="15.5" x14ac:dyDescent="0.35">
      <c r="F731" s="11"/>
      <c r="G731" s="6"/>
    </row>
    <row r="732" spans="6:7" ht="15.5" x14ac:dyDescent="0.35">
      <c r="F732" s="11"/>
      <c r="G732" s="6"/>
    </row>
    <row r="733" spans="6:7" ht="15.5" x14ac:dyDescent="0.35">
      <c r="F733" s="11"/>
      <c r="G733" s="6"/>
    </row>
    <row r="734" spans="6:7" ht="15.5" x14ac:dyDescent="0.35">
      <c r="F734" s="11"/>
      <c r="G734" s="6"/>
    </row>
    <row r="735" spans="6:7" ht="15.5" x14ac:dyDescent="0.35">
      <c r="F735" s="11"/>
      <c r="G735" s="6"/>
    </row>
    <row r="736" spans="6:7" ht="15.5" x14ac:dyDescent="0.35">
      <c r="F736" s="11"/>
      <c r="G736" s="6"/>
    </row>
    <row r="737" spans="6:7" ht="15.5" x14ac:dyDescent="0.35">
      <c r="F737" s="11"/>
      <c r="G737" s="6"/>
    </row>
    <row r="738" spans="6:7" ht="15.5" x14ac:dyDescent="0.35">
      <c r="F738" s="11"/>
      <c r="G738" s="6"/>
    </row>
    <row r="739" spans="6:7" ht="15.5" x14ac:dyDescent="0.35">
      <c r="F739" s="11"/>
      <c r="G739" s="6"/>
    </row>
    <row r="740" spans="6:7" ht="15.5" x14ac:dyDescent="0.35">
      <c r="F740" s="11"/>
      <c r="G740" s="6"/>
    </row>
    <row r="741" spans="6:7" ht="15.5" x14ac:dyDescent="0.35">
      <c r="F741" s="11"/>
      <c r="G741" s="6"/>
    </row>
    <row r="742" spans="6:7" ht="15.5" x14ac:dyDescent="0.35">
      <c r="F742" s="11"/>
      <c r="G742" s="6"/>
    </row>
    <row r="743" spans="6:7" ht="15.5" x14ac:dyDescent="0.35">
      <c r="F743" s="11"/>
      <c r="G743" s="6"/>
    </row>
    <row r="744" spans="6:7" ht="15.5" x14ac:dyDescent="0.35">
      <c r="F744" s="11"/>
      <c r="G744" s="6"/>
    </row>
    <row r="745" spans="6:7" ht="15.5" x14ac:dyDescent="0.35">
      <c r="F745" s="11"/>
      <c r="G745" s="6"/>
    </row>
    <row r="746" spans="6:7" ht="15.5" x14ac:dyDescent="0.35">
      <c r="F746" s="11"/>
      <c r="G746" s="6"/>
    </row>
    <row r="747" spans="6:7" ht="15.5" x14ac:dyDescent="0.35">
      <c r="F747" s="11"/>
      <c r="G747" s="6"/>
    </row>
    <row r="748" spans="6:7" ht="15.5" x14ac:dyDescent="0.35">
      <c r="F748" s="11"/>
      <c r="G748" s="6"/>
    </row>
    <row r="749" spans="6:7" ht="15.5" x14ac:dyDescent="0.35">
      <c r="F749" s="11"/>
      <c r="G749" s="6"/>
    </row>
    <row r="750" spans="6:7" ht="15.5" x14ac:dyDescent="0.35">
      <c r="F750" s="11"/>
      <c r="G750" s="6"/>
    </row>
    <row r="751" spans="6:7" ht="15.5" x14ac:dyDescent="0.35">
      <c r="F751" s="11"/>
      <c r="G751" s="6"/>
    </row>
    <row r="752" spans="6:7" ht="15.5" x14ac:dyDescent="0.35">
      <c r="F752" s="11"/>
      <c r="G752" s="6"/>
    </row>
    <row r="753" spans="6:7" ht="15.5" x14ac:dyDescent="0.35">
      <c r="F753" s="11"/>
      <c r="G753" s="6"/>
    </row>
    <row r="754" spans="6:7" ht="15.5" x14ac:dyDescent="0.35">
      <c r="F754" s="11"/>
      <c r="G754" s="6"/>
    </row>
    <row r="755" spans="6:7" ht="15.5" x14ac:dyDescent="0.35">
      <c r="F755" s="11"/>
      <c r="G755" s="6"/>
    </row>
    <row r="756" spans="6:7" ht="15.5" x14ac:dyDescent="0.35">
      <c r="F756" s="11"/>
      <c r="G756" s="6"/>
    </row>
    <row r="757" spans="6:7" ht="15.5" x14ac:dyDescent="0.35">
      <c r="F757" s="11"/>
      <c r="G757" s="6"/>
    </row>
    <row r="758" spans="6:7" ht="15.5" x14ac:dyDescent="0.35">
      <c r="F758" s="11"/>
      <c r="G758" s="6"/>
    </row>
    <row r="759" spans="6:7" ht="15.5" x14ac:dyDescent="0.35">
      <c r="F759" s="11"/>
      <c r="G759" s="6"/>
    </row>
    <row r="760" spans="6:7" ht="15.5" x14ac:dyDescent="0.35">
      <c r="F760" s="11"/>
      <c r="G760" s="6"/>
    </row>
    <row r="761" spans="6:7" ht="15.5" x14ac:dyDescent="0.35">
      <c r="F761" s="11"/>
      <c r="G761" s="6"/>
    </row>
    <row r="762" spans="6:7" ht="15.5" x14ac:dyDescent="0.35">
      <c r="F762" s="11"/>
      <c r="G762" s="6"/>
    </row>
    <row r="763" spans="6:7" ht="15.5" x14ac:dyDescent="0.35">
      <c r="F763" s="11"/>
      <c r="G763" s="6"/>
    </row>
    <row r="764" spans="6:7" ht="15.5" x14ac:dyDescent="0.35">
      <c r="F764" s="11"/>
      <c r="G764" s="6"/>
    </row>
    <row r="765" spans="6:7" ht="15.5" x14ac:dyDescent="0.35">
      <c r="F765" s="11"/>
      <c r="G765" s="6"/>
    </row>
    <row r="766" spans="6:7" ht="15.5" x14ac:dyDescent="0.35">
      <c r="F766" s="11"/>
      <c r="G766" s="6"/>
    </row>
    <row r="767" spans="6:7" ht="15.5" x14ac:dyDescent="0.35">
      <c r="F767" s="11"/>
      <c r="G767" s="6"/>
    </row>
    <row r="768" spans="6:7" ht="15.5" x14ac:dyDescent="0.35">
      <c r="F768" s="11"/>
      <c r="G768" s="6"/>
    </row>
    <row r="769" spans="6:7" ht="15.5" x14ac:dyDescent="0.35">
      <c r="F769" s="11"/>
      <c r="G769" s="6"/>
    </row>
    <row r="770" spans="6:7" ht="15.5" x14ac:dyDescent="0.35">
      <c r="F770" s="11"/>
      <c r="G770" s="6"/>
    </row>
    <row r="771" spans="6:7" ht="15.5" x14ac:dyDescent="0.35">
      <c r="F771" s="11"/>
      <c r="G771" s="6"/>
    </row>
    <row r="772" spans="6:7" ht="15.5" x14ac:dyDescent="0.35">
      <c r="F772" s="11"/>
      <c r="G772" s="6"/>
    </row>
    <row r="773" spans="6:7" ht="15.5" x14ac:dyDescent="0.35">
      <c r="F773" s="11"/>
      <c r="G773" s="6"/>
    </row>
    <row r="774" spans="6:7" ht="15.5" x14ac:dyDescent="0.35">
      <c r="F774" s="11"/>
      <c r="G774" s="6"/>
    </row>
    <row r="775" spans="6:7" ht="15.5" x14ac:dyDescent="0.35">
      <c r="F775" s="11"/>
      <c r="G775" s="6"/>
    </row>
    <row r="776" spans="6:7" ht="15.5" x14ac:dyDescent="0.35">
      <c r="F776" s="11"/>
      <c r="G776" s="6"/>
    </row>
    <row r="777" spans="6:7" ht="15.5" x14ac:dyDescent="0.35">
      <c r="F777" s="11"/>
      <c r="G777" s="6"/>
    </row>
    <row r="778" spans="6:7" ht="15.5" x14ac:dyDescent="0.35">
      <c r="F778" s="11"/>
      <c r="G778" s="6"/>
    </row>
    <row r="779" spans="6:7" ht="15.5" x14ac:dyDescent="0.35">
      <c r="F779" s="11"/>
      <c r="G779" s="6"/>
    </row>
    <row r="780" spans="6:7" ht="15.5" x14ac:dyDescent="0.35">
      <c r="F780" s="11"/>
      <c r="G780" s="6"/>
    </row>
    <row r="781" spans="6:7" ht="15.5" x14ac:dyDescent="0.35">
      <c r="F781" s="11"/>
      <c r="G781" s="6"/>
    </row>
    <row r="782" spans="6:7" ht="15.5" x14ac:dyDescent="0.35">
      <c r="F782" s="11"/>
      <c r="G782" s="6"/>
    </row>
    <row r="783" spans="6:7" ht="15.5" x14ac:dyDescent="0.35">
      <c r="F783" s="11"/>
      <c r="G783" s="6"/>
    </row>
    <row r="784" spans="6:7" ht="15.5" x14ac:dyDescent="0.35">
      <c r="F784" s="11"/>
      <c r="G784" s="6"/>
    </row>
    <row r="785" spans="6:7" ht="15.5" x14ac:dyDescent="0.35">
      <c r="F785" s="11"/>
      <c r="G785" s="6"/>
    </row>
    <row r="786" spans="6:7" ht="15.5" x14ac:dyDescent="0.35">
      <c r="F786" s="11"/>
      <c r="G786" s="6"/>
    </row>
    <row r="787" spans="6:7" ht="15.5" x14ac:dyDescent="0.35">
      <c r="F787" s="11"/>
      <c r="G787" s="6"/>
    </row>
    <row r="788" spans="6:7" ht="15.5" x14ac:dyDescent="0.35">
      <c r="F788" s="11"/>
      <c r="G788" s="6"/>
    </row>
    <row r="789" spans="6:7" ht="15.5" x14ac:dyDescent="0.35">
      <c r="F789" s="11"/>
      <c r="G789" s="6"/>
    </row>
    <row r="790" spans="6:7" ht="15.5" x14ac:dyDescent="0.35">
      <c r="F790" s="11"/>
      <c r="G790" s="6"/>
    </row>
    <row r="791" spans="6:7" ht="15.5" x14ac:dyDescent="0.35">
      <c r="F791" s="11"/>
      <c r="G791" s="6"/>
    </row>
    <row r="792" spans="6:7" ht="15.5" x14ac:dyDescent="0.35">
      <c r="F792" s="11"/>
      <c r="G792" s="6"/>
    </row>
    <row r="793" spans="6:7" ht="15.5" x14ac:dyDescent="0.35">
      <c r="F793" s="11"/>
      <c r="G793" s="6"/>
    </row>
    <row r="794" spans="6:7" ht="15.5" x14ac:dyDescent="0.35">
      <c r="F794" s="11"/>
      <c r="G794" s="6"/>
    </row>
    <row r="795" spans="6:7" ht="15.5" x14ac:dyDescent="0.35">
      <c r="F795" s="11"/>
      <c r="G795" s="6"/>
    </row>
    <row r="796" spans="6:7" ht="15.5" x14ac:dyDescent="0.35">
      <c r="F796" s="11"/>
      <c r="G796" s="6"/>
    </row>
    <row r="797" spans="6:7" ht="15.5" x14ac:dyDescent="0.35">
      <c r="F797" s="11"/>
      <c r="G797" s="6"/>
    </row>
    <row r="798" spans="6:7" ht="15.5" x14ac:dyDescent="0.35">
      <c r="F798" s="11"/>
      <c r="G798" s="6"/>
    </row>
    <row r="799" spans="6:7" ht="15.5" x14ac:dyDescent="0.35">
      <c r="F799" s="11"/>
      <c r="G799" s="6"/>
    </row>
    <row r="800" spans="6:7" ht="15.5" x14ac:dyDescent="0.35">
      <c r="F800" s="11"/>
      <c r="G800" s="6"/>
    </row>
    <row r="801" spans="6:7" ht="15.5" x14ac:dyDescent="0.35">
      <c r="F801" s="11"/>
      <c r="G801" s="6"/>
    </row>
    <row r="802" spans="6:7" ht="15.5" x14ac:dyDescent="0.35">
      <c r="F802" s="11"/>
      <c r="G802" s="6"/>
    </row>
    <row r="803" spans="6:7" ht="15.5" x14ac:dyDescent="0.35">
      <c r="F803" s="11"/>
      <c r="G803" s="6"/>
    </row>
    <row r="804" spans="6:7" ht="15.5" x14ac:dyDescent="0.35">
      <c r="F804" s="11"/>
      <c r="G804" s="6"/>
    </row>
    <row r="805" spans="6:7" ht="15.5" x14ac:dyDescent="0.35">
      <c r="F805" s="11"/>
      <c r="G805" s="6"/>
    </row>
    <row r="806" spans="6:7" ht="15.5" x14ac:dyDescent="0.35">
      <c r="F806" s="11"/>
      <c r="G806" s="6"/>
    </row>
    <row r="807" spans="6:7" ht="15.5" x14ac:dyDescent="0.35">
      <c r="F807" s="11"/>
      <c r="G807" s="6"/>
    </row>
    <row r="808" spans="6:7" ht="15.5" x14ac:dyDescent="0.35">
      <c r="F808" s="11"/>
      <c r="G808" s="6"/>
    </row>
    <row r="809" spans="6:7" ht="15.5" x14ac:dyDescent="0.35">
      <c r="F809" s="11"/>
      <c r="G809" s="6"/>
    </row>
    <row r="810" spans="6:7" ht="15.5" x14ac:dyDescent="0.35">
      <c r="F810" s="11"/>
      <c r="G810" s="6"/>
    </row>
    <row r="811" spans="6:7" ht="15.5" x14ac:dyDescent="0.35">
      <c r="F811" s="11"/>
      <c r="G811" s="6"/>
    </row>
    <row r="812" spans="6:7" ht="15.5" x14ac:dyDescent="0.35">
      <c r="F812" s="11"/>
      <c r="G812" s="6"/>
    </row>
    <row r="813" spans="6:7" ht="15.5" x14ac:dyDescent="0.35">
      <c r="F813" s="11"/>
      <c r="G813" s="6"/>
    </row>
    <row r="814" spans="6:7" ht="15.5" x14ac:dyDescent="0.35">
      <c r="F814" s="11"/>
      <c r="G814" s="6"/>
    </row>
    <row r="815" spans="6:7" ht="15.5" x14ac:dyDescent="0.35">
      <c r="F815" s="11"/>
      <c r="G815" s="6"/>
    </row>
    <row r="816" spans="6:7" ht="15.5" x14ac:dyDescent="0.35">
      <c r="F816" s="11"/>
      <c r="G816" s="6"/>
    </row>
    <row r="817" spans="6:7" ht="15.5" x14ac:dyDescent="0.35">
      <c r="F817" s="11"/>
      <c r="G817" s="6"/>
    </row>
    <row r="818" spans="6:7" ht="15.5" x14ac:dyDescent="0.35">
      <c r="F818" s="11"/>
      <c r="G818" s="6"/>
    </row>
    <row r="819" spans="6:7" ht="15.5" x14ac:dyDescent="0.35">
      <c r="F819" s="11"/>
      <c r="G819" s="6"/>
    </row>
    <row r="820" spans="6:7" ht="15.5" x14ac:dyDescent="0.35">
      <c r="F820" s="11"/>
      <c r="G820" s="6"/>
    </row>
    <row r="821" spans="6:7" ht="15.5" x14ac:dyDescent="0.35">
      <c r="F821" s="11"/>
      <c r="G821" s="6"/>
    </row>
    <row r="822" spans="6:7" ht="15.5" x14ac:dyDescent="0.35">
      <c r="F822" s="11"/>
      <c r="G822" s="6"/>
    </row>
    <row r="823" spans="6:7" ht="15.5" x14ac:dyDescent="0.35">
      <c r="F823" s="11"/>
      <c r="G823" s="6"/>
    </row>
    <row r="824" spans="6:7" ht="15.5" x14ac:dyDescent="0.35">
      <c r="F824" s="11"/>
      <c r="G824" s="6"/>
    </row>
    <row r="825" spans="6:7" ht="15.5" x14ac:dyDescent="0.35">
      <c r="F825" s="11"/>
      <c r="G825" s="6"/>
    </row>
    <row r="826" spans="6:7" ht="15.5" x14ac:dyDescent="0.35">
      <c r="F826" s="11"/>
      <c r="G826" s="6"/>
    </row>
    <row r="827" spans="6:7" ht="15.5" x14ac:dyDescent="0.35">
      <c r="F827" s="11"/>
      <c r="G827" s="6"/>
    </row>
    <row r="828" spans="6:7" ht="15.5" x14ac:dyDescent="0.35">
      <c r="F828" s="11"/>
      <c r="G828" s="6"/>
    </row>
    <row r="829" spans="6:7" ht="15.5" x14ac:dyDescent="0.35">
      <c r="F829" s="11"/>
      <c r="G829" s="6"/>
    </row>
    <row r="830" spans="6:7" ht="15.5" x14ac:dyDescent="0.35">
      <c r="F830" s="11"/>
      <c r="G830" s="6"/>
    </row>
    <row r="831" spans="6:7" ht="15.5" x14ac:dyDescent="0.35">
      <c r="F831" s="11"/>
      <c r="G831" s="6"/>
    </row>
    <row r="832" spans="6:7" ht="15.5" x14ac:dyDescent="0.35">
      <c r="F832" s="11"/>
      <c r="G832" s="6"/>
    </row>
    <row r="833" spans="6:7" ht="15.5" x14ac:dyDescent="0.35">
      <c r="F833" s="11"/>
      <c r="G833" s="6"/>
    </row>
    <row r="834" spans="6:7" ht="15.5" x14ac:dyDescent="0.35">
      <c r="F834" s="11"/>
      <c r="G834" s="6"/>
    </row>
    <row r="835" spans="6:7" ht="15.5" x14ac:dyDescent="0.35">
      <c r="F835" s="11"/>
      <c r="G835" s="6"/>
    </row>
    <row r="836" spans="6:7" ht="15.5" x14ac:dyDescent="0.35">
      <c r="F836" s="11"/>
      <c r="G836" s="6"/>
    </row>
    <row r="837" spans="6:7" ht="15.5" x14ac:dyDescent="0.35">
      <c r="F837" s="11"/>
      <c r="G837" s="6"/>
    </row>
    <row r="838" spans="6:7" ht="15.5" x14ac:dyDescent="0.35">
      <c r="F838" s="11"/>
      <c r="G838" s="6"/>
    </row>
    <row r="839" spans="6:7" ht="15.5" x14ac:dyDescent="0.35">
      <c r="F839" s="11"/>
      <c r="G839" s="6"/>
    </row>
    <row r="840" spans="6:7" ht="15.5" x14ac:dyDescent="0.35">
      <c r="F840" s="11"/>
      <c r="G840" s="6"/>
    </row>
    <row r="841" spans="6:7" ht="15.5" x14ac:dyDescent="0.35">
      <c r="F841" s="11"/>
      <c r="G841" s="6"/>
    </row>
    <row r="842" spans="6:7" ht="15.5" x14ac:dyDescent="0.35">
      <c r="F842" s="11"/>
      <c r="G842" s="6"/>
    </row>
    <row r="843" spans="6:7" ht="15.5" x14ac:dyDescent="0.35">
      <c r="F843" s="11"/>
      <c r="G843" s="6"/>
    </row>
    <row r="844" spans="6:7" ht="15.5" x14ac:dyDescent="0.35">
      <c r="F844" s="11"/>
      <c r="G844" s="6"/>
    </row>
    <row r="845" spans="6:7" ht="15.5" x14ac:dyDescent="0.35">
      <c r="F845" s="11"/>
      <c r="G845" s="6"/>
    </row>
    <row r="846" spans="6:7" ht="15.5" x14ac:dyDescent="0.35">
      <c r="F846" s="11"/>
      <c r="G846" s="6"/>
    </row>
    <row r="847" spans="6:7" ht="15.5" x14ac:dyDescent="0.35">
      <c r="F847" s="11"/>
      <c r="G847" s="6"/>
    </row>
    <row r="848" spans="6:7" ht="15.5" x14ac:dyDescent="0.35">
      <c r="F848" s="11"/>
      <c r="G848" s="6"/>
    </row>
    <row r="849" spans="6:7" ht="15.5" x14ac:dyDescent="0.35">
      <c r="F849" s="11"/>
      <c r="G849" s="6"/>
    </row>
    <row r="850" spans="6:7" ht="15.5" x14ac:dyDescent="0.35">
      <c r="F850" s="11"/>
      <c r="G850" s="6"/>
    </row>
    <row r="851" spans="6:7" ht="15.5" x14ac:dyDescent="0.35">
      <c r="F851" s="11"/>
      <c r="G851" s="6"/>
    </row>
    <row r="852" spans="6:7" ht="15.5" x14ac:dyDescent="0.35">
      <c r="F852" s="11"/>
      <c r="G852" s="6"/>
    </row>
    <row r="853" spans="6:7" ht="15.5" x14ac:dyDescent="0.35">
      <c r="F853" s="11"/>
      <c r="G853" s="6"/>
    </row>
    <row r="854" spans="6:7" ht="15.5" x14ac:dyDescent="0.35">
      <c r="F854" s="11"/>
      <c r="G854" s="6"/>
    </row>
    <row r="855" spans="6:7" ht="15.5" x14ac:dyDescent="0.35">
      <c r="F855" s="11"/>
      <c r="G855" s="6"/>
    </row>
    <row r="856" spans="6:7" ht="15.5" x14ac:dyDescent="0.35">
      <c r="F856" s="11"/>
      <c r="G856" s="6"/>
    </row>
    <row r="857" spans="6:7" ht="15.5" x14ac:dyDescent="0.35">
      <c r="F857" s="11"/>
      <c r="G857" s="6"/>
    </row>
    <row r="858" spans="6:7" ht="15.5" x14ac:dyDescent="0.35">
      <c r="F858" s="11"/>
      <c r="G858" s="6"/>
    </row>
    <row r="859" spans="6:7" ht="15.5" x14ac:dyDescent="0.35">
      <c r="F859" s="11"/>
      <c r="G859" s="6"/>
    </row>
    <row r="860" spans="6:7" ht="15.5" x14ac:dyDescent="0.35">
      <c r="F860" s="11"/>
      <c r="G860" s="6"/>
    </row>
    <row r="861" spans="6:7" ht="15.5" x14ac:dyDescent="0.35">
      <c r="F861" s="11"/>
      <c r="G861" s="6"/>
    </row>
    <row r="862" spans="6:7" ht="15.5" x14ac:dyDescent="0.35">
      <c r="F862" s="11"/>
      <c r="G862" s="6"/>
    </row>
    <row r="863" spans="6:7" ht="15.5" x14ac:dyDescent="0.35">
      <c r="F863" s="11"/>
      <c r="G863" s="6"/>
    </row>
    <row r="864" spans="6:7" ht="15.5" x14ac:dyDescent="0.35">
      <c r="F864" s="11"/>
      <c r="G864" s="6"/>
    </row>
    <row r="865" spans="6:7" ht="15.5" x14ac:dyDescent="0.35">
      <c r="F865" s="11"/>
      <c r="G865" s="6"/>
    </row>
    <row r="866" spans="6:7" ht="15.5" x14ac:dyDescent="0.35">
      <c r="F866" s="11"/>
      <c r="G866" s="6"/>
    </row>
    <row r="867" spans="6:7" ht="15.5" x14ac:dyDescent="0.35">
      <c r="F867" s="11"/>
      <c r="G867" s="6"/>
    </row>
    <row r="868" spans="6:7" ht="15.5" x14ac:dyDescent="0.35">
      <c r="F868" s="11"/>
      <c r="G868" s="6"/>
    </row>
    <row r="869" spans="6:7" ht="15.5" x14ac:dyDescent="0.35">
      <c r="F869" s="11"/>
      <c r="G869" s="6"/>
    </row>
    <row r="870" spans="6:7" ht="15.5" x14ac:dyDescent="0.35">
      <c r="F870" s="11"/>
      <c r="G870" s="6"/>
    </row>
    <row r="871" spans="6:7" ht="15.5" x14ac:dyDescent="0.35">
      <c r="F871" s="11"/>
      <c r="G871" s="6"/>
    </row>
    <row r="872" spans="6:7" ht="15.5" x14ac:dyDescent="0.35">
      <c r="F872" s="11"/>
      <c r="G872" s="6"/>
    </row>
    <row r="873" spans="6:7" ht="15.5" x14ac:dyDescent="0.35">
      <c r="F873" s="11"/>
      <c r="G873" s="6"/>
    </row>
    <row r="874" spans="6:7" ht="15.5" x14ac:dyDescent="0.35">
      <c r="F874" s="11"/>
      <c r="G874" s="6"/>
    </row>
    <row r="875" spans="6:7" ht="15.5" x14ac:dyDescent="0.35">
      <c r="F875" s="11"/>
      <c r="G875" s="6"/>
    </row>
    <row r="876" spans="6:7" ht="15.5" x14ac:dyDescent="0.35">
      <c r="F876" s="11"/>
      <c r="G876" s="6"/>
    </row>
    <row r="877" spans="6:7" ht="15.5" x14ac:dyDescent="0.35">
      <c r="F877" s="11"/>
      <c r="G877" s="6"/>
    </row>
    <row r="878" spans="6:7" ht="15.5" x14ac:dyDescent="0.35">
      <c r="F878" s="11"/>
      <c r="G878" s="6"/>
    </row>
    <row r="879" spans="6:7" ht="15.5" x14ac:dyDescent="0.35">
      <c r="F879" s="11"/>
      <c r="G879" s="6"/>
    </row>
    <row r="880" spans="6:7" ht="15.5" x14ac:dyDescent="0.35">
      <c r="F880" s="11"/>
      <c r="G880" s="6"/>
    </row>
    <row r="881" spans="6:7" ht="15.5" x14ac:dyDescent="0.35">
      <c r="F881" s="11"/>
      <c r="G881" s="6"/>
    </row>
    <row r="882" spans="6:7" ht="15.5" x14ac:dyDescent="0.35">
      <c r="F882" s="11"/>
      <c r="G882" s="6"/>
    </row>
    <row r="883" spans="6:7" ht="15.5" x14ac:dyDescent="0.35">
      <c r="F883" s="11"/>
      <c r="G883" s="6"/>
    </row>
    <row r="884" spans="6:7" ht="15.5" x14ac:dyDescent="0.35">
      <c r="F884" s="11"/>
      <c r="G884" s="6"/>
    </row>
    <row r="885" spans="6:7" ht="15.5" x14ac:dyDescent="0.35">
      <c r="F885" s="11"/>
      <c r="G885" s="6"/>
    </row>
    <row r="886" spans="6:7" ht="15.5" x14ac:dyDescent="0.35">
      <c r="F886" s="11"/>
      <c r="G886" s="6"/>
    </row>
    <row r="887" spans="6:7" ht="15.5" x14ac:dyDescent="0.35">
      <c r="F887" s="11"/>
      <c r="G887" s="6"/>
    </row>
    <row r="888" spans="6:7" ht="15.5" x14ac:dyDescent="0.35">
      <c r="F888" s="11"/>
      <c r="G888" s="6"/>
    </row>
    <row r="889" spans="6:7" ht="15.5" x14ac:dyDescent="0.35">
      <c r="F889" s="11"/>
      <c r="G889" s="6"/>
    </row>
    <row r="890" spans="6:7" ht="15.5" x14ac:dyDescent="0.35">
      <c r="F890" s="11"/>
      <c r="G890" s="6"/>
    </row>
    <row r="891" spans="6:7" ht="15.5" x14ac:dyDescent="0.35">
      <c r="F891" s="11"/>
      <c r="G891" s="6"/>
    </row>
    <row r="892" spans="6:7" ht="15.5" x14ac:dyDescent="0.35">
      <c r="F892" s="11"/>
      <c r="G892" s="6"/>
    </row>
    <row r="893" spans="6:7" ht="15.5" x14ac:dyDescent="0.35">
      <c r="F893" s="11"/>
      <c r="G893" s="6"/>
    </row>
    <row r="894" spans="6:7" ht="15.5" x14ac:dyDescent="0.35">
      <c r="F894" s="11"/>
      <c r="G894" s="6"/>
    </row>
    <row r="895" spans="6:7" ht="15.5" x14ac:dyDescent="0.35">
      <c r="F895" s="11"/>
      <c r="G895" s="6"/>
    </row>
    <row r="896" spans="6:7" ht="15.5" x14ac:dyDescent="0.35">
      <c r="F896" s="11"/>
      <c r="G896" s="6"/>
    </row>
    <row r="897" spans="6:7" ht="15.5" x14ac:dyDescent="0.35">
      <c r="F897" s="11"/>
      <c r="G897" s="6"/>
    </row>
    <row r="898" spans="6:7" ht="15.5" x14ac:dyDescent="0.35">
      <c r="F898" s="11"/>
      <c r="G898" s="6"/>
    </row>
    <row r="899" spans="6:7" ht="15.5" x14ac:dyDescent="0.35">
      <c r="F899" s="11"/>
      <c r="G899" s="6"/>
    </row>
    <row r="900" spans="6:7" ht="15.5" x14ac:dyDescent="0.35">
      <c r="F900" s="11"/>
      <c r="G900" s="6"/>
    </row>
    <row r="901" spans="6:7" ht="15.5" x14ac:dyDescent="0.35">
      <c r="F901" s="11"/>
      <c r="G901" s="6"/>
    </row>
    <row r="902" spans="6:7" ht="15.5" x14ac:dyDescent="0.35">
      <c r="F902" s="11"/>
      <c r="G902" s="6"/>
    </row>
    <row r="903" spans="6:7" ht="15.5" x14ac:dyDescent="0.35">
      <c r="F903" s="11"/>
      <c r="G903" s="6"/>
    </row>
    <row r="904" spans="6:7" ht="15.5" x14ac:dyDescent="0.35">
      <c r="F904" s="11"/>
      <c r="G904" s="6"/>
    </row>
    <row r="905" spans="6:7" ht="15.5" x14ac:dyDescent="0.35">
      <c r="F905" s="11"/>
      <c r="G905" s="6"/>
    </row>
    <row r="906" spans="6:7" ht="15.5" x14ac:dyDescent="0.35">
      <c r="F906" s="11"/>
      <c r="G906" s="6"/>
    </row>
    <row r="907" spans="6:7" ht="15.5" x14ac:dyDescent="0.35">
      <c r="F907" s="11"/>
      <c r="G907" s="6"/>
    </row>
    <row r="908" spans="6:7" ht="15.5" x14ac:dyDescent="0.35">
      <c r="F908" s="11"/>
      <c r="G908" s="6"/>
    </row>
    <row r="909" spans="6:7" ht="15.5" x14ac:dyDescent="0.35">
      <c r="F909" s="11"/>
      <c r="G909" s="6"/>
    </row>
    <row r="910" spans="6:7" ht="15.5" x14ac:dyDescent="0.35">
      <c r="F910" s="11"/>
      <c r="G910" s="6"/>
    </row>
    <row r="911" spans="6:7" ht="15.5" x14ac:dyDescent="0.35">
      <c r="F911" s="11"/>
      <c r="G911" s="6"/>
    </row>
    <row r="912" spans="6:7" ht="15.5" x14ac:dyDescent="0.35">
      <c r="F912" s="11"/>
      <c r="G912" s="6"/>
    </row>
    <row r="913" spans="6:7" ht="15.5" x14ac:dyDescent="0.35">
      <c r="F913" s="11"/>
      <c r="G913" s="6"/>
    </row>
    <row r="914" spans="6:7" ht="15.5" x14ac:dyDescent="0.35">
      <c r="F914" s="11"/>
      <c r="G914" s="6"/>
    </row>
    <row r="915" spans="6:7" ht="15.5" x14ac:dyDescent="0.35">
      <c r="F915" s="11"/>
      <c r="G915" s="6"/>
    </row>
    <row r="916" spans="6:7" ht="15.5" x14ac:dyDescent="0.35">
      <c r="F916" s="11"/>
      <c r="G916" s="6"/>
    </row>
    <row r="917" spans="6:7" ht="15.5" x14ac:dyDescent="0.35">
      <c r="F917" s="11"/>
      <c r="G917" s="6"/>
    </row>
    <row r="918" spans="6:7" ht="15.5" x14ac:dyDescent="0.35">
      <c r="F918" s="11"/>
      <c r="G918" s="6"/>
    </row>
    <row r="919" spans="6:7" ht="15.5" x14ac:dyDescent="0.35">
      <c r="F919" s="11"/>
      <c r="G919" s="6"/>
    </row>
    <row r="920" spans="6:7" ht="15.5" x14ac:dyDescent="0.35">
      <c r="F920" s="11"/>
      <c r="G920" s="6"/>
    </row>
    <row r="921" spans="6:7" ht="15.5" x14ac:dyDescent="0.35">
      <c r="F921" s="11"/>
      <c r="G921" s="6"/>
    </row>
    <row r="922" spans="6:7" ht="15.5" x14ac:dyDescent="0.35">
      <c r="F922" s="11"/>
      <c r="G922" s="6"/>
    </row>
    <row r="923" spans="6:7" ht="15.5" x14ac:dyDescent="0.35">
      <c r="F923" s="11"/>
      <c r="G923" s="6"/>
    </row>
    <row r="924" spans="6:7" ht="15.5" x14ac:dyDescent="0.35">
      <c r="F924" s="11"/>
      <c r="G924" s="6"/>
    </row>
    <row r="925" spans="6:7" ht="15.5" x14ac:dyDescent="0.35">
      <c r="F925" s="11"/>
      <c r="G925" s="6"/>
    </row>
    <row r="926" spans="6:7" ht="15.5" x14ac:dyDescent="0.35">
      <c r="F926" s="11"/>
      <c r="G926" s="6"/>
    </row>
    <row r="927" spans="6:7" ht="15.5" x14ac:dyDescent="0.35">
      <c r="F927" s="11"/>
      <c r="G927" s="6"/>
    </row>
    <row r="928" spans="6:7" ht="15.5" x14ac:dyDescent="0.35">
      <c r="F928" s="11"/>
      <c r="G928" s="6"/>
    </row>
    <row r="929" spans="6:7" ht="15.5" x14ac:dyDescent="0.35">
      <c r="F929" s="11"/>
      <c r="G929" s="6"/>
    </row>
    <row r="930" spans="6:7" ht="15.5" x14ac:dyDescent="0.35">
      <c r="F930" s="11"/>
      <c r="G930" s="6"/>
    </row>
    <row r="931" spans="6:7" ht="15.5" x14ac:dyDescent="0.35">
      <c r="F931" s="11"/>
      <c r="G931" s="6"/>
    </row>
    <row r="932" spans="6:7" ht="15.5" x14ac:dyDescent="0.35">
      <c r="F932" s="11"/>
      <c r="G932" s="6"/>
    </row>
    <row r="933" spans="6:7" ht="15.5" x14ac:dyDescent="0.35">
      <c r="F933" s="11"/>
      <c r="G933" s="6"/>
    </row>
    <row r="934" spans="6:7" ht="15.5" x14ac:dyDescent="0.35">
      <c r="F934" s="11"/>
      <c r="G934" s="6"/>
    </row>
    <row r="935" spans="6:7" ht="15.5" x14ac:dyDescent="0.35">
      <c r="F935" s="11"/>
      <c r="G935" s="6"/>
    </row>
    <row r="936" spans="6:7" ht="15.5" x14ac:dyDescent="0.35">
      <c r="F936" s="11"/>
      <c r="G936" s="6"/>
    </row>
    <row r="937" spans="6:7" ht="15.5" x14ac:dyDescent="0.35">
      <c r="F937" s="11"/>
      <c r="G937" s="6"/>
    </row>
    <row r="938" spans="6:7" ht="15.5" x14ac:dyDescent="0.35">
      <c r="F938" s="11"/>
      <c r="G938" s="6"/>
    </row>
    <row r="939" spans="6:7" ht="15.5" x14ac:dyDescent="0.35">
      <c r="F939" s="11"/>
      <c r="G939" s="6"/>
    </row>
    <row r="940" spans="6:7" ht="15.5" x14ac:dyDescent="0.35">
      <c r="F940" s="11"/>
      <c r="G940" s="6"/>
    </row>
    <row r="941" spans="6:7" ht="15.5" x14ac:dyDescent="0.35">
      <c r="F941" s="11"/>
      <c r="G941" s="6"/>
    </row>
    <row r="942" spans="6:7" ht="15.5" x14ac:dyDescent="0.35">
      <c r="F942" s="11"/>
      <c r="G942" s="6"/>
    </row>
    <row r="943" spans="6:7" ht="15.5" x14ac:dyDescent="0.35">
      <c r="F943" s="11"/>
      <c r="G943" s="6"/>
    </row>
    <row r="944" spans="6:7" ht="15.5" x14ac:dyDescent="0.35">
      <c r="F944" s="11"/>
      <c r="G944" s="6"/>
    </row>
    <row r="945" spans="6:7" ht="15.5" x14ac:dyDescent="0.35">
      <c r="F945" s="11"/>
      <c r="G945" s="6"/>
    </row>
    <row r="946" spans="6:7" ht="15.5" x14ac:dyDescent="0.35">
      <c r="F946" s="11"/>
      <c r="G946" s="6"/>
    </row>
    <row r="947" spans="6:7" ht="15.5" x14ac:dyDescent="0.35">
      <c r="F947" s="11"/>
      <c r="G947" s="6"/>
    </row>
    <row r="948" spans="6:7" ht="15.5" x14ac:dyDescent="0.35">
      <c r="F948" s="11"/>
      <c r="G948" s="6"/>
    </row>
    <row r="949" spans="6:7" ht="15.5" x14ac:dyDescent="0.35">
      <c r="F949" s="11"/>
      <c r="G949" s="6"/>
    </row>
    <row r="950" spans="6:7" ht="15.5" x14ac:dyDescent="0.35">
      <c r="F950" s="11"/>
      <c r="G950" s="6"/>
    </row>
    <row r="951" spans="6:7" ht="15.5" x14ac:dyDescent="0.35">
      <c r="F951" s="11"/>
      <c r="G951" s="6"/>
    </row>
    <row r="952" spans="6:7" ht="15.5" x14ac:dyDescent="0.35">
      <c r="F952" s="11"/>
      <c r="G952" s="6"/>
    </row>
    <row r="953" spans="6:7" ht="15.5" x14ac:dyDescent="0.35">
      <c r="F953" s="11"/>
      <c r="G953" s="6"/>
    </row>
    <row r="954" spans="6:7" ht="15.5" x14ac:dyDescent="0.35">
      <c r="F954" s="11"/>
      <c r="G954" s="6"/>
    </row>
    <row r="955" spans="6:7" ht="15.5" x14ac:dyDescent="0.35">
      <c r="F955" s="11"/>
      <c r="G955" s="6"/>
    </row>
    <row r="956" spans="6:7" ht="15.5" x14ac:dyDescent="0.35">
      <c r="F956" s="11"/>
      <c r="G956" s="6"/>
    </row>
    <row r="957" spans="6:7" ht="15.5" x14ac:dyDescent="0.35">
      <c r="F957" s="11"/>
      <c r="G957" s="6"/>
    </row>
    <row r="958" spans="6:7" ht="15.5" x14ac:dyDescent="0.35">
      <c r="F958" s="11"/>
      <c r="G958" s="6"/>
    </row>
    <row r="959" spans="6:7" ht="15.5" x14ac:dyDescent="0.35">
      <c r="F959" s="11"/>
      <c r="G959" s="6"/>
    </row>
    <row r="960" spans="6:7" ht="15.5" x14ac:dyDescent="0.35">
      <c r="F960" s="11"/>
      <c r="G960" s="6"/>
    </row>
    <row r="961" spans="6:7" ht="15.5" x14ac:dyDescent="0.35">
      <c r="F961" s="11"/>
      <c r="G961" s="6"/>
    </row>
    <row r="962" spans="6:7" ht="15.5" x14ac:dyDescent="0.35">
      <c r="F962" s="11"/>
      <c r="G962" s="6"/>
    </row>
    <row r="963" spans="6:7" ht="15.5" x14ac:dyDescent="0.35">
      <c r="F963" s="11"/>
      <c r="G963" s="6"/>
    </row>
    <row r="964" spans="6:7" ht="15.5" x14ac:dyDescent="0.35">
      <c r="F964" s="11"/>
      <c r="G964" s="6"/>
    </row>
    <row r="965" spans="6:7" ht="15.5" x14ac:dyDescent="0.35">
      <c r="F965" s="11"/>
      <c r="G965" s="6"/>
    </row>
    <row r="966" spans="6:7" ht="15.5" x14ac:dyDescent="0.35">
      <c r="F966" s="11"/>
      <c r="G966" s="6"/>
    </row>
    <row r="967" spans="6:7" ht="15.5" x14ac:dyDescent="0.35">
      <c r="F967" s="11"/>
      <c r="G967" s="6"/>
    </row>
    <row r="968" spans="6:7" ht="15.5" x14ac:dyDescent="0.35">
      <c r="F968" s="11"/>
      <c r="G968" s="6"/>
    </row>
    <row r="969" spans="6:7" ht="15.5" x14ac:dyDescent="0.35">
      <c r="F969" s="11"/>
      <c r="G969" s="6"/>
    </row>
    <row r="970" spans="6:7" ht="15.5" x14ac:dyDescent="0.35">
      <c r="F970" s="11"/>
      <c r="G970" s="6"/>
    </row>
    <row r="971" spans="6:7" ht="15.5" x14ac:dyDescent="0.35">
      <c r="F971" s="11"/>
      <c r="G971" s="6"/>
    </row>
    <row r="972" spans="6:7" ht="15.5" x14ac:dyDescent="0.35">
      <c r="F972" s="11"/>
      <c r="G972" s="6"/>
    </row>
    <row r="973" spans="6:7" ht="15.5" x14ac:dyDescent="0.35">
      <c r="F973" s="11"/>
      <c r="G973" s="6"/>
    </row>
    <row r="974" spans="6:7" ht="15.5" x14ac:dyDescent="0.35">
      <c r="F974" s="11"/>
      <c r="G974" s="6"/>
    </row>
    <row r="975" spans="6:7" ht="15.5" x14ac:dyDescent="0.35">
      <c r="F975" s="11"/>
      <c r="G975" s="6"/>
    </row>
    <row r="976" spans="6:7" ht="15.5" x14ac:dyDescent="0.35">
      <c r="F976" s="11"/>
      <c r="G976" s="6"/>
    </row>
    <row r="977" spans="6:7" ht="15.5" x14ac:dyDescent="0.35">
      <c r="F977" s="11"/>
      <c r="G977" s="6"/>
    </row>
    <row r="978" spans="6:7" ht="15.5" x14ac:dyDescent="0.35">
      <c r="F978" s="11"/>
      <c r="G978" s="6"/>
    </row>
    <row r="979" spans="6:7" ht="15.5" x14ac:dyDescent="0.35">
      <c r="F979" s="11"/>
      <c r="G979" s="6"/>
    </row>
    <row r="980" spans="6:7" ht="15.5" x14ac:dyDescent="0.35">
      <c r="F980" s="11"/>
      <c r="G980" s="6"/>
    </row>
    <row r="981" spans="6:7" ht="15.5" x14ac:dyDescent="0.35">
      <c r="F981" s="11"/>
      <c r="G981" s="6"/>
    </row>
    <row r="982" spans="6:7" ht="15.5" x14ac:dyDescent="0.35">
      <c r="F982" s="11"/>
      <c r="G982" s="6"/>
    </row>
    <row r="983" spans="6:7" ht="15.5" x14ac:dyDescent="0.35">
      <c r="F983" s="11"/>
      <c r="G983" s="6"/>
    </row>
    <row r="984" spans="6:7" ht="15.5" x14ac:dyDescent="0.35">
      <c r="F984" s="11"/>
      <c r="G984" s="6"/>
    </row>
    <row r="985" spans="6:7" ht="15.5" x14ac:dyDescent="0.35">
      <c r="F985" s="11"/>
      <c r="G985" s="6"/>
    </row>
    <row r="986" spans="6:7" ht="15.5" x14ac:dyDescent="0.35">
      <c r="F986" s="11"/>
      <c r="G986" s="6"/>
    </row>
    <row r="987" spans="6:7" ht="15.5" x14ac:dyDescent="0.35">
      <c r="F987" s="11"/>
      <c r="G987" s="6"/>
    </row>
    <row r="988" spans="6:7" ht="15.5" x14ac:dyDescent="0.35">
      <c r="F988" s="11"/>
      <c r="G988" s="6"/>
    </row>
    <row r="989" spans="6:7" ht="15.5" x14ac:dyDescent="0.35">
      <c r="F989" s="11"/>
      <c r="G989" s="6"/>
    </row>
    <row r="990" spans="6:7" ht="15.5" x14ac:dyDescent="0.35">
      <c r="F990" s="11"/>
      <c r="G990" s="6"/>
    </row>
    <row r="991" spans="6:7" ht="15.5" x14ac:dyDescent="0.35">
      <c r="F991" s="11"/>
      <c r="G991" s="6"/>
    </row>
    <row r="992" spans="6:7" ht="15.5" x14ac:dyDescent="0.35">
      <c r="F992" s="11"/>
      <c r="G992" s="6"/>
    </row>
    <row r="993" spans="6:7" ht="15.5" x14ac:dyDescent="0.35">
      <c r="F993" s="11"/>
      <c r="G993" s="6"/>
    </row>
    <row r="994" spans="6:7" ht="15.5" x14ac:dyDescent="0.35">
      <c r="F994" s="11"/>
      <c r="G994" s="6"/>
    </row>
    <row r="995" spans="6:7" ht="15.5" x14ac:dyDescent="0.35">
      <c r="F995" s="11"/>
      <c r="G995" s="6"/>
    </row>
    <row r="996" spans="6:7" ht="15.5" x14ac:dyDescent="0.35">
      <c r="F996" s="11"/>
      <c r="G996" s="6"/>
    </row>
    <row r="997" spans="6:7" ht="15.5" x14ac:dyDescent="0.35">
      <c r="F997" s="11"/>
      <c r="G997" s="6"/>
    </row>
    <row r="998" spans="6:7" ht="15.5" x14ac:dyDescent="0.35">
      <c r="F998" s="11"/>
      <c r="G998" s="6"/>
    </row>
    <row r="999" spans="6:7" ht="15.5" x14ac:dyDescent="0.35">
      <c r="F999" s="11"/>
      <c r="G999" s="6"/>
    </row>
    <row r="1000" spans="6:7" ht="15.5" x14ac:dyDescent="0.35">
      <c r="F1000" s="11"/>
      <c r="G1000" s="6"/>
    </row>
  </sheetData>
  <conditionalFormatting sqref="A2:Q690">
    <cfRule type="containsBlanks" dxfId="31" priority="1">
      <formula>LEN(TRIM(A2))=0</formula>
    </cfRule>
  </conditionalFormatting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000"/>
  <sheetViews>
    <sheetView topLeftCell="A7" workbookViewId="0">
      <selection activeCell="B15" sqref="B15:B21"/>
    </sheetView>
  </sheetViews>
  <sheetFormatPr defaultColWidth="11.25" defaultRowHeight="15" customHeight="1" x14ac:dyDescent="0.35"/>
  <cols>
    <col min="1" max="1" width="12.4140625" customWidth="1"/>
    <col min="2" max="2" width="23.33203125" bestFit="1" customWidth="1"/>
    <col min="3" max="3" width="13.58203125" customWidth="1"/>
    <col min="4" max="4" width="8.08203125" customWidth="1"/>
    <col min="5" max="5" width="8.75" customWidth="1"/>
    <col min="6" max="6" width="12" customWidth="1"/>
    <col min="7" max="7" width="16.75" bestFit="1" customWidth="1"/>
    <col min="8" max="8" width="13.08203125" customWidth="1"/>
    <col min="9" max="9" width="19.08203125" customWidth="1"/>
    <col min="10" max="10" width="8.75" customWidth="1"/>
    <col min="11" max="11" width="12" customWidth="1"/>
    <col min="12" max="12" width="16.1640625" bestFit="1" customWidth="1"/>
    <col min="13" max="13" width="18.9140625" bestFit="1" customWidth="1"/>
    <col min="14" max="14" width="14.08203125" customWidth="1"/>
    <col min="15" max="26" width="11" customWidth="1"/>
  </cols>
  <sheetData>
    <row r="1" spans="1:14" ht="16.5" customHeight="1" x14ac:dyDescent="0.35">
      <c r="A1" s="72" t="s">
        <v>0</v>
      </c>
      <c r="B1" s="73"/>
      <c r="C1" s="73"/>
      <c r="D1" s="74"/>
      <c r="E1" s="1"/>
      <c r="F1" s="72" t="s">
        <v>1</v>
      </c>
      <c r="G1" s="73"/>
      <c r="H1" s="73"/>
      <c r="I1" s="74"/>
      <c r="J1" s="2"/>
      <c r="K1" s="72" t="s">
        <v>2</v>
      </c>
      <c r="L1" s="73"/>
      <c r="M1" s="73"/>
      <c r="N1" s="74"/>
    </row>
    <row r="2" spans="1:14" ht="46.5" customHeight="1" x14ac:dyDescent="0.35">
      <c r="A2" s="70" t="s">
        <v>4</v>
      </c>
      <c r="B2" s="71"/>
      <c r="C2" s="71"/>
      <c r="D2" s="71"/>
      <c r="E2" s="1"/>
      <c r="F2" s="70" t="s">
        <v>9</v>
      </c>
      <c r="G2" s="71"/>
      <c r="H2" s="71"/>
      <c r="I2" s="71"/>
      <c r="J2" s="2"/>
      <c r="K2" s="70" t="s">
        <v>13</v>
      </c>
      <c r="L2" s="71"/>
      <c r="M2" s="71"/>
      <c r="N2" s="71"/>
    </row>
    <row r="3" spans="1:14" ht="18" customHeight="1" x14ac:dyDescent="0.35">
      <c r="A3" s="3" t="s">
        <v>21</v>
      </c>
      <c r="B3" s="5" t="s">
        <v>24</v>
      </c>
      <c r="C3" s="5" t="s">
        <v>15</v>
      </c>
      <c r="D3" s="7" t="s">
        <v>17</v>
      </c>
      <c r="E3" s="1"/>
      <c r="F3" s="8" t="s">
        <v>21</v>
      </c>
      <c r="G3" s="5" t="s">
        <v>24</v>
      </c>
      <c r="H3" s="5" t="s">
        <v>12</v>
      </c>
      <c r="I3" s="7" t="s">
        <v>14</v>
      </c>
      <c r="J3" s="2"/>
      <c r="K3" s="8" t="s">
        <v>5</v>
      </c>
      <c r="L3" s="7" t="s">
        <v>17</v>
      </c>
      <c r="M3" s="5" t="s">
        <v>11</v>
      </c>
      <c r="N3" s="9" t="s">
        <v>16</v>
      </c>
    </row>
    <row r="4" spans="1:14" ht="16.5" customHeight="1" x14ac:dyDescent="0.35">
      <c r="A4" s="10">
        <v>12</v>
      </c>
      <c r="B4" t="str">
        <f>VLOOKUP(A4,Employees_Data[#All],4,FALSE)</f>
        <v>Muhamad Iad</v>
      </c>
      <c r="C4" s="14">
        <f>VLOOKUP(A4,Employees_Data[#All],11,FALSE)</f>
        <v>2016</v>
      </c>
      <c r="D4">
        <f>VLOOKUP(A4,Employees_Data[#All],13,FALSE)</f>
        <v>1</v>
      </c>
      <c r="E4" s="1"/>
      <c r="F4" s="10">
        <v>55</v>
      </c>
      <c r="G4" t="str">
        <f>_xlfn.XLOOKUP(F4,Employees!$A:$A,Employees!$D:$D,"Not Found",0)</f>
        <v>Eubay Alttahir</v>
      </c>
      <c r="H4" t="str">
        <f>_xlfn.XLOOKUP(F4,Employees!$A:$A,Employees!$I:$I,"Not Found",0)</f>
        <v>Egypt</v>
      </c>
      <c r="I4" t="str">
        <f>_xlfn.XLOOKUP(F4,Employees!$A:$A,Employees!$J:$J,"Not Found",0)</f>
        <v>North</v>
      </c>
      <c r="J4" s="2"/>
      <c r="K4" s="4" t="s">
        <v>28</v>
      </c>
      <c r="L4">
        <f>_xlfn.XLOOKUP(K4,Employees!$B:$B,Employees!$M:$M,"Not Found",0)</f>
        <v>5</v>
      </c>
      <c r="M4" t="str">
        <f>_xlfn.XLOOKUP(K4,Employees!$B:$B,Employees!$H:$H,"Not Found",0)</f>
        <v>Product Development</v>
      </c>
      <c r="N4" s="14">
        <f>_xlfn.XLOOKUP(K4,Employees!$B:$B,Employees!$L:$L,"Not Found",0)</f>
        <v>8928</v>
      </c>
    </row>
    <row r="5" spans="1:14" ht="16.5" customHeight="1" x14ac:dyDescent="0.35">
      <c r="A5" s="10">
        <v>64</v>
      </c>
      <c r="B5" t="str">
        <f>VLOOKUP(A5,Employees_Data[#All],4,FALSE)</f>
        <v>Ahmad Alealbi</v>
      </c>
      <c r="C5" s="14">
        <f>VLOOKUP(A5,Employees_Data[#All],11,FALSE)</f>
        <v>2304</v>
      </c>
      <c r="D5">
        <f>VLOOKUP(A5,Employees_Data[#All],13,FALSE)</f>
        <v>5</v>
      </c>
      <c r="E5" s="1"/>
      <c r="F5" s="10">
        <v>5</v>
      </c>
      <c r="G5" t="str">
        <f>_xlfn.XLOOKUP(F5,Employees!$A:$A,Employees!$D:$D,"Not Found",0)</f>
        <v>Ahmad Bikri</v>
      </c>
      <c r="H5" t="str">
        <f>_xlfn.XLOOKUP(F5,Employees!$A:$A,Employees!$I:$I,"Not Found",0)</f>
        <v>Egypt</v>
      </c>
      <c r="I5" t="str">
        <f>_xlfn.XLOOKUP(F5,Employees!$A:$A,Employees!$J:$J,"Not Found",0)</f>
        <v>Main</v>
      </c>
      <c r="J5" s="2"/>
      <c r="K5" s="4" t="s">
        <v>30</v>
      </c>
      <c r="L5">
        <f>_xlfn.XLOOKUP(K5,Employees!$B:$B,Employees!$M:$M,"Not Found",0)</f>
        <v>5</v>
      </c>
      <c r="M5" t="str">
        <f>_xlfn.XLOOKUP(K5,Employees!$B:$B,Employees!$H:$H,"Not Found",0)</f>
        <v>Quality Assurance</v>
      </c>
      <c r="N5" s="14">
        <f>_xlfn.XLOOKUP(K5,Employees!$B:$B,Employees!$L:$L,"Not Found",0)</f>
        <v>40968</v>
      </c>
    </row>
    <row r="6" spans="1:14" ht="16.5" customHeight="1" x14ac:dyDescent="0.35">
      <c r="A6" s="10">
        <v>87</v>
      </c>
      <c r="B6" t="str">
        <f>VLOOKUP(A6,Employees_Data[#All],4,FALSE)</f>
        <v>Muhamad Khayr</v>
      </c>
      <c r="C6" s="14">
        <f>VLOOKUP(A6,Employees_Data[#All],11,FALSE)</f>
        <v>1166</v>
      </c>
      <c r="D6">
        <f>VLOOKUP(A6,Employees_Data[#All],13,FALSE)</f>
        <v>5</v>
      </c>
      <c r="E6" s="1"/>
      <c r="F6" s="10">
        <v>33</v>
      </c>
      <c r="G6" t="str">
        <f>_xlfn.XLOOKUP(F6,Employees!$A:$A,Employees!$D:$D,"Not Found",0)</f>
        <v>Muhamad Eurul</v>
      </c>
      <c r="H6" t="str">
        <f>_xlfn.XLOOKUP(F6,Employees!$A:$A,Employees!$I:$I,"Not Found",0)</f>
        <v>Egypt</v>
      </c>
      <c r="I6" t="str">
        <f>_xlfn.XLOOKUP(F6,Employees!$A:$A,Employees!$J:$J,"Not Found",0)</f>
        <v>North</v>
      </c>
      <c r="J6" s="2"/>
      <c r="K6" s="4" t="s">
        <v>31</v>
      </c>
      <c r="L6">
        <f>_xlfn.XLOOKUP(K6,Employees!$B:$B,Employees!$M:$M,"Not Found",0)</f>
        <v>3</v>
      </c>
      <c r="M6" t="str">
        <f>_xlfn.XLOOKUP(K6,Employees!$B:$B,Employees!$H:$H,"Not Found",0)</f>
        <v>Quality Control</v>
      </c>
      <c r="N6" s="14">
        <f>_xlfn.XLOOKUP(K6,Employees!$B:$B,Employees!$L:$L,"Not Found",0)</f>
        <v>15540</v>
      </c>
    </row>
    <row r="7" spans="1:14" ht="16.5" customHeight="1" x14ac:dyDescent="0.35">
      <c r="A7" s="10">
        <v>18</v>
      </c>
      <c r="B7" t="str">
        <f>VLOOKUP(A7,Employees_Data[#All],4,FALSE)</f>
        <v>Farahad Husayn</v>
      </c>
      <c r="C7" s="14">
        <f>VLOOKUP(A7,Employees_Data[#All],11,FALSE)</f>
        <v>1295</v>
      </c>
      <c r="D7">
        <f>VLOOKUP(A7,Employees_Data[#All],13,FALSE)</f>
        <v>3</v>
      </c>
      <c r="E7" s="1"/>
      <c r="F7" s="10">
        <v>11</v>
      </c>
      <c r="G7" t="str">
        <f>_xlfn.XLOOKUP(F7,Employees!$A:$A,Employees!$D:$D,"Not Found",0)</f>
        <v>Muhamad Alqadah</v>
      </c>
      <c r="H7" t="str">
        <f>_xlfn.XLOOKUP(F7,Employees!$A:$A,Employees!$I:$I,"Not Found",0)</f>
        <v>Syria</v>
      </c>
      <c r="I7" t="str">
        <f>_xlfn.XLOOKUP(F7,Employees!$A:$A,Employees!$J:$J,"Not Found",0)</f>
        <v>Main</v>
      </c>
      <c r="J7" s="2"/>
      <c r="K7" s="4" t="s">
        <v>32</v>
      </c>
      <c r="L7">
        <f>_xlfn.XLOOKUP(K7,Employees!$B:$B,Employees!$M:$M,"Not Found",0)</f>
        <v>3</v>
      </c>
      <c r="M7" t="str">
        <f>_xlfn.XLOOKUP(K7,Employees!$B:$B,Employees!$H:$H,"Not Found",0)</f>
        <v>Facilities/Engineering</v>
      </c>
      <c r="N7" s="14">
        <f>_xlfn.XLOOKUP(K7,Employees!$B:$B,Employees!$L:$L,"Not Found",0)</f>
        <v>24204</v>
      </c>
    </row>
    <row r="8" spans="1:14" ht="16.5" customHeight="1" x14ac:dyDescent="0.35">
      <c r="A8" s="10">
        <v>33</v>
      </c>
      <c r="B8" t="str">
        <f>VLOOKUP(A8,Employees_Data[#All],4,FALSE)</f>
        <v>Muhamad Eurul</v>
      </c>
      <c r="C8" s="14">
        <f>VLOOKUP(A8,Employees_Data[#All],11,FALSE)</f>
        <v>1551</v>
      </c>
      <c r="D8">
        <f>VLOOKUP(A8,Employees_Data[#All],13,FALSE)</f>
        <v>1</v>
      </c>
      <c r="E8" s="1"/>
      <c r="F8" s="10">
        <v>8</v>
      </c>
      <c r="G8" t="str">
        <f>_xlfn.XLOOKUP(F8,Employees!$A:$A,Employees!$D:$D,"Not Found",0)</f>
        <v>Muhamad Alaya</v>
      </c>
      <c r="H8" t="str">
        <f>_xlfn.XLOOKUP(F8,Employees!$A:$A,Employees!$I:$I,"Not Found",0)</f>
        <v>Egypt</v>
      </c>
      <c r="I8" t="str">
        <f>_xlfn.XLOOKUP(F8,Employees!$A:$A,Employees!$J:$J,"Not Found",0)</f>
        <v>Main</v>
      </c>
      <c r="J8" s="2"/>
      <c r="K8" s="4" t="s">
        <v>33</v>
      </c>
      <c r="L8">
        <f>_xlfn.XLOOKUP(K8,Employees!$B:$B,Employees!$M:$M,"Not Found",0)</f>
        <v>5</v>
      </c>
      <c r="M8" t="str">
        <f>_xlfn.XLOOKUP(K8,Employees!$B:$B,Employees!$H:$H,"Not Found",0)</f>
        <v>Account Management</v>
      </c>
      <c r="N8" s="14">
        <f>_xlfn.XLOOKUP(K8,Employees!$B:$B,Employees!$L:$L,"Not Found",0)</f>
        <v>30876</v>
      </c>
    </row>
    <row r="9" spans="1:14" ht="16.5" customHeight="1" x14ac:dyDescent="0.35">
      <c r="A9" s="10">
        <v>2</v>
      </c>
      <c r="B9" t="str">
        <f>VLOOKUP(A9,Employees_Data[#All],4,FALSE)</f>
        <v>Omar Hishan</v>
      </c>
      <c r="C9" s="14">
        <f>VLOOKUP(A9,Employees_Data[#All],11,FALSE)</f>
        <v>3247</v>
      </c>
      <c r="D9">
        <f>VLOOKUP(A9,Employees_Data[#All],13,FALSE)</f>
        <v>1</v>
      </c>
      <c r="E9" s="1"/>
      <c r="F9" s="10">
        <v>104</v>
      </c>
      <c r="G9" t="str">
        <f>_xlfn.XLOOKUP(F9,Employees!$A:$A,Employees!$D:$D,"Not Found",0)</f>
        <v>Rami Abu Adhan</v>
      </c>
      <c r="H9" t="str">
        <f>_xlfn.XLOOKUP(F9,Employees!$A:$A,Employees!$I:$I,"Not Found",0)</f>
        <v>Syria</v>
      </c>
      <c r="I9" t="str">
        <f>_xlfn.XLOOKUP(F9,Employees!$A:$A,Employees!$J:$J,"Not Found",0)</f>
        <v>Main</v>
      </c>
      <c r="J9" s="2"/>
      <c r="K9" s="4" t="s">
        <v>34</v>
      </c>
      <c r="L9">
        <f>_xlfn.XLOOKUP(K9,Employees!$B:$B,Employees!$M:$M,"Not Found",0)</f>
        <v>1</v>
      </c>
      <c r="M9" t="str">
        <f>_xlfn.XLOOKUP(K9,Employees!$B:$B,Employees!$H:$H,"Not Found",0)</f>
        <v>Manufacturing</v>
      </c>
      <c r="N9" s="14">
        <f>_xlfn.XLOOKUP(K9,Employees!$B:$B,Employees!$L:$L,"Not Found",0)</f>
        <v>29616</v>
      </c>
    </row>
    <row r="10" spans="1:14" ht="16.5" customHeight="1" x14ac:dyDescent="0.35">
      <c r="A10" s="10">
        <v>24</v>
      </c>
      <c r="B10" t="str">
        <f>VLOOKUP(A10,Employees_Data[#All],4,FALSE)</f>
        <v>Ahmad Ahmad</v>
      </c>
      <c r="C10" s="14">
        <f>VLOOKUP(A10,Employees_Data[#All],11,FALSE)</f>
        <v>2682</v>
      </c>
      <c r="D10">
        <f>VLOOKUP(A10,Employees_Data[#All],13,FALSE)</f>
        <v>4.5</v>
      </c>
      <c r="E10" s="1"/>
      <c r="F10" s="10">
        <v>49</v>
      </c>
      <c r="G10" t="str">
        <f>_xlfn.XLOOKUP(F10,Employees!$A:$A,Employees!$D:$D,"Not Found",0)</f>
        <v>Rim Almusaa</v>
      </c>
      <c r="H10" t="str">
        <f>_xlfn.XLOOKUP(F10,Employees!$A:$A,Employees!$I:$I,"Not Found",0)</f>
        <v>Egypt</v>
      </c>
      <c r="I10" t="str">
        <f>_xlfn.XLOOKUP(F10,Employees!$A:$A,Employees!$J:$J,"Not Found",0)</f>
        <v>West</v>
      </c>
      <c r="J10" s="2"/>
      <c r="K10" s="4" t="s">
        <v>35</v>
      </c>
      <c r="L10">
        <f>_xlfn.XLOOKUP(K10,Employees!$B:$B,Employees!$M:$M,"Not Found",0)</f>
        <v>1</v>
      </c>
      <c r="M10" t="str">
        <f>_xlfn.XLOOKUP(K10,Employees!$B:$B,Employees!$H:$H,"Not Found",0)</f>
        <v>Facilities/Engineering</v>
      </c>
      <c r="N10" s="14">
        <f>_xlfn.XLOOKUP(K10,Employees!$B:$B,Employees!$L:$L,"Not Found",0)</f>
        <v>35832</v>
      </c>
    </row>
    <row r="11" spans="1:14" ht="16.5" customHeight="1" x14ac:dyDescent="0.35">
      <c r="A11" s="10"/>
      <c r="E11" s="1"/>
      <c r="F11" s="10"/>
      <c r="J11" s="2"/>
    </row>
    <row r="12" spans="1:14" ht="17.25" customHeight="1" x14ac:dyDescent="0.35">
      <c r="A12" s="67" t="s">
        <v>38</v>
      </c>
      <c r="B12" s="68"/>
      <c r="C12" s="68"/>
      <c r="D12" s="69"/>
      <c r="E12" s="1"/>
      <c r="F12" s="67" t="s">
        <v>39</v>
      </c>
      <c r="G12" s="68"/>
      <c r="H12" s="68"/>
      <c r="I12" s="69"/>
      <c r="J12" s="2"/>
      <c r="K12" s="67" t="s">
        <v>41</v>
      </c>
      <c r="L12" s="68"/>
      <c r="M12" s="68"/>
      <c r="N12" s="69"/>
    </row>
    <row r="13" spans="1:14" ht="45" customHeight="1" x14ac:dyDescent="0.35">
      <c r="A13" s="70" t="s">
        <v>45</v>
      </c>
      <c r="B13" s="71"/>
      <c r="C13" s="71"/>
      <c r="D13" s="71"/>
      <c r="E13" s="1"/>
      <c r="F13" s="70" t="s">
        <v>46</v>
      </c>
      <c r="G13" s="71"/>
      <c r="H13" s="71"/>
      <c r="I13" s="71"/>
      <c r="J13" s="2"/>
      <c r="K13" s="70" t="s">
        <v>48</v>
      </c>
      <c r="L13" s="71"/>
      <c r="M13" s="71"/>
      <c r="N13" s="71"/>
    </row>
    <row r="14" spans="1:14" ht="16.5" customHeight="1" x14ac:dyDescent="0.35">
      <c r="A14" s="3" t="s">
        <v>21</v>
      </c>
      <c r="B14" s="5" t="s">
        <v>11</v>
      </c>
      <c r="C14" s="5" t="s">
        <v>20</v>
      </c>
      <c r="D14" s="7" t="s">
        <v>17</v>
      </c>
      <c r="E14" s="1"/>
      <c r="F14" s="8" t="s">
        <v>21</v>
      </c>
      <c r="G14" s="5" t="s">
        <v>24</v>
      </c>
      <c r="H14" s="5" t="s">
        <v>8</v>
      </c>
      <c r="I14" s="7" t="s">
        <v>51</v>
      </c>
      <c r="J14" s="2"/>
      <c r="K14" s="3" t="s">
        <v>21</v>
      </c>
      <c r="L14" s="5" t="s">
        <v>24</v>
      </c>
      <c r="M14" s="5" t="s">
        <v>18</v>
      </c>
      <c r="N14" s="7" t="s">
        <v>19</v>
      </c>
    </row>
    <row r="15" spans="1:14" ht="16.5" customHeight="1" x14ac:dyDescent="0.35">
      <c r="A15" s="10">
        <v>309</v>
      </c>
      <c r="B15" t="str">
        <f>VLOOKUP(A15,Employees_Data[#All],8,FALSE)</f>
        <v>Quality Control</v>
      </c>
      <c r="C15">
        <f>VLOOKUP(A15,Employees_Data[#All],16,FALSE)</f>
        <v>4</v>
      </c>
      <c r="D15">
        <f>VLOOKUP(A15,Employees_Data[#All],13,FALSE)</f>
        <v>5</v>
      </c>
      <c r="E15" s="1"/>
      <c r="F15" s="10">
        <v>37</v>
      </c>
      <c r="G15" t="str" cm="1">
        <f t="array" ref="G15:G21">INDEX(Employees!$D:$D,MATCH('Lookup Practice'!$F$15:$F$21,Employees!$A:$A,0))</f>
        <v>Rima AlAsfar</v>
      </c>
      <c r="H15" s="13" cm="1">
        <f t="array" ref="H15:H21">INDEX(Employees!$F:$F,MATCH('Lookup Practice'!$F$15:$F$21,Employees!$A:$A,0))</f>
        <v>42396</v>
      </c>
      <c r="I15" cm="1">
        <f t="array" aca="1" ref="I15:I21" ca="1">INDEX(Employees!$G:$G,MATCH('Lookup Practice'!$F$15:$F$21,Employees!$A:$A,0))</f>
        <v>10</v>
      </c>
      <c r="J15" s="2"/>
      <c r="K15" s="10">
        <v>5</v>
      </c>
      <c r="L15" t="str" cm="1">
        <f t="array" ref="L15:L21">INDEX(Employees!$D:$D,MATCH('Lookup Practice'!$K$15:$K$21,Employees!$A:$A,0))</f>
        <v>Ahmad Bikri</v>
      </c>
      <c r="M15" cm="1">
        <f t="array" ref="M15:M21">INDEX(Employees!$N:$N,MATCH('Lookup Practice'!$K$15:$K$21,Employees!$A:$A,0))</f>
        <v>0</v>
      </c>
      <c r="N15" cm="1">
        <f t="array" ref="N15:N21">INDEX(Employees!$O:$O,MATCH('Lookup Practice'!$K$15:$K$21,Employees!$A:$A,0))</f>
        <v>5</v>
      </c>
    </row>
    <row r="16" spans="1:14" ht="16.5" customHeight="1" x14ac:dyDescent="0.35">
      <c r="A16" s="10">
        <v>66</v>
      </c>
      <c r="B16" t="str">
        <f>VLOOKUP(A16,Employees_Data[#All],8,FALSE)</f>
        <v>Manufacturing</v>
      </c>
      <c r="C16">
        <f>VLOOKUP(A16,Employees_Data[#All],16,FALSE)</f>
        <v>3</v>
      </c>
      <c r="D16">
        <f>VLOOKUP(A16,Employees_Data[#All],13,FALSE)</f>
        <v>4.5</v>
      </c>
      <c r="E16" s="1"/>
      <c r="F16" s="10">
        <v>1</v>
      </c>
      <c r="G16" t="str">
        <v>Ghadir Hmshw</v>
      </c>
      <c r="H16" s="13">
        <v>43194</v>
      </c>
      <c r="I16">
        <f ca="1"/>
        <v>8</v>
      </c>
      <c r="J16" s="2"/>
      <c r="K16" s="10">
        <v>35</v>
      </c>
      <c r="L16" t="str">
        <v>Ahmad Swyd</v>
      </c>
      <c r="M16">
        <v>1</v>
      </c>
      <c r="N16">
        <v>0</v>
      </c>
    </row>
    <row r="17" spans="1:14" ht="16.5" customHeight="1" x14ac:dyDescent="0.35">
      <c r="A17" s="10">
        <v>6</v>
      </c>
      <c r="B17" t="str">
        <f>VLOOKUP(A17,Employees_Data[#All],8,FALSE)</f>
        <v>Product Development</v>
      </c>
      <c r="C17">
        <f>VLOOKUP(A17,Employees_Data[#All],16,FALSE)</f>
        <v>8</v>
      </c>
      <c r="D17">
        <f>VLOOKUP(A17,Employees_Data[#All],13,FALSE)</f>
        <v>3</v>
      </c>
      <c r="E17" s="1"/>
      <c r="F17" s="10">
        <v>34</v>
      </c>
      <c r="G17" t="str">
        <v>Eizat Ghanim</v>
      </c>
      <c r="H17" s="13">
        <v>42907</v>
      </c>
      <c r="I17">
        <f ca="1"/>
        <v>9</v>
      </c>
      <c r="J17" s="2"/>
      <c r="K17" s="10">
        <v>267</v>
      </c>
      <c r="L17" t="str">
        <v>Rannym Tyru</v>
      </c>
      <c r="M17">
        <v>0</v>
      </c>
      <c r="N17">
        <v>0</v>
      </c>
    </row>
    <row r="18" spans="1:14" ht="16.5" customHeight="1" x14ac:dyDescent="0.35">
      <c r="A18" s="10">
        <v>32</v>
      </c>
      <c r="B18" t="str">
        <f>VLOOKUP(A18,Employees_Data[#All],8,FALSE)</f>
        <v>Environmental Compliance</v>
      </c>
      <c r="C18">
        <f>VLOOKUP(A18,Employees_Data[#All],16,FALSE)</f>
        <v>48</v>
      </c>
      <c r="D18">
        <f>VLOOKUP(A18,Employees_Data[#All],13,FALSE)</f>
        <v>3</v>
      </c>
      <c r="E18" s="2"/>
      <c r="F18" s="10">
        <v>55</v>
      </c>
      <c r="G18" t="str">
        <v>Eubay Alttahir</v>
      </c>
      <c r="H18" s="13">
        <v>42629</v>
      </c>
      <c r="I18">
        <f ca="1"/>
        <v>10</v>
      </c>
      <c r="J18" s="2"/>
      <c r="K18" s="10">
        <v>387</v>
      </c>
      <c r="L18" t="str">
        <v>Lwy Abu</v>
      </c>
      <c r="M18">
        <v>2</v>
      </c>
      <c r="N18">
        <v>0</v>
      </c>
    </row>
    <row r="19" spans="1:14" ht="16.5" customHeight="1" x14ac:dyDescent="0.35">
      <c r="A19" s="10">
        <v>22</v>
      </c>
      <c r="B19" t="str">
        <f>VLOOKUP(A19,Employees_Data[#All],8,FALSE)</f>
        <v>Manufacturing Admin</v>
      </c>
      <c r="C19">
        <f>VLOOKUP(A19,Employees_Data[#All],16,FALSE)</f>
        <v>109</v>
      </c>
      <c r="D19">
        <f>VLOOKUP(A19,Employees_Data[#All],13,FALSE)</f>
        <v>3</v>
      </c>
      <c r="E19" s="2"/>
      <c r="F19" s="10">
        <v>45</v>
      </c>
      <c r="G19" t="str">
        <v>Ahmad Laylana</v>
      </c>
      <c r="H19" s="13">
        <v>42701</v>
      </c>
      <c r="I19">
        <f ca="1"/>
        <v>9</v>
      </c>
      <c r="J19" s="2"/>
      <c r="K19" s="10">
        <v>88</v>
      </c>
      <c r="L19" t="str">
        <v>Samah Almaydanii</v>
      </c>
      <c r="M19">
        <v>0</v>
      </c>
      <c r="N19">
        <v>0</v>
      </c>
    </row>
    <row r="20" spans="1:14" ht="16.5" customHeight="1" x14ac:dyDescent="0.35">
      <c r="A20" s="10">
        <v>3</v>
      </c>
      <c r="B20" t="str">
        <f>VLOOKUP(A20,Employees_Data[#All],8,FALSE)</f>
        <v>Major Mfg Projects</v>
      </c>
      <c r="C20">
        <f>VLOOKUP(A20,Employees_Data[#All],16,FALSE)</f>
        <v>192</v>
      </c>
      <c r="D20">
        <f>VLOOKUP(A20,Employees_Data[#All],13,FALSE)</f>
        <v>2</v>
      </c>
      <c r="E20" s="2"/>
      <c r="F20" s="10">
        <v>5</v>
      </c>
      <c r="G20" t="str">
        <v>Ahmad Bikri</v>
      </c>
      <c r="H20" s="13">
        <v>43901</v>
      </c>
      <c r="I20">
        <f ca="1"/>
        <v>6</v>
      </c>
      <c r="J20" s="2"/>
      <c r="K20" s="10">
        <v>100</v>
      </c>
      <c r="L20" t="str">
        <v>Lina Aljabr</v>
      </c>
      <c r="M20">
        <v>0</v>
      </c>
      <c r="N20">
        <v>0</v>
      </c>
    </row>
    <row r="21" spans="1:14" ht="16.5" customHeight="1" x14ac:dyDescent="0.35">
      <c r="A21" s="10">
        <v>24</v>
      </c>
      <c r="B21" t="str">
        <f>VLOOKUP(A21,Employees_Data[#All],8,FALSE)</f>
        <v>Quality Assurance</v>
      </c>
      <c r="C21">
        <f>VLOOKUP(A21,Employees_Data[#All],16,FALSE)</f>
        <v>32</v>
      </c>
      <c r="D21">
        <f>VLOOKUP(A21,Employees_Data[#All],13,FALSE)</f>
        <v>4.5</v>
      </c>
      <c r="E21" s="2"/>
      <c r="F21" s="10">
        <v>67</v>
      </c>
      <c r="G21" t="str">
        <v>Muhamad Jawish</v>
      </c>
      <c r="H21" s="13">
        <v>43794</v>
      </c>
      <c r="I21">
        <f ca="1"/>
        <v>6</v>
      </c>
      <c r="J21" s="2"/>
      <c r="K21" s="10">
        <v>73</v>
      </c>
      <c r="L21" t="str">
        <v>Shahad Shanan</v>
      </c>
      <c r="M21">
        <v>0</v>
      </c>
      <c r="N21">
        <v>2</v>
      </c>
    </row>
    <row r="22" spans="1:14" ht="16.5" customHeight="1" x14ac:dyDescent="0.35">
      <c r="E22" s="2"/>
      <c r="J22" s="2"/>
    </row>
    <row r="23" spans="1:14" ht="16.5" customHeight="1" x14ac:dyDescent="0.35"/>
    <row r="24" spans="1:14" ht="16.5" customHeight="1" x14ac:dyDescent="0.35"/>
    <row r="25" spans="1:14" ht="16.5" customHeight="1" x14ac:dyDescent="0.35"/>
    <row r="26" spans="1:14" ht="16.5" customHeight="1" x14ac:dyDescent="0.35"/>
    <row r="27" spans="1:14" ht="16.5" customHeight="1" x14ac:dyDescent="0.35"/>
    <row r="28" spans="1:14" ht="16.5" customHeight="1" x14ac:dyDescent="0.35"/>
    <row r="29" spans="1:14" ht="16.5" customHeight="1" x14ac:dyDescent="0.35"/>
    <row r="30" spans="1:14" ht="16.5" customHeight="1" x14ac:dyDescent="0.35"/>
    <row r="31" spans="1:14" ht="16.5" customHeight="1" x14ac:dyDescent="0.35"/>
    <row r="32" spans="1:14" ht="16.5" customHeight="1" x14ac:dyDescent="0.35"/>
    <row r="33" ht="16.5" customHeight="1" x14ac:dyDescent="0.35"/>
    <row r="34" ht="16.5" customHeight="1" x14ac:dyDescent="0.35"/>
    <row r="35" ht="16.5" customHeight="1" x14ac:dyDescent="0.35"/>
    <row r="36" ht="16.5" customHeight="1" x14ac:dyDescent="0.35"/>
    <row r="37" ht="16.5" customHeight="1" x14ac:dyDescent="0.35"/>
    <row r="38" ht="16.5" customHeight="1" x14ac:dyDescent="0.35"/>
    <row r="39" ht="16.5" customHeight="1" x14ac:dyDescent="0.35"/>
    <row r="40" ht="16.5" customHeight="1" x14ac:dyDescent="0.35"/>
    <row r="41" ht="16.5" customHeight="1" x14ac:dyDescent="0.35"/>
    <row r="42" ht="16.5" customHeight="1" x14ac:dyDescent="0.35"/>
    <row r="43" ht="16.5" customHeight="1" x14ac:dyDescent="0.35"/>
    <row r="44" ht="16.5" customHeight="1" x14ac:dyDescent="0.35"/>
    <row r="45" ht="16.5" customHeight="1" x14ac:dyDescent="0.35"/>
    <row r="46" ht="16.5" customHeight="1" x14ac:dyDescent="0.35"/>
    <row r="47" ht="16.5" customHeight="1" x14ac:dyDescent="0.35"/>
    <row r="48" ht="16.5" customHeight="1" x14ac:dyDescent="0.35"/>
    <row r="49" ht="16.5" customHeight="1" x14ac:dyDescent="0.35"/>
    <row r="50" ht="16.5" customHeight="1" x14ac:dyDescent="0.35"/>
    <row r="51" ht="16.5" customHeight="1" x14ac:dyDescent="0.35"/>
    <row r="52" ht="16.5" customHeight="1" x14ac:dyDescent="0.35"/>
    <row r="53" ht="16.5" customHeight="1" x14ac:dyDescent="0.35"/>
    <row r="54" ht="16.5" customHeight="1" x14ac:dyDescent="0.35"/>
    <row r="55" ht="16.5" customHeight="1" x14ac:dyDescent="0.35"/>
    <row r="56" ht="16.5" customHeight="1" x14ac:dyDescent="0.35"/>
    <row r="57" ht="16.5" customHeight="1" x14ac:dyDescent="0.35"/>
    <row r="58" ht="16.5" customHeight="1" x14ac:dyDescent="0.35"/>
    <row r="59" ht="16.5" customHeight="1" x14ac:dyDescent="0.35"/>
    <row r="60" ht="16.5" customHeight="1" x14ac:dyDescent="0.35"/>
    <row r="61" ht="16.5" customHeight="1" x14ac:dyDescent="0.35"/>
    <row r="62" ht="16.5" customHeight="1" x14ac:dyDescent="0.35"/>
    <row r="63" ht="16.5" customHeight="1" x14ac:dyDescent="0.35"/>
    <row r="64" ht="16.5" customHeight="1" x14ac:dyDescent="0.35"/>
    <row r="65" ht="16.5" customHeight="1" x14ac:dyDescent="0.35"/>
    <row r="66" ht="16.5" customHeight="1" x14ac:dyDescent="0.35"/>
    <row r="67" ht="16.5" customHeight="1" x14ac:dyDescent="0.35"/>
    <row r="68" ht="16.5" customHeight="1" x14ac:dyDescent="0.35"/>
    <row r="69" ht="16.5" customHeight="1" x14ac:dyDescent="0.35"/>
    <row r="70" ht="16.5" customHeight="1" x14ac:dyDescent="0.35"/>
    <row r="71" ht="16.5" customHeight="1" x14ac:dyDescent="0.35"/>
    <row r="72" ht="16.5" customHeight="1" x14ac:dyDescent="0.35"/>
    <row r="73" ht="16.5" customHeight="1" x14ac:dyDescent="0.35"/>
    <row r="74" ht="16.5" customHeight="1" x14ac:dyDescent="0.35"/>
    <row r="75" ht="16.5" customHeight="1" x14ac:dyDescent="0.35"/>
    <row r="76" ht="16.5" customHeight="1" x14ac:dyDescent="0.35"/>
    <row r="77" ht="16.5" customHeight="1" x14ac:dyDescent="0.35"/>
    <row r="78" ht="16.5" customHeight="1" x14ac:dyDescent="0.35"/>
    <row r="79" ht="16.5" customHeight="1" x14ac:dyDescent="0.35"/>
    <row r="80" ht="16.5" customHeight="1" x14ac:dyDescent="0.35"/>
    <row r="81" ht="16.5" customHeight="1" x14ac:dyDescent="0.35"/>
    <row r="82" ht="16.5" customHeight="1" x14ac:dyDescent="0.35"/>
    <row r="83" ht="16.5" customHeight="1" x14ac:dyDescent="0.35"/>
    <row r="84" ht="16.5" customHeight="1" x14ac:dyDescent="0.35"/>
    <row r="85" ht="16.5" customHeight="1" x14ac:dyDescent="0.35"/>
    <row r="86" ht="16.5" customHeight="1" x14ac:dyDescent="0.35"/>
    <row r="87" ht="16.5" customHeight="1" x14ac:dyDescent="0.35"/>
    <row r="88" ht="16.5" customHeight="1" x14ac:dyDescent="0.35"/>
    <row r="89" ht="16.5" customHeight="1" x14ac:dyDescent="0.35"/>
    <row r="90" ht="16.5" customHeight="1" x14ac:dyDescent="0.35"/>
    <row r="91" ht="16.5" customHeight="1" x14ac:dyDescent="0.35"/>
    <row r="92" ht="16.5" customHeight="1" x14ac:dyDescent="0.35"/>
    <row r="93" ht="16.5" customHeight="1" x14ac:dyDescent="0.35"/>
    <row r="94" ht="16.5" customHeight="1" x14ac:dyDescent="0.35"/>
    <row r="95" ht="16.5" customHeight="1" x14ac:dyDescent="0.35"/>
    <row r="96" ht="16.5" customHeight="1" x14ac:dyDescent="0.35"/>
    <row r="97" ht="16.5" customHeight="1" x14ac:dyDescent="0.35"/>
    <row r="98" ht="16.5" customHeight="1" x14ac:dyDescent="0.35"/>
    <row r="99" ht="16.5" customHeight="1" x14ac:dyDescent="0.35"/>
    <row r="100" ht="16.5" customHeight="1" x14ac:dyDescent="0.35"/>
    <row r="101" ht="16.5" customHeight="1" x14ac:dyDescent="0.35"/>
    <row r="102" ht="16.5" customHeight="1" x14ac:dyDescent="0.35"/>
    <row r="103" ht="16.5" customHeight="1" x14ac:dyDescent="0.35"/>
    <row r="104" ht="16.5" customHeight="1" x14ac:dyDescent="0.35"/>
    <row r="105" ht="16.5" customHeight="1" x14ac:dyDescent="0.35"/>
    <row r="106" ht="16.5" customHeight="1" x14ac:dyDescent="0.35"/>
    <row r="107" ht="16.5" customHeight="1" x14ac:dyDescent="0.35"/>
    <row r="108" ht="16.5" customHeight="1" x14ac:dyDescent="0.35"/>
    <row r="109" ht="16.5" customHeight="1" x14ac:dyDescent="0.35"/>
    <row r="110" ht="16.5" customHeight="1" x14ac:dyDescent="0.35"/>
    <row r="111" ht="16.5" customHeight="1" x14ac:dyDescent="0.35"/>
    <row r="112" ht="16.5" customHeight="1" x14ac:dyDescent="0.35"/>
    <row r="113" ht="16.5" customHeight="1" x14ac:dyDescent="0.35"/>
    <row r="114" ht="16.5" customHeight="1" x14ac:dyDescent="0.35"/>
    <row r="115" ht="16.5" customHeight="1" x14ac:dyDescent="0.35"/>
    <row r="116" ht="16.5" customHeight="1" x14ac:dyDescent="0.35"/>
    <row r="117" ht="16.5" customHeight="1" x14ac:dyDescent="0.35"/>
    <row r="118" ht="16.5" customHeight="1" x14ac:dyDescent="0.35"/>
    <row r="119" ht="16.5" customHeight="1" x14ac:dyDescent="0.35"/>
    <row r="120" ht="16.5" customHeight="1" x14ac:dyDescent="0.35"/>
    <row r="121" ht="16.5" customHeight="1" x14ac:dyDescent="0.35"/>
    <row r="122" ht="16.5" customHeight="1" x14ac:dyDescent="0.35"/>
    <row r="123" ht="16.5" customHeight="1" x14ac:dyDescent="0.35"/>
    <row r="124" ht="16.5" customHeight="1" x14ac:dyDescent="0.35"/>
    <row r="125" ht="16.5" customHeight="1" x14ac:dyDescent="0.35"/>
    <row r="126" ht="16.5" customHeight="1" x14ac:dyDescent="0.35"/>
    <row r="127" ht="16.5" customHeight="1" x14ac:dyDescent="0.35"/>
    <row r="128" ht="16.5" customHeight="1" x14ac:dyDescent="0.35"/>
    <row r="129" ht="16.5" customHeight="1" x14ac:dyDescent="0.35"/>
    <row r="130" ht="16.5" customHeight="1" x14ac:dyDescent="0.35"/>
    <row r="131" ht="16.5" customHeight="1" x14ac:dyDescent="0.35"/>
    <row r="132" ht="16.5" customHeight="1" x14ac:dyDescent="0.35"/>
    <row r="133" ht="16.5" customHeight="1" x14ac:dyDescent="0.35"/>
    <row r="134" ht="16.5" customHeight="1" x14ac:dyDescent="0.35"/>
    <row r="135" ht="16.5" customHeight="1" x14ac:dyDescent="0.35"/>
    <row r="136" ht="16.5" customHeight="1" x14ac:dyDescent="0.35"/>
    <row r="137" ht="16.5" customHeight="1" x14ac:dyDescent="0.35"/>
    <row r="138" ht="16.5" customHeight="1" x14ac:dyDescent="0.35"/>
    <row r="139" ht="16.5" customHeight="1" x14ac:dyDescent="0.35"/>
    <row r="140" ht="16.5" customHeight="1" x14ac:dyDescent="0.35"/>
    <row r="141" ht="16.5" customHeight="1" x14ac:dyDescent="0.35"/>
    <row r="142" ht="16.5" customHeight="1" x14ac:dyDescent="0.35"/>
    <row r="143" ht="16.5" customHeight="1" x14ac:dyDescent="0.35"/>
    <row r="144" ht="16.5" customHeight="1" x14ac:dyDescent="0.35"/>
    <row r="145" ht="16.5" customHeight="1" x14ac:dyDescent="0.35"/>
    <row r="146" ht="16.5" customHeight="1" x14ac:dyDescent="0.35"/>
    <row r="147" ht="16.5" customHeight="1" x14ac:dyDescent="0.35"/>
    <row r="148" ht="16.5" customHeight="1" x14ac:dyDescent="0.35"/>
    <row r="149" ht="16.5" customHeight="1" x14ac:dyDescent="0.35"/>
    <row r="150" ht="16.5" customHeight="1" x14ac:dyDescent="0.35"/>
    <row r="151" ht="16.5" customHeight="1" x14ac:dyDescent="0.35"/>
    <row r="152" ht="16.5" customHeight="1" x14ac:dyDescent="0.35"/>
    <row r="153" ht="16.5" customHeight="1" x14ac:dyDescent="0.35"/>
    <row r="154" ht="16.5" customHeight="1" x14ac:dyDescent="0.35"/>
    <row r="155" ht="16.5" customHeight="1" x14ac:dyDescent="0.35"/>
    <row r="156" ht="16.5" customHeight="1" x14ac:dyDescent="0.35"/>
    <row r="157" ht="16.5" customHeight="1" x14ac:dyDescent="0.35"/>
    <row r="158" ht="16.5" customHeight="1" x14ac:dyDescent="0.35"/>
    <row r="159" ht="16.5" customHeight="1" x14ac:dyDescent="0.35"/>
    <row r="160" ht="16.5" customHeight="1" x14ac:dyDescent="0.35"/>
    <row r="161" ht="16.5" customHeight="1" x14ac:dyDescent="0.35"/>
    <row r="162" ht="16.5" customHeight="1" x14ac:dyDescent="0.35"/>
    <row r="163" ht="16.5" customHeight="1" x14ac:dyDescent="0.35"/>
    <row r="164" ht="16.5" customHeight="1" x14ac:dyDescent="0.35"/>
    <row r="165" ht="16.5" customHeight="1" x14ac:dyDescent="0.35"/>
    <row r="166" ht="16.5" customHeight="1" x14ac:dyDescent="0.35"/>
    <row r="167" ht="16.5" customHeight="1" x14ac:dyDescent="0.35"/>
    <row r="168" ht="16.5" customHeight="1" x14ac:dyDescent="0.35"/>
    <row r="169" ht="16.5" customHeight="1" x14ac:dyDescent="0.35"/>
    <row r="170" ht="16.5" customHeight="1" x14ac:dyDescent="0.35"/>
    <row r="171" ht="16.5" customHeight="1" x14ac:dyDescent="0.35"/>
    <row r="172" ht="16.5" customHeight="1" x14ac:dyDescent="0.35"/>
    <row r="173" ht="16.5" customHeight="1" x14ac:dyDescent="0.35"/>
    <row r="174" ht="16.5" customHeight="1" x14ac:dyDescent="0.35"/>
    <row r="175" ht="16.5" customHeight="1" x14ac:dyDescent="0.35"/>
    <row r="176" ht="16.5" customHeight="1" x14ac:dyDescent="0.35"/>
    <row r="177" ht="16.5" customHeight="1" x14ac:dyDescent="0.35"/>
    <row r="178" ht="16.5" customHeight="1" x14ac:dyDescent="0.35"/>
    <row r="179" ht="16.5" customHeight="1" x14ac:dyDescent="0.35"/>
    <row r="180" ht="16.5" customHeight="1" x14ac:dyDescent="0.35"/>
    <row r="181" ht="16.5" customHeight="1" x14ac:dyDescent="0.35"/>
    <row r="182" ht="16.5" customHeight="1" x14ac:dyDescent="0.35"/>
    <row r="183" ht="16.5" customHeight="1" x14ac:dyDescent="0.35"/>
    <row r="184" ht="16.5" customHeight="1" x14ac:dyDescent="0.35"/>
    <row r="185" ht="16.5" customHeight="1" x14ac:dyDescent="0.35"/>
    <row r="186" ht="16.5" customHeight="1" x14ac:dyDescent="0.35"/>
    <row r="187" ht="16.5" customHeight="1" x14ac:dyDescent="0.35"/>
    <row r="188" ht="16.5" customHeight="1" x14ac:dyDescent="0.35"/>
    <row r="189" ht="16.5" customHeight="1" x14ac:dyDescent="0.35"/>
    <row r="190" ht="16.5" customHeight="1" x14ac:dyDescent="0.35"/>
    <row r="191" ht="16.5" customHeight="1" x14ac:dyDescent="0.35"/>
    <row r="192" ht="16.5" customHeight="1" x14ac:dyDescent="0.35"/>
    <row r="193" ht="16.5" customHeight="1" x14ac:dyDescent="0.35"/>
    <row r="194" ht="16.5" customHeight="1" x14ac:dyDescent="0.35"/>
    <row r="195" ht="16.5" customHeight="1" x14ac:dyDescent="0.35"/>
    <row r="196" ht="16.5" customHeight="1" x14ac:dyDescent="0.35"/>
    <row r="197" ht="16.5" customHeight="1" x14ac:dyDescent="0.35"/>
    <row r="198" ht="16.5" customHeight="1" x14ac:dyDescent="0.35"/>
    <row r="199" ht="16.5" customHeight="1" x14ac:dyDescent="0.35"/>
    <row r="200" ht="16.5" customHeight="1" x14ac:dyDescent="0.35"/>
    <row r="201" ht="16.5" customHeight="1" x14ac:dyDescent="0.35"/>
    <row r="202" ht="16.5" customHeight="1" x14ac:dyDescent="0.35"/>
    <row r="203" ht="16.5" customHeight="1" x14ac:dyDescent="0.35"/>
    <row r="204" ht="16.5" customHeight="1" x14ac:dyDescent="0.35"/>
    <row r="205" ht="16.5" customHeight="1" x14ac:dyDescent="0.35"/>
    <row r="206" ht="16.5" customHeight="1" x14ac:dyDescent="0.35"/>
    <row r="207" ht="16.5" customHeight="1" x14ac:dyDescent="0.35"/>
    <row r="208" ht="16.5" customHeight="1" x14ac:dyDescent="0.35"/>
    <row r="209" ht="16.5" customHeight="1" x14ac:dyDescent="0.35"/>
    <row r="210" ht="16.5" customHeight="1" x14ac:dyDescent="0.35"/>
    <row r="211" ht="16.5" customHeight="1" x14ac:dyDescent="0.35"/>
    <row r="212" ht="16.5" customHeight="1" x14ac:dyDescent="0.35"/>
    <row r="213" ht="16.5" customHeight="1" x14ac:dyDescent="0.35"/>
    <row r="214" ht="16.5" customHeight="1" x14ac:dyDescent="0.35"/>
    <row r="215" ht="16.5" customHeight="1" x14ac:dyDescent="0.35"/>
    <row r="216" ht="16.5" customHeight="1" x14ac:dyDescent="0.35"/>
    <row r="217" ht="16.5" customHeight="1" x14ac:dyDescent="0.35"/>
    <row r="218" ht="16.5" customHeight="1" x14ac:dyDescent="0.35"/>
    <row r="219" ht="16.5" customHeight="1" x14ac:dyDescent="0.35"/>
    <row r="220" ht="16.5" customHeight="1" x14ac:dyDescent="0.35"/>
    <row r="221" ht="16.5" customHeight="1" x14ac:dyDescent="0.35"/>
    <row r="222" ht="16.5" customHeight="1" x14ac:dyDescent="0.35"/>
    <row r="223" ht="16.5" customHeight="1" x14ac:dyDescent="0.35"/>
    <row r="224" ht="16.5" customHeight="1" x14ac:dyDescent="0.35"/>
    <row r="225" ht="16.5" customHeight="1" x14ac:dyDescent="0.35"/>
    <row r="226" ht="16.5" customHeight="1" x14ac:dyDescent="0.35"/>
    <row r="227" ht="16.5" customHeight="1" x14ac:dyDescent="0.35"/>
    <row r="228" ht="16.5" customHeight="1" x14ac:dyDescent="0.35"/>
    <row r="229" ht="16.5" customHeight="1" x14ac:dyDescent="0.35"/>
    <row r="230" ht="16.5" customHeight="1" x14ac:dyDescent="0.35"/>
    <row r="231" ht="16.5" customHeight="1" x14ac:dyDescent="0.35"/>
    <row r="232" ht="16.5" customHeight="1" x14ac:dyDescent="0.35"/>
    <row r="233" ht="16.5" customHeight="1" x14ac:dyDescent="0.35"/>
    <row r="234" ht="16.5" customHeight="1" x14ac:dyDescent="0.35"/>
    <row r="235" ht="16.5" customHeight="1" x14ac:dyDescent="0.35"/>
    <row r="236" ht="16.5" customHeight="1" x14ac:dyDescent="0.35"/>
    <row r="237" ht="16.5" customHeight="1" x14ac:dyDescent="0.35"/>
    <row r="238" ht="16.5" customHeight="1" x14ac:dyDescent="0.35"/>
    <row r="239" ht="16.5" customHeight="1" x14ac:dyDescent="0.35"/>
    <row r="240" ht="16.5" customHeight="1" x14ac:dyDescent="0.35"/>
    <row r="241" ht="16.5" customHeight="1" x14ac:dyDescent="0.35"/>
    <row r="242" ht="16.5" customHeight="1" x14ac:dyDescent="0.35"/>
    <row r="243" ht="16.5" customHeight="1" x14ac:dyDescent="0.35"/>
    <row r="244" ht="16.5" customHeight="1" x14ac:dyDescent="0.35"/>
    <row r="245" ht="16.5" customHeight="1" x14ac:dyDescent="0.35"/>
    <row r="246" ht="16.5" customHeight="1" x14ac:dyDescent="0.35"/>
    <row r="247" ht="16.5" customHeight="1" x14ac:dyDescent="0.35"/>
    <row r="248" ht="16.5" customHeight="1" x14ac:dyDescent="0.35"/>
    <row r="249" ht="16.5" customHeight="1" x14ac:dyDescent="0.35"/>
    <row r="250" ht="16.5" customHeight="1" x14ac:dyDescent="0.35"/>
    <row r="251" ht="16.5" customHeight="1" x14ac:dyDescent="0.35"/>
    <row r="252" ht="16.5" customHeight="1" x14ac:dyDescent="0.35"/>
    <row r="253" ht="16.5" customHeight="1" x14ac:dyDescent="0.35"/>
    <row r="254" ht="16.5" customHeight="1" x14ac:dyDescent="0.35"/>
    <row r="255" ht="16.5" customHeight="1" x14ac:dyDescent="0.35"/>
    <row r="256" ht="16.5" customHeight="1" x14ac:dyDescent="0.35"/>
    <row r="257" ht="16.5" customHeight="1" x14ac:dyDescent="0.35"/>
    <row r="258" ht="16.5" customHeight="1" x14ac:dyDescent="0.35"/>
    <row r="259" ht="16.5" customHeight="1" x14ac:dyDescent="0.35"/>
    <row r="260" ht="16.5" customHeight="1" x14ac:dyDescent="0.35"/>
    <row r="261" ht="16.5" customHeight="1" x14ac:dyDescent="0.35"/>
    <row r="262" ht="16.5" customHeight="1" x14ac:dyDescent="0.35"/>
    <row r="263" ht="16.5" customHeight="1" x14ac:dyDescent="0.35"/>
    <row r="264" ht="16.5" customHeight="1" x14ac:dyDescent="0.35"/>
    <row r="265" ht="16.5" customHeight="1" x14ac:dyDescent="0.35"/>
    <row r="266" ht="16.5" customHeight="1" x14ac:dyDescent="0.35"/>
    <row r="267" ht="16.5" customHeight="1" x14ac:dyDescent="0.35"/>
    <row r="268" ht="16.5" customHeight="1" x14ac:dyDescent="0.35"/>
    <row r="269" ht="16.5" customHeight="1" x14ac:dyDescent="0.35"/>
    <row r="270" ht="16.5" customHeight="1" x14ac:dyDescent="0.35"/>
    <row r="271" ht="16.5" customHeight="1" x14ac:dyDescent="0.35"/>
    <row r="272" ht="16.5" customHeight="1" x14ac:dyDescent="0.35"/>
    <row r="273" ht="16.5" customHeight="1" x14ac:dyDescent="0.35"/>
    <row r="274" ht="16.5" customHeight="1" x14ac:dyDescent="0.35"/>
    <row r="275" ht="16.5" customHeight="1" x14ac:dyDescent="0.35"/>
    <row r="276" ht="16.5" customHeight="1" x14ac:dyDescent="0.35"/>
    <row r="277" ht="16.5" customHeight="1" x14ac:dyDescent="0.35"/>
    <row r="278" ht="16.5" customHeight="1" x14ac:dyDescent="0.35"/>
    <row r="279" ht="16.5" customHeight="1" x14ac:dyDescent="0.35"/>
    <row r="280" ht="16.5" customHeight="1" x14ac:dyDescent="0.35"/>
    <row r="281" ht="16.5" customHeight="1" x14ac:dyDescent="0.35"/>
    <row r="282" ht="16.5" customHeight="1" x14ac:dyDescent="0.35"/>
    <row r="283" ht="16.5" customHeight="1" x14ac:dyDescent="0.35"/>
    <row r="284" ht="16.5" customHeight="1" x14ac:dyDescent="0.35"/>
    <row r="285" ht="16.5" customHeight="1" x14ac:dyDescent="0.35"/>
    <row r="286" ht="16.5" customHeight="1" x14ac:dyDescent="0.35"/>
    <row r="287" ht="16.5" customHeight="1" x14ac:dyDescent="0.35"/>
    <row r="288" ht="16.5" customHeight="1" x14ac:dyDescent="0.35"/>
    <row r="289" ht="16.5" customHeight="1" x14ac:dyDescent="0.35"/>
    <row r="290" ht="16.5" customHeight="1" x14ac:dyDescent="0.35"/>
    <row r="291" ht="16.5" customHeight="1" x14ac:dyDescent="0.35"/>
    <row r="292" ht="16.5" customHeight="1" x14ac:dyDescent="0.35"/>
    <row r="293" ht="16.5" customHeight="1" x14ac:dyDescent="0.35"/>
    <row r="294" ht="16.5" customHeight="1" x14ac:dyDescent="0.35"/>
    <row r="295" ht="16.5" customHeight="1" x14ac:dyDescent="0.35"/>
    <row r="296" ht="16.5" customHeight="1" x14ac:dyDescent="0.35"/>
    <row r="297" ht="16.5" customHeight="1" x14ac:dyDescent="0.35"/>
    <row r="298" ht="16.5" customHeight="1" x14ac:dyDescent="0.35"/>
    <row r="299" ht="16.5" customHeight="1" x14ac:dyDescent="0.35"/>
    <row r="300" ht="16.5" customHeight="1" x14ac:dyDescent="0.35"/>
    <row r="301" ht="16.5" customHeight="1" x14ac:dyDescent="0.35"/>
    <row r="302" ht="16.5" customHeight="1" x14ac:dyDescent="0.35"/>
    <row r="303" ht="16.5" customHeight="1" x14ac:dyDescent="0.35"/>
    <row r="304" ht="16.5" customHeight="1" x14ac:dyDescent="0.35"/>
    <row r="305" ht="16.5" customHeight="1" x14ac:dyDescent="0.35"/>
    <row r="306" ht="16.5" customHeight="1" x14ac:dyDescent="0.35"/>
    <row r="307" ht="16.5" customHeight="1" x14ac:dyDescent="0.35"/>
    <row r="308" ht="16.5" customHeight="1" x14ac:dyDescent="0.35"/>
    <row r="309" ht="16.5" customHeight="1" x14ac:dyDescent="0.35"/>
    <row r="310" ht="16.5" customHeight="1" x14ac:dyDescent="0.35"/>
    <row r="311" ht="16.5" customHeight="1" x14ac:dyDescent="0.35"/>
    <row r="312" ht="16.5" customHeight="1" x14ac:dyDescent="0.35"/>
    <row r="313" ht="16.5" customHeight="1" x14ac:dyDescent="0.35"/>
    <row r="314" ht="16.5" customHeight="1" x14ac:dyDescent="0.35"/>
    <row r="315" ht="16.5" customHeight="1" x14ac:dyDescent="0.35"/>
    <row r="316" ht="16.5" customHeight="1" x14ac:dyDescent="0.35"/>
    <row r="317" ht="16.5" customHeight="1" x14ac:dyDescent="0.35"/>
    <row r="318" ht="16.5" customHeight="1" x14ac:dyDescent="0.35"/>
    <row r="319" ht="16.5" customHeight="1" x14ac:dyDescent="0.35"/>
    <row r="320" ht="16.5" customHeight="1" x14ac:dyDescent="0.35"/>
    <row r="321" ht="16.5" customHeight="1" x14ac:dyDescent="0.35"/>
    <row r="322" ht="16.5" customHeight="1" x14ac:dyDescent="0.35"/>
    <row r="323" ht="16.5" customHeight="1" x14ac:dyDescent="0.35"/>
    <row r="324" ht="16.5" customHeight="1" x14ac:dyDescent="0.35"/>
    <row r="325" ht="16.5" customHeight="1" x14ac:dyDescent="0.35"/>
    <row r="326" ht="16.5" customHeight="1" x14ac:dyDescent="0.35"/>
    <row r="327" ht="16.5" customHeight="1" x14ac:dyDescent="0.35"/>
    <row r="328" ht="16.5" customHeight="1" x14ac:dyDescent="0.35"/>
    <row r="329" ht="16.5" customHeight="1" x14ac:dyDescent="0.35"/>
    <row r="330" ht="16.5" customHeight="1" x14ac:dyDescent="0.35"/>
    <row r="331" ht="16.5" customHeight="1" x14ac:dyDescent="0.35"/>
    <row r="332" ht="16.5" customHeight="1" x14ac:dyDescent="0.35"/>
    <row r="333" ht="16.5" customHeight="1" x14ac:dyDescent="0.35"/>
    <row r="334" ht="16.5" customHeight="1" x14ac:dyDescent="0.35"/>
    <row r="335" ht="16.5" customHeight="1" x14ac:dyDescent="0.35"/>
    <row r="336" ht="16.5" customHeight="1" x14ac:dyDescent="0.35"/>
    <row r="337" ht="16.5" customHeight="1" x14ac:dyDescent="0.35"/>
    <row r="338" ht="16.5" customHeight="1" x14ac:dyDescent="0.35"/>
    <row r="339" ht="16.5" customHeight="1" x14ac:dyDescent="0.35"/>
    <row r="340" ht="16.5" customHeight="1" x14ac:dyDescent="0.35"/>
    <row r="341" ht="16.5" customHeight="1" x14ac:dyDescent="0.35"/>
    <row r="342" ht="16.5" customHeight="1" x14ac:dyDescent="0.35"/>
    <row r="343" ht="16.5" customHeight="1" x14ac:dyDescent="0.35"/>
    <row r="344" ht="16.5" customHeight="1" x14ac:dyDescent="0.35"/>
    <row r="345" ht="16.5" customHeight="1" x14ac:dyDescent="0.35"/>
    <row r="346" ht="16.5" customHeight="1" x14ac:dyDescent="0.35"/>
    <row r="347" ht="16.5" customHeight="1" x14ac:dyDescent="0.35"/>
    <row r="348" ht="16.5" customHeight="1" x14ac:dyDescent="0.35"/>
    <row r="349" ht="16.5" customHeight="1" x14ac:dyDescent="0.35"/>
    <row r="350" ht="16.5" customHeight="1" x14ac:dyDescent="0.35"/>
    <row r="351" ht="16.5" customHeight="1" x14ac:dyDescent="0.35"/>
    <row r="352" ht="16.5" customHeight="1" x14ac:dyDescent="0.35"/>
    <row r="353" ht="16.5" customHeight="1" x14ac:dyDescent="0.35"/>
    <row r="354" ht="16.5" customHeight="1" x14ac:dyDescent="0.35"/>
    <row r="355" ht="16.5" customHeight="1" x14ac:dyDescent="0.35"/>
    <row r="356" ht="16.5" customHeight="1" x14ac:dyDescent="0.35"/>
    <row r="357" ht="16.5" customHeight="1" x14ac:dyDescent="0.35"/>
    <row r="358" ht="16.5" customHeight="1" x14ac:dyDescent="0.35"/>
    <row r="359" ht="16.5" customHeight="1" x14ac:dyDescent="0.35"/>
    <row r="360" ht="16.5" customHeight="1" x14ac:dyDescent="0.35"/>
    <row r="361" ht="16.5" customHeight="1" x14ac:dyDescent="0.35"/>
    <row r="362" ht="16.5" customHeight="1" x14ac:dyDescent="0.35"/>
    <row r="363" ht="16.5" customHeight="1" x14ac:dyDescent="0.35"/>
    <row r="364" ht="16.5" customHeight="1" x14ac:dyDescent="0.35"/>
    <row r="365" ht="16.5" customHeight="1" x14ac:dyDescent="0.35"/>
    <row r="366" ht="16.5" customHeight="1" x14ac:dyDescent="0.35"/>
    <row r="367" ht="16.5" customHeight="1" x14ac:dyDescent="0.35"/>
    <row r="368" ht="16.5" customHeight="1" x14ac:dyDescent="0.35"/>
    <row r="369" ht="16.5" customHeight="1" x14ac:dyDescent="0.35"/>
    <row r="370" ht="16.5" customHeight="1" x14ac:dyDescent="0.35"/>
    <row r="371" ht="16.5" customHeight="1" x14ac:dyDescent="0.35"/>
    <row r="372" ht="16.5" customHeight="1" x14ac:dyDescent="0.35"/>
    <row r="373" ht="16.5" customHeight="1" x14ac:dyDescent="0.35"/>
    <row r="374" ht="16.5" customHeight="1" x14ac:dyDescent="0.35"/>
    <row r="375" ht="16.5" customHeight="1" x14ac:dyDescent="0.35"/>
    <row r="376" ht="16.5" customHeight="1" x14ac:dyDescent="0.35"/>
    <row r="377" ht="16.5" customHeight="1" x14ac:dyDescent="0.35"/>
    <row r="378" ht="16.5" customHeight="1" x14ac:dyDescent="0.35"/>
    <row r="379" ht="16.5" customHeight="1" x14ac:dyDescent="0.35"/>
    <row r="380" ht="16.5" customHeight="1" x14ac:dyDescent="0.35"/>
    <row r="381" ht="16.5" customHeight="1" x14ac:dyDescent="0.35"/>
    <row r="382" ht="16.5" customHeight="1" x14ac:dyDescent="0.35"/>
    <row r="383" ht="16.5" customHeight="1" x14ac:dyDescent="0.35"/>
    <row r="384" ht="16.5" customHeight="1" x14ac:dyDescent="0.35"/>
    <row r="385" ht="16.5" customHeight="1" x14ac:dyDescent="0.35"/>
    <row r="386" ht="16.5" customHeight="1" x14ac:dyDescent="0.35"/>
    <row r="387" ht="16.5" customHeight="1" x14ac:dyDescent="0.35"/>
    <row r="388" ht="16.5" customHeight="1" x14ac:dyDescent="0.35"/>
    <row r="389" ht="16.5" customHeight="1" x14ac:dyDescent="0.35"/>
    <row r="390" ht="16.5" customHeight="1" x14ac:dyDescent="0.35"/>
    <row r="391" ht="16.5" customHeight="1" x14ac:dyDescent="0.35"/>
    <row r="392" ht="16.5" customHeight="1" x14ac:dyDescent="0.35"/>
    <row r="393" ht="16.5" customHeight="1" x14ac:dyDescent="0.35"/>
    <row r="394" ht="16.5" customHeight="1" x14ac:dyDescent="0.35"/>
    <row r="395" ht="16.5" customHeight="1" x14ac:dyDescent="0.35"/>
    <row r="396" ht="16.5" customHeight="1" x14ac:dyDescent="0.35"/>
    <row r="397" ht="16.5" customHeight="1" x14ac:dyDescent="0.35"/>
    <row r="398" ht="16.5" customHeight="1" x14ac:dyDescent="0.35"/>
    <row r="399" ht="16.5" customHeight="1" x14ac:dyDescent="0.35"/>
    <row r="400" ht="16.5" customHeight="1" x14ac:dyDescent="0.35"/>
    <row r="401" ht="16.5" customHeight="1" x14ac:dyDescent="0.35"/>
    <row r="402" ht="16.5" customHeight="1" x14ac:dyDescent="0.35"/>
    <row r="403" ht="16.5" customHeight="1" x14ac:dyDescent="0.35"/>
    <row r="404" ht="16.5" customHeight="1" x14ac:dyDescent="0.35"/>
    <row r="405" ht="16.5" customHeight="1" x14ac:dyDescent="0.35"/>
    <row r="406" ht="16.5" customHeight="1" x14ac:dyDescent="0.35"/>
    <row r="407" ht="16.5" customHeight="1" x14ac:dyDescent="0.35"/>
    <row r="408" ht="16.5" customHeight="1" x14ac:dyDescent="0.35"/>
    <row r="409" ht="16.5" customHeight="1" x14ac:dyDescent="0.35"/>
    <row r="410" ht="16.5" customHeight="1" x14ac:dyDescent="0.35"/>
    <row r="411" ht="16.5" customHeight="1" x14ac:dyDescent="0.35"/>
    <row r="412" ht="16.5" customHeight="1" x14ac:dyDescent="0.35"/>
    <row r="413" ht="16.5" customHeight="1" x14ac:dyDescent="0.35"/>
    <row r="414" ht="16.5" customHeight="1" x14ac:dyDescent="0.35"/>
    <row r="415" ht="16.5" customHeight="1" x14ac:dyDescent="0.35"/>
    <row r="416" ht="16.5" customHeight="1" x14ac:dyDescent="0.35"/>
    <row r="417" ht="16.5" customHeight="1" x14ac:dyDescent="0.35"/>
    <row r="418" ht="16.5" customHeight="1" x14ac:dyDescent="0.35"/>
    <row r="419" ht="16.5" customHeight="1" x14ac:dyDescent="0.35"/>
    <row r="420" ht="16.5" customHeight="1" x14ac:dyDescent="0.35"/>
    <row r="421" ht="16.5" customHeight="1" x14ac:dyDescent="0.35"/>
    <row r="422" ht="16.5" customHeight="1" x14ac:dyDescent="0.35"/>
    <row r="423" ht="16.5" customHeight="1" x14ac:dyDescent="0.35"/>
    <row r="424" ht="16.5" customHeight="1" x14ac:dyDescent="0.35"/>
    <row r="425" ht="16.5" customHeight="1" x14ac:dyDescent="0.35"/>
    <row r="426" ht="16.5" customHeight="1" x14ac:dyDescent="0.35"/>
    <row r="427" ht="16.5" customHeight="1" x14ac:dyDescent="0.35"/>
    <row r="428" ht="16.5" customHeight="1" x14ac:dyDescent="0.35"/>
    <row r="429" ht="16.5" customHeight="1" x14ac:dyDescent="0.35"/>
    <row r="430" ht="16.5" customHeight="1" x14ac:dyDescent="0.35"/>
    <row r="431" ht="16.5" customHeight="1" x14ac:dyDescent="0.35"/>
    <row r="432" ht="16.5" customHeight="1" x14ac:dyDescent="0.35"/>
    <row r="433" ht="16.5" customHeight="1" x14ac:dyDescent="0.35"/>
    <row r="434" ht="16.5" customHeight="1" x14ac:dyDescent="0.35"/>
    <row r="435" ht="16.5" customHeight="1" x14ac:dyDescent="0.35"/>
    <row r="436" ht="16.5" customHeight="1" x14ac:dyDescent="0.35"/>
    <row r="437" ht="16.5" customHeight="1" x14ac:dyDescent="0.35"/>
    <row r="438" ht="16.5" customHeight="1" x14ac:dyDescent="0.35"/>
    <row r="439" ht="16.5" customHeight="1" x14ac:dyDescent="0.35"/>
    <row r="440" ht="16.5" customHeight="1" x14ac:dyDescent="0.35"/>
    <row r="441" ht="16.5" customHeight="1" x14ac:dyDescent="0.35"/>
    <row r="442" ht="16.5" customHeight="1" x14ac:dyDescent="0.35"/>
    <row r="443" ht="16.5" customHeight="1" x14ac:dyDescent="0.35"/>
    <row r="444" ht="16.5" customHeight="1" x14ac:dyDescent="0.35"/>
    <row r="445" ht="16.5" customHeight="1" x14ac:dyDescent="0.35"/>
    <row r="446" ht="16.5" customHeight="1" x14ac:dyDescent="0.35"/>
    <row r="447" ht="16.5" customHeight="1" x14ac:dyDescent="0.35"/>
    <row r="448" ht="16.5" customHeight="1" x14ac:dyDescent="0.35"/>
    <row r="449" ht="16.5" customHeight="1" x14ac:dyDescent="0.35"/>
    <row r="450" ht="16.5" customHeight="1" x14ac:dyDescent="0.35"/>
    <row r="451" ht="16.5" customHeight="1" x14ac:dyDescent="0.35"/>
    <row r="452" ht="16.5" customHeight="1" x14ac:dyDescent="0.35"/>
    <row r="453" ht="16.5" customHeight="1" x14ac:dyDescent="0.35"/>
    <row r="454" ht="16.5" customHeight="1" x14ac:dyDescent="0.35"/>
    <row r="455" ht="16.5" customHeight="1" x14ac:dyDescent="0.35"/>
    <row r="456" ht="16.5" customHeight="1" x14ac:dyDescent="0.35"/>
    <row r="457" ht="16.5" customHeight="1" x14ac:dyDescent="0.35"/>
    <row r="458" ht="16.5" customHeight="1" x14ac:dyDescent="0.35"/>
    <row r="459" ht="16.5" customHeight="1" x14ac:dyDescent="0.35"/>
    <row r="460" ht="16.5" customHeight="1" x14ac:dyDescent="0.35"/>
    <row r="461" ht="16.5" customHeight="1" x14ac:dyDescent="0.35"/>
    <row r="462" ht="16.5" customHeight="1" x14ac:dyDescent="0.35"/>
    <row r="463" ht="16.5" customHeight="1" x14ac:dyDescent="0.35"/>
    <row r="464" ht="16.5" customHeight="1" x14ac:dyDescent="0.35"/>
    <row r="465" ht="16.5" customHeight="1" x14ac:dyDescent="0.35"/>
    <row r="466" ht="16.5" customHeight="1" x14ac:dyDescent="0.35"/>
    <row r="467" ht="16.5" customHeight="1" x14ac:dyDescent="0.35"/>
    <row r="468" ht="16.5" customHeight="1" x14ac:dyDescent="0.35"/>
    <row r="469" ht="16.5" customHeight="1" x14ac:dyDescent="0.35"/>
    <row r="470" ht="16.5" customHeight="1" x14ac:dyDescent="0.35"/>
    <row r="471" ht="16.5" customHeight="1" x14ac:dyDescent="0.35"/>
    <row r="472" ht="16.5" customHeight="1" x14ac:dyDescent="0.35"/>
    <row r="473" ht="16.5" customHeight="1" x14ac:dyDescent="0.35"/>
    <row r="474" ht="16.5" customHeight="1" x14ac:dyDescent="0.35"/>
    <row r="475" ht="16.5" customHeight="1" x14ac:dyDescent="0.35"/>
    <row r="476" ht="16.5" customHeight="1" x14ac:dyDescent="0.35"/>
    <row r="477" ht="16.5" customHeight="1" x14ac:dyDescent="0.35"/>
    <row r="478" ht="16.5" customHeight="1" x14ac:dyDescent="0.35"/>
    <row r="479" ht="16.5" customHeight="1" x14ac:dyDescent="0.35"/>
    <row r="480" ht="16.5" customHeight="1" x14ac:dyDescent="0.35"/>
    <row r="481" ht="16.5" customHeight="1" x14ac:dyDescent="0.35"/>
    <row r="482" ht="16.5" customHeight="1" x14ac:dyDescent="0.35"/>
    <row r="483" ht="16.5" customHeight="1" x14ac:dyDescent="0.35"/>
    <row r="484" ht="16.5" customHeight="1" x14ac:dyDescent="0.35"/>
    <row r="485" ht="16.5" customHeight="1" x14ac:dyDescent="0.35"/>
    <row r="486" ht="16.5" customHeight="1" x14ac:dyDescent="0.35"/>
    <row r="487" ht="16.5" customHeight="1" x14ac:dyDescent="0.35"/>
    <row r="488" ht="16.5" customHeight="1" x14ac:dyDescent="0.35"/>
    <row r="489" ht="16.5" customHeight="1" x14ac:dyDescent="0.35"/>
    <row r="490" ht="16.5" customHeight="1" x14ac:dyDescent="0.35"/>
    <row r="491" ht="16.5" customHeight="1" x14ac:dyDescent="0.35"/>
    <row r="492" ht="16.5" customHeight="1" x14ac:dyDescent="0.35"/>
    <row r="493" ht="16.5" customHeight="1" x14ac:dyDescent="0.35"/>
    <row r="494" ht="16.5" customHeight="1" x14ac:dyDescent="0.35"/>
    <row r="495" ht="16.5" customHeight="1" x14ac:dyDescent="0.35"/>
    <row r="496" ht="16.5" customHeight="1" x14ac:dyDescent="0.35"/>
    <row r="497" ht="16.5" customHeight="1" x14ac:dyDescent="0.35"/>
    <row r="498" ht="16.5" customHeight="1" x14ac:dyDescent="0.35"/>
    <row r="499" ht="16.5" customHeight="1" x14ac:dyDescent="0.35"/>
    <row r="500" ht="16.5" customHeight="1" x14ac:dyDescent="0.35"/>
    <row r="501" ht="16.5" customHeight="1" x14ac:dyDescent="0.35"/>
    <row r="502" ht="16.5" customHeight="1" x14ac:dyDescent="0.35"/>
    <row r="503" ht="16.5" customHeight="1" x14ac:dyDescent="0.35"/>
    <row r="504" ht="16.5" customHeight="1" x14ac:dyDescent="0.35"/>
    <row r="505" ht="16.5" customHeight="1" x14ac:dyDescent="0.35"/>
    <row r="506" ht="16.5" customHeight="1" x14ac:dyDescent="0.35"/>
    <row r="507" ht="16.5" customHeight="1" x14ac:dyDescent="0.35"/>
    <row r="508" ht="16.5" customHeight="1" x14ac:dyDescent="0.35"/>
    <row r="509" ht="16.5" customHeight="1" x14ac:dyDescent="0.35"/>
    <row r="510" ht="16.5" customHeight="1" x14ac:dyDescent="0.35"/>
    <row r="511" ht="16.5" customHeight="1" x14ac:dyDescent="0.35"/>
    <row r="512" ht="16.5" customHeight="1" x14ac:dyDescent="0.35"/>
    <row r="513" ht="16.5" customHeight="1" x14ac:dyDescent="0.35"/>
    <row r="514" ht="16.5" customHeight="1" x14ac:dyDescent="0.35"/>
    <row r="515" ht="16.5" customHeight="1" x14ac:dyDescent="0.35"/>
    <row r="516" ht="16.5" customHeight="1" x14ac:dyDescent="0.35"/>
    <row r="517" ht="16.5" customHeight="1" x14ac:dyDescent="0.35"/>
    <row r="518" ht="16.5" customHeight="1" x14ac:dyDescent="0.35"/>
    <row r="519" ht="16.5" customHeight="1" x14ac:dyDescent="0.35"/>
    <row r="520" ht="16.5" customHeight="1" x14ac:dyDescent="0.35"/>
    <row r="521" ht="16.5" customHeight="1" x14ac:dyDescent="0.35"/>
    <row r="522" ht="16.5" customHeight="1" x14ac:dyDescent="0.35"/>
    <row r="523" ht="16.5" customHeight="1" x14ac:dyDescent="0.35"/>
    <row r="524" ht="16.5" customHeight="1" x14ac:dyDescent="0.35"/>
    <row r="525" ht="16.5" customHeight="1" x14ac:dyDescent="0.35"/>
    <row r="526" ht="16.5" customHeight="1" x14ac:dyDescent="0.35"/>
    <row r="527" ht="16.5" customHeight="1" x14ac:dyDescent="0.35"/>
    <row r="528" ht="16.5" customHeight="1" x14ac:dyDescent="0.35"/>
    <row r="529" ht="16.5" customHeight="1" x14ac:dyDescent="0.35"/>
    <row r="530" ht="16.5" customHeight="1" x14ac:dyDescent="0.35"/>
    <row r="531" ht="16.5" customHeight="1" x14ac:dyDescent="0.35"/>
    <row r="532" ht="16.5" customHeight="1" x14ac:dyDescent="0.35"/>
    <row r="533" ht="16.5" customHeight="1" x14ac:dyDescent="0.35"/>
    <row r="534" ht="16.5" customHeight="1" x14ac:dyDescent="0.35"/>
    <row r="535" ht="16.5" customHeight="1" x14ac:dyDescent="0.35"/>
    <row r="536" ht="16.5" customHeight="1" x14ac:dyDescent="0.35"/>
    <row r="537" ht="16.5" customHeight="1" x14ac:dyDescent="0.35"/>
    <row r="538" ht="16.5" customHeight="1" x14ac:dyDescent="0.35"/>
    <row r="539" ht="16.5" customHeight="1" x14ac:dyDescent="0.35"/>
    <row r="540" ht="16.5" customHeight="1" x14ac:dyDescent="0.35"/>
    <row r="541" ht="16.5" customHeight="1" x14ac:dyDescent="0.35"/>
    <row r="542" ht="16.5" customHeight="1" x14ac:dyDescent="0.35"/>
    <row r="543" ht="16.5" customHeight="1" x14ac:dyDescent="0.35"/>
    <row r="544" ht="16.5" customHeight="1" x14ac:dyDescent="0.35"/>
    <row r="545" ht="16.5" customHeight="1" x14ac:dyDescent="0.35"/>
    <row r="546" ht="16.5" customHeight="1" x14ac:dyDescent="0.35"/>
    <row r="547" ht="16.5" customHeight="1" x14ac:dyDescent="0.35"/>
    <row r="548" ht="16.5" customHeight="1" x14ac:dyDescent="0.35"/>
    <row r="549" ht="16.5" customHeight="1" x14ac:dyDescent="0.35"/>
    <row r="550" ht="16.5" customHeight="1" x14ac:dyDescent="0.35"/>
    <row r="551" ht="16.5" customHeight="1" x14ac:dyDescent="0.35"/>
    <row r="552" ht="16.5" customHeight="1" x14ac:dyDescent="0.35"/>
    <row r="553" ht="16.5" customHeight="1" x14ac:dyDescent="0.35"/>
    <row r="554" ht="16.5" customHeight="1" x14ac:dyDescent="0.35"/>
    <row r="555" ht="16.5" customHeight="1" x14ac:dyDescent="0.35"/>
    <row r="556" ht="16.5" customHeight="1" x14ac:dyDescent="0.35"/>
    <row r="557" ht="16.5" customHeight="1" x14ac:dyDescent="0.35"/>
    <row r="558" ht="16.5" customHeight="1" x14ac:dyDescent="0.35"/>
    <row r="559" ht="16.5" customHeight="1" x14ac:dyDescent="0.35"/>
    <row r="560" ht="16.5" customHeight="1" x14ac:dyDescent="0.35"/>
    <row r="561" ht="16.5" customHeight="1" x14ac:dyDescent="0.35"/>
    <row r="562" ht="16.5" customHeight="1" x14ac:dyDescent="0.35"/>
    <row r="563" ht="16.5" customHeight="1" x14ac:dyDescent="0.35"/>
    <row r="564" ht="16.5" customHeight="1" x14ac:dyDescent="0.35"/>
    <row r="565" ht="16.5" customHeight="1" x14ac:dyDescent="0.35"/>
    <row r="566" ht="16.5" customHeight="1" x14ac:dyDescent="0.35"/>
    <row r="567" ht="16.5" customHeight="1" x14ac:dyDescent="0.35"/>
    <row r="568" ht="16.5" customHeight="1" x14ac:dyDescent="0.35"/>
    <row r="569" ht="16.5" customHeight="1" x14ac:dyDescent="0.35"/>
    <row r="570" ht="16.5" customHeight="1" x14ac:dyDescent="0.35"/>
    <row r="571" ht="16.5" customHeight="1" x14ac:dyDescent="0.35"/>
    <row r="572" ht="16.5" customHeight="1" x14ac:dyDescent="0.35"/>
    <row r="573" ht="16.5" customHeight="1" x14ac:dyDescent="0.35"/>
    <row r="574" ht="16.5" customHeight="1" x14ac:dyDescent="0.35"/>
    <row r="575" ht="16.5" customHeight="1" x14ac:dyDescent="0.35"/>
    <row r="576" ht="16.5" customHeight="1" x14ac:dyDescent="0.35"/>
    <row r="577" ht="16.5" customHeight="1" x14ac:dyDescent="0.35"/>
    <row r="578" ht="16.5" customHeight="1" x14ac:dyDescent="0.35"/>
    <row r="579" ht="16.5" customHeight="1" x14ac:dyDescent="0.35"/>
    <row r="580" ht="16.5" customHeight="1" x14ac:dyDescent="0.35"/>
    <row r="581" ht="16.5" customHeight="1" x14ac:dyDescent="0.35"/>
    <row r="582" ht="16.5" customHeight="1" x14ac:dyDescent="0.35"/>
    <row r="583" ht="16.5" customHeight="1" x14ac:dyDescent="0.35"/>
    <row r="584" ht="16.5" customHeight="1" x14ac:dyDescent="0.35"/>
    <row r="585" ht="16.5" customHeight="1" x14ac:dyDescent="0.35"/>
    <row r="586" ht="16.5" customHeight="1" x14ac:dyDescent="0.35"/>
    <row r="587" ht="16.5" customHeight="1" x14ac:dyDescent="0.35"/>
    <row r="588" ht="16.5" customHeight="1" x14ac:dyDescent="0.35"/>
    <row r="589" ht="16.5" customHeight="1" x14ac:dyDescent="0.35"/>
    <row r="590" ht="16.5" customHeight="1" x14ac:dyDescent="0.35"/>
    <row r="591" ht="16.5" customHeight="1" x14ac:dyDescent="0.35"/>
    <row r="592" ht="16.5" customHeight="1" x14ac:dyDescent="0.35"/>
    <row r="593" ht="16.5" customHeight="1" x14ac:dyDescent="0.35"/>
    <row r="594" ht="16.5" customHeight="1" x14ac:dyDescent="0.35"/>
    <row r="595" ht="16.5" customHeight="1" x14ac:dyDescent="0.35"/>
    <row r="596" ht="16.5" customHeight="1" x14ac:dyDescent="0.35"/>
    <row r="597" ht="16.5" customHeight="1" x14ac:dyDescent="0.35"/>
    <row r="598" ht="16.5" customHeight="1" x14ac:dyDescent="0.35"/>
    <row r="599" ht="16.5" customHeight="1" x14ac:dyDescent="0.35"/>
    <row r="600" ht="16.5" customHeight="1" x14ac:dyDescent="0.35"/>
    <row r="601" ht="16.5" customHeight="1" x14ac:dyDescent="0.35"/>
    <row r="602" ht="16.5" customHeight="1" x14ac:dyDescent="0.35"/>
    <row r="603" ht="16.5" customHeight="1" x14ac:dyDescent="0.35"/>
    <row r="604" ht="16.5" customHeight="1" x14ac:dyDescent="0.35"/>
    <row r="605" ht="16.5" customHeight="1" x14ac:dyDescent="0.35"/>
    <row r="606" ht="16.5" customHeight="1" x14ac:dyDescent="0.35"/>
    <row r="607" ht="16.5" customHeight="1" x14ac:dyDescent="0.35"/>
    <row r="608" ht="16.5" customHeight="1" x14ac:dyDescent="0.35"/>
    <row r="609" ht="16.5" customHeight="1" x14ac:dyDescent="0.35"/>
    <row r="610" ht="16.5" customHeight="1" x14ac:dyDescent="0.35"/>
    <row r="611" ht="16.5" customHeight="1" x14ac:dyDescent="0.35"/>
    <row r="612" ht="16.5" customHeight="1" x14ac:dyDescent="0.35"/>
    <row r="613" ht="16.5" customHeight="1" x14ac:dyDescent="0.35"/>
    <row r="614" ht="16.5" customHeight="1" x14ac:dyDescent="0.35"/>
    <row r="615" ht="16.5" customHeight="1" x14ac:dyDescent="0.35"/>
    <row r="616" ht="16.5" customHeight="1" x14ac:dyDescent="0.35"/>
    <row r="617" ht="16.5" customHeight="1" x14ac:dyDescent="0.35"/>
    <row r="618" ht="16.5" customHeight="1" x14ac:dyDescent="0.35"/>
    <row r="619" ht="16.5" customHeight="1" x14ac:dyDescent="0.35"/>
    <row r="620" ht="16.5" customHeight="1" x14ac:dyDescent="0.35"/>
    <row r="621" ht="16.5" customHeight="1" x14ac:dyDescent="0.35"/>
    <row r="622" ht="16.5" customHeight="1" x14ac:dyDescent="0.35"/>
    <row r="623" ht="16.5" customHeight="1" x14ac:dyDescent="0.35"/>
    <row r="624" ht="16.5" customHeight="1" x14ac:dyDescent="0.35"/>
    <row r="625" ht="16.5" customHeight="1" x14ac:dyDescent="0.35"/>
    <row r="626" ht="16.5" customHeight="1" x14ac:dyDescent="0.35"/>
    <row r="627" ht="16.5" customHeight="1" x14ac:dyDescent="0.35"/>
    <row r="628" ht="16.5" customHeight="1" x14ac:dyDescent="0.35"/>
    <row r="629" ht="16.5" customHeight="1" x14ac:dyDescent="0.35"/>
    <row r="630" ht="16.5" customHeight="1" x14ac:dyDescent="0.35"/>
    <row r="631" ht="16.5" customHeight="1" x14ac:dyDescent="0.35"/>
    <row r="632" ht="16.5" customHeight="1" x14ac:dyDescent="0.35"/>
    <row r="633" ht="16.5" customHeight="1" x14ac:dyDescent="0.35"/>
    <row r="634" ht="16.5" customHeight="1" x14ac:dyDescent="0.35"/>
    <row r="635" ht="16.5" customHeight="1" x14ac:dyDescent="0.35"/>
    <row r="636" ht="16.5" customHeight="1" x14ac:dyDescent="0.35"/>
    <row r="637" ht="16.5" customHeight="1" x14ac:dyDescent="0.35"/>
    <row r="638" ht="16.5" customHeight="1" x14ac:dyDescent="0.35"/>
    <row r="639" ht="16.5" customHeight="1" x14ac:dyDescent="0.35"/>
    <row r="640" ht="16.5" customHeight="1" x14ac:dyDescent="0.35"/>
    <row r="641" ht="16.5" customHeight="1" x14ac:dyDescent="0.35"/>
    <row r="642" ht="16.5" customHeight="1" x14ac:dyDescent="0.35"/>
    <row r="643" ht="16.5" customHeight="1" x14ac:dyDescent="0.35"/>
    <row r="644" ht="16.5" customHeight="1" x14ac:dyDescent="0.35"/>
    <row r="645" ht="16.5" customHeight="1" x14ac:dyDescent="0.35"/>
    <row r="646" ht="16.5" customHeight="1" x14ac:dyDescent="0.35"/>
    <row r="647" ht="16.5" customHeight="1" x14ac:dyDescent="0.35"/>
    <row r="648" ht="16.5" customHeight="1" x14ac:dyDescent="0.35"/>
    <row r="649" ht="16.5" customHeight="1" x14ac:dyDescent="0.35"/>
    <row r="650" ht="16.5" customHeight="1" x14ac:dyDescent="0.35"/>
    <row r="651" ht="16.5" customHeight="1" x14ac:dyDescent="0.35"/>
    <row r="652" ht="16.5" customHeight="1" x14ac:dyDescent="0.35"/>
    <row r="653" ht="16.5" customHeight="1" x14ac:dyDescent="0.35"/>
    <row r="654" ht="16.5" customHeight="1" x14ac:dyDescent="0.35"/>
    <row r="655" ht="16.5" customHeight="1" x14ac:dyDescent="0.35"/>
    <row r="656" ht="16.5" customHeight="1" x14ac:dyDescent="0.35"/>
    <row r="657" ht="16.5" customHeight="1" x14ac:dyDescent="0.35"/>
    <row r="658" ht="16.5" customHeight="1" x14ac:dyDescent="0.35"/>
    <row r="659" ht="16.5" customHeight="1" x14ac:dyDescent="0.35"/>
    <row r="660" ht="16.5" customHeight="1" x14ac:dyDescent="0.35"/>
    <row r="661" ht="16.5" customHeight="1" x14ac:dyDescent="0.35"/>
    <row r="662" ht="16.5" customHeight="1" x14ac:dyDescent="0.35"/>
    <row r="663" ht="16.5" customHeight="1" x14ac:dyDescent="0.35"/>
    <row r="664" ht="16.5" customHeight="1" x14ac:dyDescent="0.35"/>
    <row r="665" ht="16.5" customHeight="1" x14ac:dyDescent="0.35"/>
    <row r="666" ht="16.5" customHeight="1" x14ac:dyDescent="0.35"/>
    <row r="667" ht="16.5" customHeight="1" x14ac:dyDescent="0.35"/>
    <row r="668" ht="16.5" customHeight="1" x14ac:dyDescent="0.35"/>
    <row r="669" ht="16.5" customHeight="1" x14ac:dyDescent="0.35"/>
    <row r="670" ht="16.5" customHeight="1" x14ac:dyDescent="0.35"/>
    <row r="671" ht="16.5" customHeight="1" x14ac:dyDescent="0.35"/>
    <row r="672" ht="16.5" customHeight="1" x14ac:dyDescent="0.35"/>
    <row r="673" ht="16.5" customHeight="1" x14ac:dyDescent="0.35"/>
    <row r="674" ht="16.5" customHeight="1" x14ac:dyDescent="0.35"/>
    <row r="675" ht="16.5" customHeight="1" x14ac:dyDescent="0.35"/>
    <row r="676" ht="16.5" customHeight="1" x14ac:dyDescent="0.35"/>
    <row r="677" ht="16.5" customHeight="1" x14ac:dyDescent="0.35"/>
    <row r="678" ht="16.5" customHeight="1" x14ac:dyDescent="0.35"/>
    <row r="679" ht="16.5" customHeight="1" x14ac:dyDescent="0.35"/>
    <row r="680" ht="16.5" customHeight="1" x14ac:dyDescent="0.35"/>
    <row r="681" ht="16.5" customHeight="1" x14ac:dyDescent="0.35"/>
    <row r="682" ht="16.5" customHeight="1" x14ac:dyDescent="0.35"/>
    <row r="683" ht="16.5" customHeight="1" x14ac:dyDescent="0.35"/>
    <row r="684" ht="16.5" customHeight="1" x14ac:dyDescent="0.35"/>
    <row r="685" ht="16.5" customHeight="1" x14ac:dyDescent="0.35"/>
    <row r="686" ht="16.5" customHeight="1" x14ac:dyDescent="0.35"/>
    <row r="687" ht="16.5" customHeight="1" x14ac:dyDescent="0.35"/>
    <row r="688" ht="16.5" customHeight="1" x14ac:dyDescent="0.35"/>
    <row r="689" ht="16.5" customHeight="1" x14ac:dyDescent="0.35"/>
    <row r="690" ht="16.5" customHeight="1" x14ac:dyDescent="0.35"/>
    <row r="691" ht="16.5" customHeight="1" x14ac:dyDescent="0.35"/>
    <row r="692" ht="16.5" customHeight="1" x14ac:dyDescent="0.35"/>
    <row r="693" ht="16.5" customHeight="1" x14ac:dyDescent="0.35"/>
    <row r="694" ht="16.5" customHeight="1" x14ac:dyDescent="0.35"/>
    <row r="695" ht="16.5" customHeight="1" x14ac:dyDescent="0.35"/>
    <row r="696" ht="16.5" customHeight="1" x14ac:dyDescent="0.35"/>
    <row r="697" ht="16.5" customHeight="1" x14ac:dyDescent="0.35"/>
    <row r="698" ht="16.5" customHeight="1" x14ac:dyDescent="0.35"/>
    <row r="699" ht="16.5" customHeight="1" x14ac:dyDescent="0.35"/>
    <row r="700" ht="16.5" customHeight="1" x14ac:dyDescent="0.35"/>
    <row r="701" ht="16.5" customHeight="1" x14ac:dyDescent="0.35"/>
    <row r="702" ht="16.5" customHeight="1" x14ac:dyDescent="0.35"/>
    <row r="703" ht="16.5" customHeight="1" x14ac:dyDescent="0.35"/>
    <row r="704" ht="16.5" customHeight="1" x14ac:dyDescent="0.35"/>
    <row r="705" ht="16.5" customHeight="1" x14ac:dyDescent="0.35"/>
    <row r="706" ht="16.5" customHeight="1" x14ac:dyDescent="0.35"/>
    <row r="707" ht="16.5" customHeight="1" x14ac:dyDescent="0.35"/>
    <row r="708" ht="16.5" customHeight="1" x14ac:dyDescent="0.35"/>
    <row r="709" ht="16.5" customHeight="1" x14ac:dyDescent="0.35"/>
    <row r="710" ht="16.5" customHeight="1" x14ac:dyDescent="0.35"/>
    <row r="711" ht="16.5" customHeight="1" x14ac:dyDescent="0.35"/>
    <row r="712" ht="16.5" customHeight="1" x14ac:dyDescent="0.35"/>
    <row r="713" ht="16.5" customHeight="1" x14ac:dyDescent="0.35"/>
    <row r="714" ht="16.5" customHeight="1" x14ac:dyDescent="0.35"/>
    <row r="715" ht="16.5" customHeight="1" x14ac:dyDescent="0.35"/>
    <row r="716" ht="16.5" customHeight="1" x14ac:dyDescent="0.35"/>
    <row r="717" ht="16.5" customHeight="1" x14ac:dyDescent="0.35"/>
    <row r="718" ht="16.5" customHeight="1" x14ac:dyDescent="0.35"/>
    <row r="719" ht="16.5" customHeight="1" x14ac:dyDescent="0.35"/>
    <row r="720" ht="16.5" customHeight="1" x14ac:dyDescent="0.35"/>
    <row r="721" ht="16.5" customHeight="1" x14ac:dyDescent="0.35"/>
    <row r="722" ht="16.5" customHeight="1" x14ac:dyDescent="0.35"/>
    <row r="723" ht="16.5" customHeight="1" x14ac:dyDescent="0.35"/>
    <row r="724" ht="16.5" customHeight="1" x14ac:dyDescent="0.35"/>
    <row r="725" ht="16.5" customHeight="1" x14ac:dyDescent="0.35"/>
    <row r="726" ht="16.5" customHeight="1" x14ac:dyDescent="0.35"/>
    <row r="727" ht="16.5" customHeight="1" x14ac:dyDescent="0.35"/>
    <row r="728" ht="16.5" customHeight="1" x14ac:dyDescent="0.35"/>
    <row r="729" ht="16.5" customHeight="1" x14ac:dyDescent="0.35"/>
    <row r="730" ht="16.5" customHeight="1" x14ac:dyDescent="0.35"/>
    <row r="731" ht="16.5" customHeight="1" x14ac:dyDescent="0.35"/>
    <row r="732" ht="16.5" customHeight="1" x14ac:dyDescent="0.35"/>
    <row r="733" ht="16.5" customHeight="1" x14ac:dyDescent="0.35"/>
    <row r="734" ht="16.5" customHeight="1" x14ac:dyDescent="0.35"/>
    <row r="735" ht="16.5" customHeight="1" x14ac:dyDescent="0.35"/>
    <row r="736" ht="16.5" customHeight="1" x14ac:dyDescent="0.35"/>
    <row r="737" ht="16.5" customHeight="1" x14ac:dyDescent="0.35"/>
    <row r="738" ht="16.5" customHeight="1" x14ac:dyDescent="0.35"/>
    <row r="739" ht="16.5" customHeight="1" x14ac:dyDescent="0.35"/>
    <row r="740" ht="16.5" customHeight="1" x14ac:dyDescent="0.35"/>
    <row r="741" ht="16.5" customHeight="1" x14ac:dyDescent="0.35"/>
    <row r="742" ht="16.5" customHeight="1" x14ac:dyDescent="0.35"/>
    <row r="743" ht="16.5" customHeight="1" x14ac:dyDescent="0.35"/>
    <row r="744" ht="16.5" customHeight="1" x14ac:dyDescent="0.35"/>
    <row r="745" ht="16.5" customHeight="1" x14ac:dyDescent="0.35"/>
    <row r="746" ht="16.5" customHeight="1" x14ac:dyDescent="0.35"/>
    <row r="747" ht="16.5" customHeight="1" x14ac:dyDescent="0.35"/>
    <row r="748" ht="16.5" customHeight="1" x14ac:dyDescent="0.35"/>
    <row r="749" ht="16.5" customHeight="1" x14ac:dyDescent="0.35"/>
    <row r="750" ht="16.5" customHeight="1" x14ac:dyDescent="0.35"/>
    <row r="751" ht="16.5" customHeight="1" x14ac:dyDescent="0.35"/>
    <row r="752" ht="16.5" customHeight="1" x14ac:dyDescent="0.35"/>
    <row r="753" ht="16.5" customHeight="1" x14ac:dyDescent="0.35"/>
    <row r="754" ht="16.5" customHeight="1" x14ac:dyDescent="0.35"/>
    <row r="755" ht="16.5" customHeight="1" x14ac:dyDescent="0.35"/>
    <row r="756" ht="16.5" customHeight="1" x14ac:dyDescent="0.35"/>
    <row r="757" ht="16.5" customHeight="1" x14ac:dyDescent="0.35"/>
    <row r="758" ht="16.5" customHeight="1" x14ac:dyDescent="0.35"/>
    <row r="759" ht="16.5" customHeight="1" x14ac:dyDescent="0.35"/>
    <row r="760" ht="16.5" customHeight="1" x14ac:dyDescent="0.35"/>
    <row r="761" ht="16.5" customHeight="1" x14ac:dyDescent="0.35"/>
    <row r="762" ht="16.5" customHeight="1" x14ac:dyDescent="0.35"/>
    <row r="763" ht="16.5" customHeight="1" x14ac:dyDescent="0.35"/>
    <row r="764" ht="16.5" customHeight="1" x14ac:dyDescent="0.35"/>
    <row r="765" ht="16.5" customHeight="1" x14ac:dyDescent="0.35"/>
    <row r="766" ht="16.5" customHeight="1" x14ac:dyDescent="0.35"/>
    <row r="767" ht="16.5" customHeight="1" x14ac:dyDescent="0.35"/>
    <row r="768" ht="16.5" customHeight="1" x14ac:dyDescent="0.35"/>
    <row r="769" ht="16.5" customHeight="1" x14ac:dyDescent="0.35"/>
    <row r="770" ht="16.5" customHeight="1" x14ac:dyDescent="0.35"/>
    <row r="771" ht="16.5" customHeight="1" x14ac:dyDescent="0.35"/>
    <row r="772" ht="16.5" customHeight="1" x14ac:dyDescent="0.35"/>
    <row r="773" ht="16.5" customHeight="1" x14ac:dyDescent="0.35"/>
    <row r="774" ht="16.5" customHeight="1" x14ac:dyDescent="0.35"/>
    <row r="775" ht="16.5" customHeight="1" x14ac:dyDescent="0.35"/>
    <row r="776" ht="16.5" customHeight="1" x14ac:dyDescent="0.35"/>
    <row r="777" ht="16.5" customHeight="1" x14ac:dyDescent="0.35"/>
    <row r="778" ht="16.5" customHeight="1" x14ac:dyDescent="0.35"/>
    <row r="779" ht="16.5" customHeight="1" x14ac:dyDescent="0.35"/>
    <row r="780" ht="16.5" customHeight="1" x14ac:dyDescent="0.35"/>
    <row r="781" ht="16.5" customHeight="1" x14ac:dyDescent="0.35"/>
    <row r="782" ht="16.5" customHeight="1" x14ac:dyDescent="0.35"/>
    <row r="783" ht="16.5" customHeight="1" x14ac:dyDescent="0.35"/>
    <row r="784" ht="16.5" customHeight="1" x14ac:dyDescent="0.35"/>
    <row r="785" ht="16.5" customHeight="1" x14ac:dyDescent="0.35"/>
    <row r="786" ht="16.5" customHeight="1" x14ac:dyDescent="0.35"/>
    <row r="787" ht="16.5" customHeight="1" x14ac:dyDescent="0.35"/>
    <row r="788" ht="16.5" customHeight="1" x14ac:dyDescent="0.35"/>
    <row r="789" ht="16.5" customHeight="1" x14ac:dyDescent="0.35"/>
    <row r="790" ht="16.5" customHeight="1" x14ac:dyDescent="0.35"/>
    <row r="791" ht="16.5" customHeight="1" x14ac:dyDescent="0.35"/>
    <row r="792" ht="16.5" customHeight="1" x14ac:dyDescent="0.35"/>
    <row r="793" ht="16.5" customHeight="1" x14ac:dyDescent="0.35"/>
    <row r="794" ht="16.5" customHeight="1" x14ac:dyDescent="0.35"/>
    <row r="795" ht="16.5" customHeight="1" x14ac:dyDescent="0.35"/>
    <row r="796" ht="16.5" customHeight="1" x14ac:dyDescent="0.35"/>
    <row r="797" ht="16.5" customHeight="1" x14ac:dyDescent="0.35"/>
    <row r="798" ht="16.5" customHeight="1" x14ac:dyDescent="0.35"/>
    <row r="799" ht="16.5" customHeight="1" x14ac:dyDescent="0.35"/>
    <row r="800" ht="16.5" customHeight="1" x14ac:dyDescent="0.35"/>
    <row r="801" ht="16.5" customHeight="1" x14ac:dyDescent="0.35"/>
    <row r="802" ht="16.5" customHeight="1" x14ac:dyDescent="0.35"/>
    <row r="803" ht="16.5" customHeight="1" x14ac:dyDescent="0.35"/>
    <row r="804" ht="16.5" customHeight="1" x14ac:dyDescent="0.35"/>
    <row r="805" ht="16.5" customHeight="1" x14ac:dyDescent="0.35"/>
    <row r="806" ht="16.5" customHeight="1" x14ac:dyDescent="0.35"/>
    <row r="807" ht="16.5" customHeight="1" x14ac:dyDescent="0.35"/>
    <row r="808" ht="16.5" customHeight="1" x14ac:dyDescent="0.35"/>
    <row r="809" ht="16.5" customHeight="1" x14ac:dyDescent="0.35"/>
    <row r="810" ht="16.5" customHeight="1" x14ac:dyDescent="0.35"/>
    <row r="811" ht="16.5" customHeight="1" x14ac:dyDescent="0.35"/>
    <row r="812" ht="16.5" customHeight="1" x14ac:dyDescent="0.35"/>
    <row r="813" ht="16.5" customHeight="1" x14ac:dyDescent="0.35"/>
    <row r="814" ht="16.5" customHeight="1" x14ac:dyDescent="0.35"/>
    <row r="815" ht="16.5" customHeight="1" x14ac:dyDescent="0.35"/>
    <row r="816" ht="16.5" customHeight="1" x14ac:dyDescent="0.35"/>
    <row r="817" ht="16.5" customHeight="1" x14ac:dyDescent="0.35"/>
    <row r="818" ht="16.5" customHeight="1" x14ac:dyDescent="0.35"/>
    <row r="819" ht="16.5" customHeight="1" x14ac:dyDescent="0.35"/>
    <row r="820" ht="16.5" customHeight="1" x14ac:dyDescent="0.35"/>
    <row r="821" ht="16.5" customHeight="1" x14ac:dyDescent="0.35"/>
    <row r="822" ht="16.5" customHeight="1" x14ac:dyDescent="0.35"/>
    <row r="823" ht="16.5" customHeight="1" x14ac:dyDescent="0.35"/>
    <row r="824" ht="16.5" customHeight="1" x14ac:dyDescent="0.35"/>
    <row r="825" ht="16.5" customHeight="1" x14ac:dyDescent="0.35"/>
    <row r="826" ht="16.5" customHeight="1" x14ac:dyDescent="0.35"/>
    <row r="827" ht="16.5" customHeight="1" x14ac:dyDescent="0.35"/>
    <row r="828" ht="16.5" customHeight="1" x14ac:dyDescent="0.35"/>
    <row r="829" ht="16.5" customHeight="1" x14ac:dyDescent="0.35"/>
    <row r="830" ht="16.5" customHeight="1" x14ac:dyDescent="0.35"/>
    <row r="831" ht="16.5" customHeight="1" x14ac:dyDescent="0.35"/>
    <row r="832" ht="16.5" customHeight="1" x14ac:dyDescent="0.35"/>
    <row r="833" ht="16.5" customHeight="1" x14ac:dyDescent="0.35"/>
    <row r="834" ht="16.5" customHeight="1" x14ac:dyDescent="0.35"/>
    <row r="835" ht="16.5" customHeight="1" x14ac:dyDescent="0.35"/>
    <row r="836" ht="16.5" customHeight="1" x14ac:dyDescent="0.35"/>
    <row r="837" ht="16.5" customHeight="1" x14ac:dyDescent="0.35"/>
    <row r="838" ht="16.5" customHeight="1" x14ac:dyDescent="0.35"/>
    <row r="839" ht="16.5" customHeight="1" x14ac:dyDescent="0.35"/>
    <row r="840" ht="16.5" customHeight="1" x14ac:dyDescent="0.35"/>
    <row r="841" ht="16.5" customHeight="1" x14ac:dyDescent="0.35"/>
    <row r="842" ht="16.5" customHeight="1" x14ac:dyDescent="0.35"/>
    <row r="843" ht="16.5" customHeight="1" x14ac:dyDescent="0.35"/>
    <row r="844" ht="16.5" customHeight="1" x14ac:dyDescent="0.35"/>
    <row r="845" ht="16.5" customHeight="1" x14ac:dyDescent="0.35"/>
    <row r="846" ht="16.5" customHeight="1" x14ac:dyDescent="0.35"/>
    <row r="847" ht="16.5" customHeight="1" x14ac:dyDescent="0.35"/>
    <row r="848" ht="16.5" customHeight="1" x14ac:dyDescent="0.35"/>
    <row r="849" ht="16.5" customHeight="1" x14ac:dyDescent="0.35"/>
    <row r="850" ht="16.5" customHeight="1" x14ac:dyDescent="0.35"/>
    <row r="851" ht="16.5" customHeight="1" x14ac:dyDescent="0.35"/>
    <row r="852" ht="16.5" customHeight="1" x14ac:dyDescent="0.35"/>
    <row r="853" ht="16.5" customHeight="1" x14ac:dyDescent="0.35"/>
    <row r="854" ht="16.5" customHeight="1" x14ac:dyDescent="0.35"/>
    <row r="855" ht="16.5" customHeight="1" x14ac:dyDescent="0.35"/>
    <row r="856" ht="16.5" customHeight="1" x14ac:dyDescent="0.35"/>
    <row r="857" ht="16.5" customHeight="1" x14ac:dyDescent="0.35"/>
    <row r="858" ht="16.5" customHeight="1" x14ac:dyDescent="0.35"/>
    <row r="859" ht="16.5" customHeight="1" x14ac:dyDescent="0.35"/>
    <row r="860" ht="16.5" customHeight="1" x14ac:dyDescent="0.35"/>
    <row r="861" ht="16.5" customHeight="1" x14ac:dyDescent="0.35"/>
    <row r="862" ht="16.5" customHeight="1" x14ac:dyDescent="0.35"/>
    <row r="863" ht="16.5" customHeight="1" x14ac:dyDescent="0.35"/>
    <row r="864" ht="16.5" customHeight="1" x14ac:dyDescent="0.35"/>
    <row r="865" ht="16.5" customHeight="1" x14ac:dyDescent="0.35"/>
    <row r="866" ht="16.5" customHeight="1" x14ac:dyDescent="0.35"/>
    <row r="867" ht="16.5" customHeight="1" x14ac:dyDescent="0.35"/>
    <row r="868" ht="16.5" customHeight="1" x14ac:dyDescent="0.35"/>
    <row r="869" ht="16.5" customHeight="1" x14ac:dyDescent="0.35"/>
    <row r="870" ht="16.5" customHeight="1" x14ac:dyDescent="0.35"/>
    <row r="871" ht="16.5" customHeight="1" x14ac:dyDescent="0.35"/>
    <row r="872" ht="16.5" customHeight="1" x14ac:dyDescent="0.35"/>
    <row r="873" ht="16.5" customHeight="1" x14ac:dyDescent="0.35"/>
    <row r="874" ht="16.5" customHeight="1" x14ac:dyDescent="0.35"/>
    <row r="875" ht="16.5" customHeight="1" x14ac:dyDescent="0.35"/>
    <row r="876" ht="16.5" customHeight="1" x14ac:dyDescent="0.35"/>
    <row r="877" ht="16.5" customHeight="1" x14ac:dyDescent="0.35"/>
    <row r="878" ht="16.5" customHeight="1" x14ac:dyDescent="0.35"/>
    <row r="879" ht="16.5" customHeight="1" x14ac:dyDescent="0.35"/>
    <row r="880" ht="16.5" customHeight="1" x14ac:dyDescent="0.35"/>
    <row r="881" ht="16.5" customHeight="1" x14ac:dyDescent="0.35"/>
    <row r="882" ht="16.5" customHeight="1" x14ac:dyDescent="0.35"/>
    <row r="883" ht="16.5" customHeight="1" x14ac:dyDescent="0.35"/>
    <row r="884" ht="16.5" customHeight="1" x14ac:dyDescent="0.35"/>
    <row r="885" ht="16.5" customHeight="1" x14ac:dyDescent="0.35"/>
    <row r="886" ht="16.5" customHeight="1" x14ac:dyDescent="0.35"/>
    <row r="887" ht="16.5" customHeight="1" x14ac:dyDescent="0.35"/>
    <row r="888" ht="16.5" customHeight="1" x14ac:dyDescent="0.35"/>
    <row r="889" ht="16.5" customHeight="1" x14ac:dyDescent="0.35"/>
    <row r="890" ht="16.5" customHeight="1" x14ac:dyDescent="0.35"/>
    <row r="891" ht="16.5" customHeight="1" x14ac:dyDescent="0.35"/>
    <row r="892" ht="16.5" customHeight="1" x14ac:dyDescent="0.35"/>
    <row r="893" ht="16.5" customHeight="1" x14ac:dyDescent="0.35"/>
    <row r="894" ht="16.5" customHeight="1" x14ac:dyDescent="0.35"/>
    <row r="895" ht="16.5" customHeight="1" x14ac:dyDescent="0.35"/>
    <row r="896" ht="16.5" customHeight="1" x14ac:dyDescent="0.35"/>
    <row r="897" ht="16.5" customHeight="1" x14ac:dyDescent="0.35"/>
    <row r="898" ht="16.5" customHeight="1" x14ac:dyDescent="0.35"/>
    <row r="899" ht="16.5" customHeight="1" x14ac:dyDescent="0.35"/>
    <row r="900" ht="16.5" customHeight="1" x14ac:dyDescent="0.35"/>
    <row r="901" ht="16.5" customHeight="1" x14ac:dyDescent="0.35"/>
    <row r="902" ht="16.5" customHeight="1" x14ac:dyDescent="0.35"/>
    <row r="903" ht="16.5" customHeight="1" x14ac:dyDescent="0.35"/>
    <row r="904" ht="16.5" customHeight="1" x14ac:dyDescent="0.35"/>
    <row r="905" ht="16.5" customHeight="1" x14ac:dyDescent="0.35"/>
    <row r="906" ht="16.5" customHeight="1" x14ac:dyDescent="0.35"/>
    <row r="907" ht="16.5" customHeight="1" x14ac:dyDescent="0.35"/>
    <row r="908" ht="16.5" customHeight="1" x14ac:dyDescent="0.35"/>
    <row r="909" ht="16.5" customHeight="1" x14ac:dyDescent="0.35"/>
    <row r="910" ht="16.5" customHeight="1" x14ac:dyDescent="0.35"/>
    <row r="911" ht="16.5" customHeight="1" x14ac:dyDescent="0.35"/>
    <row r="912" ht="16.5" customHeight="1" x14ac:dyDescent="0.35"/>
    <row r="913" ht="16.5" customHeight="1" x14ac:dyDescent="0.35"/>
    <row r="914" ht="16.5" customHeight="1" x14ac:dyDescent="0.35"/>
    <row r="915" ht="16.5" customHeight="1" x14ac:dyDescent="0.35"/>
    <row r="916" ht="16.5" customHeight="1" x14ac:dyDescent="0.35"/>
    <row r="917" ht="16.5" customHeight="1" x14ac:dyDescent="0.35"/>
    <row r="918" ht="16.5" customHeight="1" x14ac:dyDescent="0.35"/>
    <row r="919" ht="16.5" customHeight="1" x14ac:dyDescent="0.35"/>
    <row r="920" ht="16.5" customHeight="1" x14ac:dyDescent="0.35"/>
    <row r="921" ht="16.5" customHeight="1" x14ac:dyDescent="0.35"/>
    <row r="922" ht="16.5" customHeight="1" x14ac:dyDescent="0.35"/>
    <row r="923" ht="16.5" customHeight="1" x14ac:dyDescent="0.35"/>
    <row r="924" ht="16.5" customHeight="1" x14ac:dyDescent="0.35"/>
    <row r="925" ht="16.5" customHeight="1" x14ac:dyDescent="0.35"/>
    <row r="926" ht="16.5" customHeight="1" x14ac:dyDescent="0.35"/>
    <row r="927" ht="16.5" customHeight="1" x14ac:dyDescent="0.35"/>
    <row r="928" ht="16.5" customHeight="1" x14ac:dyDescent="0.35"/>
    <row r="929" ht="16.5" customHeight="1" x14ac:dyDescent="0.35"/>
    <row r="930" ht="16.5" customHeight="1" x14ac:dyDescent="0.35"/>
    <row r="931" ht="16.5" customHeight="1" x14ac:dyDescent="0.35"/>
    <row r="932" ht="16.5" customHeight="1" x14ac:dyDescent="0.35"/>
    <row r="933" ht="16.5" customHeight="1" x14ac:dyDescent="0.35"/>
    <row r="934" ht="16.5" customHeight="1" x14ac:dyDescent="0.35"/>
    <row r="935" ht="16.5" customHeight="1" x14ac:dyDescent="0.35"/>
    <row r="936" ht="16.5" customHeight="1" x14ac:dyDescent="0.35"/>
    <row r="937" ht="16.5" customHeight="1" x14ac:dyDescent="0.35"/>
    <row r="938" ht="16.5" customHeight="1" x14ac:dyDescent="0.35"/>
    <row r="939" ht="16.5" customHeight="1" x14ac:dyDescent="0.35"/>
    <row r="940" ht="16.5" customHeight="1" x14ac:dyDescent="0.35"/>
    <row r="941" ht="16.5" customHeight="1" x14ac:dyDescent="0.35"/>
    <row r="942" ht="16.5" customHeight="1" x14ac:dyDescent="0.35"/>
    <row r="943" ht="16.5" customHeight="1" x14ac:dyDescent="0.35"/>
    <row r="944" ht="16.5" customHeight="1" x14ac:dyDescent="0.35"/>
    <row r="945" ht="16.5" customHeight="1" x14ac:dyDescent="0.35"/>
    <row r="946" ht="16.5" customHeight="1" x14ac:dyDescent="0.35"/>
    <row r="947" ht="16.5" customHeight="1" x14ac:dyDescent="0.35"/>
    <row r="948" ht="16.5" customHeight="1" x14ac:dyDescent="0.35"/>
    <row r="949" ht="16.5" customHeight="1" x14ac:dyDescent="0.35"/>
    <row r="950" ht="16.5" customHeight="1" x14ac:dyDescent="0.35"/>
    <row r="951" ht="16.5" customHeight="1" x14ac:dyDescent="0.35"/>
    <row r="952" ht="16.5" customHeight="1" x14ac:dyDescent="0.35"/>
    <row r="953" ht="16.5" customHeight="1" x14ac:dyDescent="0.35"/>
    <row r="954" ht="16.5" customHeight="1" x14ac:dyDescent="0.35"/>
    <row r="955" ht="16.5" customHeight="1" x14ac:dyDescent="0.35"/>
    <row r="956" ht="16.5" customHeight="1" x14ac:dyDescent="0.35"/>
    <row r="957" ht="16.5" customHeight="1" x14ac:dyDescent="0.35"/>
    <row r="958" ht="16.5" customHeight="1" x14ac:dyDescent="0.35"/>
    <row r="959" ht="16.5" customHeight="1" x14ac:dyDescent="0.35"/>
    <row r="960" ht="16.5" customHeight="1" x14ac:dyDescent="0.35"/>
    <row r="961" ht="16.5" customHeight="1" x14ac:dyDescent="0.35"/>
    <row r="962" ht="16.5" customHeight="1" x14ac:dyDescent="0.35"/>
    <row r="963" ht="16.5" customHeight="1" x14ac:dyDescent="0.35"/>
    <row r="964" ht="16.5" customHeight="1" x14ac:dyDescent="0.35"/>
    <row r="965" ht="16.5" customHeight="1" x14ac:dyDescent="0.35"/>
    <row r="966" ht="16.5" customHeight="1" x14ac:dyDescent="0.35"/>
    <row r="967" ht="16.5" customHeight="1" x14ac:dyDescent="0.35"/>
    <row r="968" ht="16.5" customHeight="1" x14ac:dyDescent="0.35"/>
    <row r="969" ht="16.5" customHeight="1" x14ac:dyDescent="0.35"/>
    <row r="970" ht="16.5" customHeight="1" x14ac:dyDescent="0.35"/>
    <row r="971" ht="16.5" customHeight="1" x14ac:dyDescent="0.35"/>
    <row r="972" ht="16.5" customHeight="1" x14ac:dyDescent="0.35"/>
    <row r="973" ht="16.5" customHeight="1" x14ac:dyDescent="0.35"/>
    <row r="974" ht="16.5" customHeight="1" x14ac:dyDescent="0.35"/>
    <row r="975" ht="16.5" customHeight="1" x14ac:dyDescent="0.35"/>
    <row r="976" ht="16.5" customHeight="1" x14ac:dyDescent="0.35"/>
    <row r="977" ht="16.5" customHeight="1" x14ac:dyDescent="0.35"/>
    <row r="978" ht="16.5" customHeight="1" x14ac:dyDescent="0.35"/>
    <row r="979" ht="16.5" customHeight="1" x14ac:dyDescent="0.35"/>
    <row r="980" ht="16.5" customHeight="1" x14ac:dyDescent="0.35"/>
    <row r="981" ht="16.5" customHeight="1" x14ac:dyDescent="0.35"/>
    <row r="982" ht="16.5" customHeight="1" x14ac:dyDescent="0.35"/>
    <row r="983" ht="16.5" customHeight="1" x14ac:dyDescent="0.35"/>
    <row r="984" ht="16.5" customHeight="1" x14ac:dyDescent="0.35"/>
    <row r="985" ht="16.5" customHeight="1" x14ac:dyDescent="0.35"/>
    <row r="986" ht="16.5" customHeight="1" x14ac:dyDescent="0.35"/>
    <row r="987" ht="16.5" customHeight="1" x14ac:dyDescent="0.35"/>
    <row r="988" ht="16.5" customHeight="1" x14ac:dyDescent="0.35"/>
    <row r="989" ht="16.5" customHeight="1" x14ac:dyDescent="0.35"/>
    <row r="990" ht="16.5" customHeight="1" x14ac:dyDescent="0.35"/>
    <row r="991" ht="16.5" customHeight="1" x14ac:dyDescent="0.35"/>
    <row r="992" ht="16.5" customHeight="1" x14ac:dyDescent="0.35"/>
    <row r="993" ht="16.5" customHeight="1" x14ac:dyDescent="0.35"/>
    <row r="994" ht="16.5" customHeight="1" x14ac:dyDescent="0.35"/>
    <row r="995" ht="16.5" customHeight="1" x14ac:dyDescent="0.35"/>
    <row r="996" ht="16.5" customHeight="1" x14ac:dyDescent="0.35"/>
    <row r="997" ht="16.5" customHeight="1" x14ac:dyDescent="0.35"/>
    <row r="998" ht="16.5" customHeight="1" x14ac:dyDescent="0.35"/>
    <row r="999" ht="16.5" customHeight="1" x14ac:dyDescent="0.35"/>
    <row r="1000" ht="16.5" customHeight="1" x14ac:dyDescent="0.35"/>
  </sheetData>
  <mergeCells count="12">
    <mergeCell ref="A1:D1"/>
    <mergeCell ref="F1:I1"/>
    <mergeCell ref="K1:N1"/>
    <mergeCell ref="A2:D2"/>
    <mergeCell ref="F2:I2"/>
    <mergeCell ref="K2:N2"/>
    <mergeCell ref="F12:I12"/>
    <mergeCell ref="K12:N12"/>
    <mergeCell ref="A13:D13"/>
    <mergeCell ref="F13:I13"/>
    <mergeCell ref="K13:N13"/>
    <mergeCell ref="A12:D12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F6A6E-C588-48FA-AAD4-DA692B6F4D0B}">
  <dimension ref="A1:C690"/>
  <sheetViews>
    <sheetView workbookViewId="0">
      <selection activeCell="C3" sqref="C3"/>
    </sheetView>
  </sheetViews>
  <sheetFormatPr defaultRowHeight="15.5" x14ac:dyDescent="0.35"/>
  <cols>
    <col min="1" max="1" width="17.58203125" bestFit="1" customWidth="1"/>
    <col min="2" max="2" width="19.6640625" customWidth="1"/>
    <col min="3" max="3" width="22.33203125" bestFit="1" customWidth="1"/>
  </cols>
  <sheetData>
    <row r="1" spans="1:3" x14ac:dyDescent="0.35">
      <c r="A1" s="32" t="s">
        <v>24</v>
      </c>
      <c r="B1" s="34" t="s">
        <v>20</v>
      </c>
      <c r="C1" s="52" t="s">
        <v>918</v>
      </c>
    </row>
    <row r="2" spans="1:3" x14ac:dyDescent="0.35">
      <c r="A2" s="59" t="str">
        <f>_xlfn.TEXTJOIN(" ",TRUE,Employees_Data[[#This Row],[First Name]],Employees_Data[[#This Row],[Last Name]])</f>
        <v>Ghadir Hmshw</v>
      </c>
      <c r="B2" s="21">
        <v>183</v>
      </c>
      <c r="C2" s="60" t="str">
        <f>IFERROR(IF(Significant_Overtime[[#This Row],[Overtime Hours]]&gt;100,"High Overtime","Normal"),"Not Found")</f>
        <v>High Overtime</v>
      </c>
    </row>
    <row r="3" spans="1:3" x14ac:dyDescent="0.35">
      <c r="A3" s="59" t="str">
        <f>_xlfn.TEXTJOIN(" ",TRUE,Employees_Data[[#This Row],[First Name]],Employees_Data[[#This Row],[Last Name]])</f>
        <v>Omar Hishan</v>
      </c>
      <c r="B3" s="21">
        <v>198</v>
      </c>
      <c r="C3" s="60" t="str">
        <f>IFERROR(IF(Significant_Overtime[[#This Row],[Overtime Hours]]&gt;100,"High Overtime","Normal"),"Not Found")</f>
        <v>High Overtime</v>
      </c>
    </row>
    <row r="4" spans="1:3" x14ac:dyDescent="0.35">
      <c r="A4" s="59" t="str">
        <f>_xlfn.TEXTJOIN(" ",TRUE,Employees_Data[[#This Row],[First Name]],Employees_Data[[#This Row],[Last Name]])</f>
        <v>Ailya Sharaf</v>
      </c>
      <c r="B4" s="21">
        <v>192</v>
      </c>
      <c r="C4" s="60" t="str">
        <f>IFERROR(IF(Significant_Overtime[[#This Row],[Overtime Hours]]&gt;100,"High Overtime","Normal"),"Not Found")</f>
        <v>High Overtime</v>
      </c>
    </row>
    <row r="5" spans="1:3" x14ac:dyDescent="0.35">
      <c r="A5" s="59" t="str">
        <f>_xlfn.TEXTJOIN(" ",TRUE,Employees_Data[[#This Row],[First Name]],Employees_Data[[#This Row],[Last Name]])</f>
        <v>Lwiy Qbany</v>
      </c>
      <c r="B5" s="21">
        <v>7</v>
      </c>
      <c r="C5" s="60" t="str">
        <f>IFERROR(IF(Significant_Overtime[[#This Row],[Overtime Hours]]&gt;100,"High Overtime","Normal"),"Not Found")</f>
        <v>Normal</v>
      </c>
    </row>
    <row r="6" spans="1:3" x14ac:dyDescent="0.35">
      <c r="A6" s="59" t="str">
        <f>_xlfn.TEXTJOIN(" ",TRUE,Employees_Data[[#This Row],[First Name]],Employees_Data[[#This Row],[Last Name]])</f>
        <v>Ahmad Bikri</v>
      </c>
      <c r="B6" s="21">
        <v>121</v>
      </c>
      <c r="C6" s="60" t="str">
        <f>IFERROR(IF(Significant_Overtime[[#This Row],[Overtime Hours]]&gt;100,"High Overtime","Normal"),"Not Found")</f>
        <v>High Overtime</v>
      </c>
    </row>
    <row r="7" spans="1:3" x14ac:dyDescent="0.35">
      <c r="A7" s="59" t="str">
        <f>_xlfn.TEXTJOIN(" ",TRUE,Employees_Data[[#This Row],[First Name]],Employees_Data[[#This Row],[Last Name]])</f>
        <v>Muhamad Zueitr</v>
      </c>
      <c r="B7" s="21">
        <v>8</v>
      </c>
      <c r="C7" s="60" t="str">
        <f>IFERROR(IF(Significant_Overtime[[#This Row],[Overtime Hours]]&gt;100,"High Overtime","Normal"),"Not Found")</f>
        <v>Normal</v>
      </c>
    </row>
    <row r="8" spans="1:3" x14ac:dyDescent="0.35">
      <c r="A8" s="59" t="str">
        <f>_xlfn.TEXTJOIN(" ",TRUE,Employees_Data[[#This Row],[First Name]],Employees_Data[[#This Row],[Last Name]])</f>
        <v>Iin Alhalaliu</v>
      </c>
      <c r="B8" s="21">
        <v>116</v>
      </c>
      <c r="C8" s="60" t="str">
        <f>IFERROR(IF(Significant_Overtime[[#This Row],[Overtime Hours]]&gt;100,"High Overtime","Normal"),"Not Found")</f>
        <v>High Overtime</v>
      </c>
    </row>
    <row r="9" spans="1:3" x14ac:dyDescent="0.35">
      <c r="A9" s="59" t="str">
        <f>_xlfn.TEXTJOIN(" ",TRUE,Employees_Data[[#This Row],[First Name]],Employees_Data[[#This Row],[Last Name]])</f>
        <v>Muhamad Alaya</v>
      </c>
      <c r="B9" s="21">
        <v>7</v>
      </c>
      <c r="C9" s="60" t="str">
        <f>IFERROR(IF(Significant_Overtime[[#This Row],[Overtime Hours]]&gt;100,"High Overtime","Normal"),"Not Found")</f>
        <v>Normal</v>
      </c>
    </row>
    <row r="10" spans="1:3" x14ac:dyDescent="0.35">
      <c r="A10" s="59" t="str">
        <f>_xlfn.TEXTJOIN(" ",TRUE,Employees_Data[[#This Row],[First Name]],Employees_Data[[#This Row],[Last Name]])</f>
        <v>Susin Almilat</v>
      </c>
      <c r="B10" s="21">
        <v>105</v>
      </c>
      <c r="C10" s="60" t="str">
        <f>IFERROR(IF(Significant_Overtime[[#This Row],[Overtime Hours]]&gt;100,"High Overtime","Normal"),"Not Found")</f>
        <v>High Overtime</v>
      </c>
    </row>
    <row r="11" spans="1:3" x14ac:dyDescent="0.35">
      <c r="A11" s="59" t="str">
        <f>_xlfn.TEXTJOIN(" ",TRUE,Employees_Data[[#This Row],[First Name]],Employees_Data[[#This Row],[Last Name]])</f>
        <v>Muhamad Alrifaei</v>
      </c>
      <c r="B11" s="21">
        <v>153</v>
      </c>
      <c r="C11" s="60" t="str">
        <f>IFERROR(IF(Significant_Overtime[[#This Row],[Overtime Hours]]&gt;100,"High Overtime","Normal"),"Not Found")</f>
        <v>High Overtime</v>
      </c>
    </row>
    <row r="12" spans="1:3" x14ac:dyDescent="0.35">
      <c r="A12" s="59" t="str">
        <f>_xlfn.TEXTJOIN(" ",TRUE,Employees_Data[[#This Row],[First Name]],Employees_Data[[#This Row],[Last Name]])</f>
        <v>Muhamad Alqadah</v>
      </c>
      <c r="B12" s="21">
        <v>12</v>
      </c>
      <c r="C12" s="60" t="str">
        <f>IFERROR(IF(Significant_Overtime[[#This Row],[Overtime Hours]]&gt;100,"High Overtime","Normal"),"Not Found")</f>
        <v>Normal</v>
      </c>
    </row>
    <row r="13" spans="1:3" x14ac:dyDescent="0.35">
      <c r="A13" s="59" t="str">
        <f>_xlfn.TEXTJOIN(" ",TRUE,Employees_Data[[#This Row],[First Name]],Employees_Data[[#This Row],[Last Name]])</f>
        <v>Muhamad Iad</v>
      </c>
      <c r="B13" s="21">
        <v>70</v>
      </c>
      <c r="C13" s="60" t="str">
        <f>IFERROR(IF(Significant_Overtime[[#This Row],[Overtime Hours]]&gt;100,"High Overtime","Normal"),"Not Found")</f>
        <v>Normal</v>
      </c>
    </row>
    <row r="14" spans="1:3" x14ac:dyDescent="0.35">
      <c r="A14" s="59" t="str">
        <f>_xlfn.TEXTJOIN(" ",TRUE,Employees_Data[[#This Row],[First Name]],Employees_Data[[#This Row],[Last Name]])</f>
        <v>Razaan Nasif</v>
      </c>
      <c r="B14" s="21">
        <v>85</v>
      </c>
      <c r="C14" s="60" t="str">
        <f>IFERROR(IF(Significant_Overtime[[#This Row],[Overtime Hours]]&gt;100,"High Overtime","Normal"),"Not Found")</f>
        <v>Normal</v>
      </c>
    </row>
    <row r="15" spans="1:3" x14ac:dyDescent="0.35">
      <c r="A15" s="59" t="str">
        <f>_xlfn.TEXTJOIN(" ",TRUE,Employees_Data[[#This Row],[First Name]],Employees_Data[[#This Row],[Last Name]])</f>
        <v>Iilian Dbs</v>
      </c>
      <c r="B15" s="21">
        <v>8</v>
      </c>
      <c r="C15" s="60" t="str">
        <f>IFERROR(IF(Significant_Overtime[[#This Row],[Overtime Hours]]&gt;100,"High Overtime","Normal"),"Not Found")</f>
        <v>Normal</v>
      </c>
    </row>
    <row r="16" spans="1:3" x14ac:dyDescent="0.35">
      <c r="A16" s="59" t="str">
        <f>_xlfn.TEXTJOIN(" ",TRUE,Employees_Data[[#This Row],[First Name]],Employees_Data[[#This Row],[Last Name]])</f>
        <v>Bayan Qdw</v>
      </c>
      <c r="B16" s="21">
        <v>8</v>
      </c>
      <c r="C16" s="60" t="str">
        <f>IFERROR(IF(Significant_Overtime[[#This Row],[Overtime Hours]]&gt;100,"High Overtime","Normal"),"Not Found")</f>
        <v>Normal</v>
      </c>
    </row>
    <row r="17" spans="1:3" x14ac:dyDescent="0.35">
      <c r="A17" s="59" t="str">
        <f>_xlfn.TEXTJOIN(" ",TRUE,Employees_Data[[#This Row],[First Name]],Employees_Data[[#This Row],[Last Name]])</f>
        <v>Alaa Muhamad</v>
      </c>
      <c r="B17" s="21">
        <v>77</v>
      </c>
      <c r="C17" s="60" t="str">
        <f>IFERROR(IF(Significant_Overtime[[#This Row],[Overtime Hours]]&gt;100,"High Overtime","Normal"),"Not Found")</f>
        <v>Normal</v>
      </c>
    </row>
    <row r="18" spans="1:3" x14ac:dyDescent="0.35">
      <c r="A18" s="59" t="str">
        <f>_xlfn.TEXTJOIN(" ",TRUE,Employees_Data[[#This Row],[First Name]],Employees_Data[[#This Row],[Last Name]])</f>
        <v>Sandra Aljurmqaniu</v>
      </c>
      <c r="B18" s="21">
        <v>93</v>
      </c>
      <c r="C18" s="60" t="str">
        <f>IFERROR(IF(Significant_Overtime[[#This Row],[Overtime Hours]]&gt;100,"High Overtime","Normal"),"Not Found")</f>
        <v>Normal</v>
      </c>
    </row>
    <row r="19" spans="1:3" x14ac:dyDescent="0.35">
      <c r="A19" s="59" t="str">
        <f>_xlfn.TEXTJOIN(" ",TRUE,Employees_Data[[#This Row],[First Name]],Employees_Data[[#This Row],[Last Name]])</f>
        <v>Farahad Husayn</v>
      </c>
      <c r="B19" s="21">
        <v>153</v>
      </c>
      <c r="C19" s="60" t="str">
        <f>IFERROR(IF(Significant_Overtime[[#This Row],[Overtime Hours]]&gt;100,"High Overtime","Normal"),"Not Found")</f>
        <v>High Overtime</v>
      </c>
    </row>
    <row r="20" spans="1:3" x14ac:dyDescent="0.35">
      <c r="A20" s="59" t="str">
        <f>_xlfn.TEXTJOIN(" ",TRUE,Employees_Data[[#This Row],[First Name]],Employees_Data[[#This Row],[Last Name]])</f>
        <v>Ahed Salim</v>
      </c>
      <c r="B20" s="21">
        <v>8</v>
      </c>
      <c r="C20" s="60" t="str">
        <f>IFERROR(IF(Significant_Overtime[[#This Row],[Overtime Hours]]&gt;100,"High Overtime","Normal"),"Not Found")</f>
        <v>Normal</v>
      </c>
    </row>
    <row r="21" spans="1:3" x14ac:dyDescent="0.35">
      <c r="A21" s="59" t="str">
        <f>_xlfn.TEXTJOIN(" ",TRUE,Employees_Data[[#This Row],[First Name]],Employees_Data[[#This Row],[Last Name]])</f>
        <v>Ayham Tutwnji</v>
      </c>
      <c r="B21" s="21">
        <v>10</v>
      </c>
      <c r="C21" s="60" t="str">
        <f>IFERROR(IF(Significant_Overtime[[#This Row],[Overtime Hours]]&gt;100,"High Overtime","Normal"),"Not Found")</f>
        <v>Normal</v>
      </c>
    </row>
    <row r="22" spans="1:3" x14ac:dyDescent="0.35">
      <c r="A22" s="59" t="str">
        <f>_xlfn.TEXTJOIN(" ",TRUE,Employees_Data[[#This Row],[First Name]],Employees_Data[[#This Row],[Last Name]])</f>
        <v>Samir Alsafdi</v>
      </c>
      <c r="B22" s="21">
        <v>98</v>
      </c>
      <c r="C22" s="60" t="str">
        <f>IFERROR(IF(Significant_Overtime[[#This Row],[Overtime Hours]]&gt;100,"High Overtime","Normal"),"Not Found")</f>
        <v>Normal</v>
      </c>
    </row>
    <row r="23" spans="1:3" x14ac:dyDescent="0.35">
      <c r="A23" s="59" t="str">
        <f>_xlfn.TEXTJOIN(" ",TRUE,Employees_Data[[#This Row],[First Name]],Employees_Data[[#This Row],[Last Name]])</f>
        <v>Bilal Jalal</v>
      </c>
      <c r="B23" s="21">
        <v>109</v>
      </c>
      <c r="C23" s="60" t="str">
        <f>IFERROR(IF(Significant_Overtime[[#This Row],[Overtime Hours]]&gt;100,"High Overtime","Normal"),"Not Found")</f>
        <v>High Overtime</v>
      </c>
    </row>
    <row r="24" spans="1:3" x14ac:dyDescent="0.35">
      <c r="A24" s="59" t="str">
        <f>_xlfn.TEXTJOIN(" ",TRUE,Employees_Data[[#This Row],[First Name]],Employees_Data[[#This Row],[Last Name]])</f>
        <v>Riad Sahalul</v>
      </c>
      <c r="B24" s="21">
        <v>111</v>
      </c>
      <c r="C24" s="60" t="str">
        <f>IFERROR(IF(Significant_Overtime[[#This Row],[Overtime Hours]]&gt;100,"High Overtime","Normal"),"Not Found")</f>
        <v>High Overtime</v>
      </c>
    </row>
    <row r="25" spans="1:3" x14ac:dyDescent="0.35">
      <c r="A25" s="59" t="str">
        <f>_xlfn.TEXTJOIN(" ",TRUE,Employees_Data[[#This Row],[First Name]],Employees_Data[[#This Row],[Last Name]])</f>
        <v>Ahmad Ahmad</v>
      </c>
      <c r="B25" s="21">
        <v>32</v>
      </c>
      <c r="C25" s="60" t="str">
        <f>IFERROR(IF(Significant_Overtime[[#This Row],[Overtime Hours]]&gt;100,"High Overtime","Normal"),"Not Found")</f>
        <v>Normal</v>
      </c>
    </row>
    <row r="26" spans="1:3" x14ac:dyDescent="0.35">
      <c r="A26" s="59" t="str">
        <f>_xlfn.TEXTJOIN(" ",TRUE,Employees_Data[[#This Row],[First Name]],Employees_Data[[#This Row],[Last Name]])</f>
        <v>Muhamad Altarah</v>
      </c>
      <c r="B26" s="21">
        <v>94</v>
      </c>
      <c r="C26" s="60" t="str">
        <f>IFERROR(IF(Significant_Overtime[[#This Row],[Overtime Hours]]&gt;100,"High Overtime","Normal"),"Not Found")</f>
        <v>Normal</v>
      </c>
    </row>
    <row r="27" spans="1:3" x14ac:dyDescent="0.35">
      <c r="A27" s="59" t="str">
        <f>_xlfn.TEXTJOIN(" ",TRUE,Employees_Data[[#This Row],[First Name]],Employees_Data[[#This Row],[Last Name]])</f>
        <v>Lwna Abu</v>
      </c>
      <c r="B27" s="21">
        <v>13</v>
      </c>
      <c r="C27" s="60" t="str">
        <f>IFERROR(IF(Significant_Overtime[[#This Row],[Overtime Hours]]&gt;100,"High Overtime","Normal"),"Not Found")</f>
        <v>Normal</v>
      </c>
    </row>
    <row r="28" spans="1:3" x14ac:dyDescent="0.35">
      <c r="A28" s="59" t="str">
        <f>_xlfn.TEXTJOIN(" ",TRUE,Employees_Data[[#This Row],[First Name]],Employees_Data[[#This Row],[Last Name]])</f>
        <v>Jalal Almuluhi</v>
      </c>
      <c r="B28" s="21">
        <v>70</v>
      </c>
      <c r="C28" s="60" t="str">
        <f>IFERROR(IF(Significant_Overtime[[#This Row],[Overtime Hours]]&gt;100,"High Overtime","Normal"),"Not Found")</f>
        <v>Normal</v>
      </c>
    </row>
    <row r="29" spans="1:3" x14ac:dyDescent="0.35">
      <c r="A29" s="59" t="str">
        <f>_xlfn.TEXTJOIN(" ",TRUE,Employees_Data[[#This Row],[First Name]],Employees_Data[[#This Row],[Last Name]])</f>
        <v>Rana Mius</v>
      </c>
      <c r="B29" s="21">
        <v>9</v>
      </c>
      <c r="C29" s="60" t="str">
        <f>IFERROR(IF(Significant_Overtime[[#This Row],[Overtime Hours]]&gt;100,"High Overtime","Normal"),"Not Found")</f>
        <v>Normal</v>
      </c>
    </row>
    <row r="30" spans="1:3" x14ac:dyDescent="0.35">
      <c r="A30" s="59" t="str">
        <f>_xlfn.TEXTJOIN(" ",TRUE,Employees_Data[[#This Row],[First Name]],Employees_Data[[#This Row],[Last Name]])</f>
        <v>Lina Aljabaan</v>
      </c>
      <c r="B30" s="21">
        <v>97</v>
      </c>
      <c r="C30" s="60" t="str">
        <f>IFERROR(IF(Significant_Overtime[[#This Row],[Overtime Hours]]&gt;100,"High Overtime","Normal"),"Not Found")</f>
        <v>Normal</v>
      </c>
    </row>
    <row r="31" spans="1:3" x14ac:dyDescent="0.35">
      <c r="A31" s="59" t="str">
        <f>_xlfn.TEXTJOIN(" ",TRUE,Employees_Data[[#This Row],[First Name]],Employees_Data[[#This Row],[Last Name]])</f>
        <v>Rami Shanan</v>
      </c>
      <c r="B31" s="21">
        <v>71</v>
      </c>
      <c r="C31" s="60" t="str">
        <f>IFERROR(IF(Significant_Overtime[[#This Row],[Overtime Hours]]&gt;100,"High Overtime","Normal"),"Not Found")</f>
        <v>Normal</v>
      </c>
    </row>
    <row r="32" spans="1:3" x14ac:dyDescent="0.35">
      <c r="A32" s="59" t="str">
        <f>_xlfn.TEXTJOIN(" ",TRUE,Employees_Data[[#This Row],[First Name]],Employees_Data[[#This Row],[Last Name]])</f>
        <v>Eala Alhaj</v>
      </c>
      <c r="B32" s="21">
        <v>100</v>
      </c>
      <c r="C32" s="60" t="str">
        <f>IFERROR(IF(Significant_Overtime[[#This Row],[Overtime Hours]]&gt;100,"High Overtime","Normal"),"Not Found")</f>
        <v>Normal</v>
      </c>
    </row>
    <row r="33" spans="1:3" x14ac:dyDescent="0.35">
      <c r="A33" s="59" t="str">
        <f>_xlfn.TEXTJOIN(" ",TRUE,Employees_Data[[#This Row],[First Name]],Employees_Data[[#This Row],[Last Name]])</f>
        <v>Ghalib Zakianiin</v>
      </c>
      <c r="B33" s="21">
        <v>48</v>
      </c>
      <c r="C33" s="60" t="str">
        <f>IFERROR(IF(Significant_Overtime[[#This Row],[Overtime Hours]]&gt;100,"High Overtime","Normal"),"Not Found")</f>
        <v>Normal</v>
      </c>
    </row>
    <row r="34" spans="1:3" x14ac:dyDescent="0.35">
      <c r="A34" s="59" t="str">
        <f>_xlfn.TEXTJOIN(" ",TRUE,Employees_Data[[#This Row],[First Name]],Employees_Data[[#This Row],[Last Name]])</f>
        <v>Muhamad Eurul</v>
      </c>
      <c r="B34" s="21">
        <v>148</v>
      </c>
      <c r="C34" s="60" t="str">
        <f>IFERROR(IF(Significant_Overtime[[#This Row],[Overtime Hours]]&gt;100,"High Overtime","Normal"),"Not Found")</f>
        <v>High Overtime</v>
      </c>
    </row>
    <row r="35" spans="1:3" x14ac:dyDescent="0.35">
      <c r="A35" s="59" t="str">
        <f>_xlfn.TEXTJOIN(" ",TRUE,Employees_Data[[#This Row],[First Name]],Employees_Data[[#This Row],[Last Name]])</f>
        <v>Eizat Ghanim</v>
      </c>
      <c r="B35" s="21">
        <v>5</v>
      </c>
      <c r="C35" s="60" t="str">
        <f>IFERROR(IF(Significant_Overtime[[#This Row],[Overtime Hours]]&gt;100,"High Overtime","Normal"),"Not Found")</f>
        <v>Normal</v>
      </c>
    </row>
    <row r="36" spans="1:3" x14ac:dyDescent="0.35">
      <c r="A36" s="59" t="str">
        <f>_xlfn.TEXTJOIN(" ",TRUE,Employees_Data[[#This Row],[First Name]],Employees_Data[[#This Row],[Last Name]])</f>
        <v>Ahmad Swyd</v>
      </c>
      <c r="B36" s="21">
        <v>7</v>
      </c>
      <c r="C36" s="60" t="str">
        <f>IFERROR(IF(Significant_Overtime[[#This Row],[Overtime Hours]]&gt;100,"High Overtime","Normal"),"Not Found")</f>
        <v>Normal</v>
      </c>
    </row>
    <row r="37" spans="1:3" x14ac:dyDescent="0.35">
      <c r="A37" s="59" t="str">
        <f>_xlfn.TEXTJOIN(" ",TRUE,Employees_Data[[#This Row],[First Name]],Employees_Data[[#This Row],[Last Name]])</f>
        <v>Muhamad Aleass</v>
      </c>
      <c r="B37" s="21">
        <v>37</v>
      </c>
      <c r="C37" s="60" t="str">
        <f>IFERROR(IF(Significant_Overtime[[#This Row],[Overtime Hours]]&gt;100,"High Overtime","Normal"),"Not Found")</f>
        <v>Normal</v>
      </c>
    </row>
    <row r="38" spans="1:3" x14ac:dyDescent="0.35">
      <c r="A38" s="59" t="str">
        <f>_xlfn.TEXTJOIN(" ",TRUE,Employees_Data[[#This Row],[First Name]],Employees_Data[[#This Row],[Last Name]])</f>
        <v>Rima AlAsfar</v>
      </c>
      <c r="B38" s="21">
        <v>5</v>
      </c>
      <c r="C38" s="60" t="str">
        <f>IFERROR(IF(Significant_Overtime[[#This Row],[Overtime Hours]]&gt;100,"High Overtime","Normal"),"Not Found")</f>
        <v>Normal</v>
      </c>
    </row>
    <row r="39" spans="1:3" x14ac:dyDescent="0.35">
      <c r="A39" s="59" t="str">
        <f>_xlfn.TEXTJOIN(" ",TRUE,Employees_Data[[#This Row],[First Name]],Employees_Data[[#This Row],[Last Name]])</f>
        <v>Zayn Aleabdyn Zaetar</v>
      </c>
      <c r="B39" s="21">
        <v>3</v>
      </c>
      <c r="C39" s="60" t="str">
        <f>IFERROR(IF(Significant_Overtime[[#This Row],[Overtime Hours]]&gt;100,"High Overtime","Normal"),"Not Found")</f>
        <v>Normal</v>
      </c>
    </row>
    <row r="40" spans="1:3" x14ac:dyDescent="0.35">
      <c r="A40" s="59" t="str">
        <f>_xlfn.TEXTJOIN(" ",TRUE,Employees_Data[[#This Row],[First Name]],Employees_Data[[#This Row],[Last Name]])</f>
        <v>Hazim Alshshatim</v>
      </c>
      <c r="B40" s="21">
        <v>9</v>
      </c>
      <c r="C40" s="60" t="str">
        <f>IFERROR(IF(Significant_Overtime[[#This Row],[Overtime Hours]]&gt;100,"High Overtime","Normal"),"Not Found")</f>
        <v>Normal</v>
      </c>
    </row>
    <row r="41" spans="1:3" x14ac:dyDescent="0.35">
      <c r="A41" s="59" t="str">
        <f>_xlfn.TEXTJOIN(" ",TRUE,Employees_Data[[#This Row],[First Name]],Employees_Data[[#This Row],[Last Name]])</f>
        <v>Dia Alshahf</v>
      </c>
      <c r="B41" s="21">
        <v>0</v>
      </c>
      <c r="C41" s="60" t="str">
        <f>IFERROR(IF(Significant_Overtime[[#This Row],[Overtime Hours]]&gt;100,"High Overtime","Normal"),"Not Found")</f>
        <v>Normal</v>
      </c>
    </row>
    <row r="42" spans="1:3" x14ac:dyDescent="0.35">
      <c r="A42" s="59" t="str">
        <f>_xlfn.TEXTJOIN(" ",TRUE,Employees_Data[[#This Row],[First Name]],Employees_Data[[#This Row],[Last Name]])</f>
        <v>Ayham Almusaa</v>
      </c>
      <c r="B42" s="21">
        <v>26</v>
      </c>
      <c r="C42" s="60" t="str">
        <f>IFERROR(IF(Significant_Overtime[[#This Row],[Overtime Hours]]&gt;100,"High Overtime","Normal"),"Not Found")</f>
        <v>Normal</v>
      </c>
    </row>
    <row r="43" spans="1:3" x14ac:dyDescent="0.35">
      <c r="A43" s="59" t="str">
        <f>_xlfn.TEXTJOIN(" ",TRUE,Employees_Data[[#This Row],[First Name]],Employees_Data[[#This Row],[Last Name]])</f>
        <v>Abd Allatif Mabrukh</v>
      </c>
      <c r="B43" s="21">
        <v>7</v>
      </c>
      <c r="C43" s="60" t="str">
        <f>IFERROR(IF(Significant_Overtime[[#This Row],[Overtime Hours]]&gt;100,"High Overtime","Normal"),"Not Found")</f>
        <v>Normal</v>
      </c>
    </row>
    <row r="44" spans="1:3" x14ac:dyDescent="0.35">
      <c r="A44" s="59" t="str">
        <f>_xlfn.TEXTJOIN(" ",TRUE,Employees_Data[[#This Row],[First Name]],Employees_Data[[#This Row],[Last Name]])</f>
        <v>Salim Abumaeun</v>
      </c>
      <c r="B44" s="21">
        <v>14</v>
      </c>
      <c r="C44" s="60" t="str">
        <f>IFERROR(IF(Significant_Overtime[[#This Row],[Overtime Hours]]&gt;100,"High Overtime","Normal"),"Not Found")</f>
        <v>Normal</v>
      </c>
    </row>
    <row r="45" spans="1:3" x14ac:dyDescent="0.35">
      <c r="A45" s="59" t="str">
        <f>_xlfn.TEXTJOIN(" ",TRUE,Employees_Data[[#This Row],[First Name]],Employees_Data[[#This Row],[Last Name]])</f>
        <v>Rafat Hamza</v>
      </c>
      <c r="B45" s="21">
        <v>9</v>
      </c>
      <c r="C45" s="60" t="str">
        <f>IFERROR(IF(Significant_Overtime[[#This Row],[Overtime Hours]]&gt;100,"High Overtime","Normal"),"Not Found")</f>
        <v>Normal</v>
      </c>
    </row>
    <row r="46" spans="1:3" x14ac:dyDescent="0.35">
      <c r="A46" s="59" t="str">
        <f>_xlfn.TEXTJOIN(" ",TRUE,Employees_Data[[#This Row],[First Name]],Employees_Data[[#This Row],[Last Name]])</f>
        <v>Ahmad Laylana</v>
      </c>
      <c r="B46" s="21">
        <v>7</v>
      </c>
      <c r="C46" s="60" t="str">
        <f>IFERROR(IF(Significant_Overtime[[#This Row],[Overtime Hours]]&gt;100,"High Overtime","Normal"),"Not Found")</f>
        <v>Normal</v>
      </c>
    </row>
    <row r="47" spans="1:3" x14ac:dyDescent="0.35">
      <c r="A47" s="59" t="str">
        <f>_xlfn.TEXTJOIN(" ",TRUE,Employees_Data[[#This Row],[First Name]],Employees_Data[[#This Row],[Last Name]])</f>
        <v>Lobnaa Khalifih</v>
      </c>
      <c r="B47" s="21">
        <v>3</v>
      </c>
      <c r="C47" s="60" t="str">
        <f>IFERROR(IF(Significant_Overtime[[#This Row],[Overtime Hours]]&gt;100,"High Overtime","Normal"),"Not Found")</f>
        <v>Normal</v>
      </c>
    </row>
    <row r="48" spans="1:3" x14ac:dyDescent="0.35">
      <c r="A48" s="59" t="str">
        <f>_xlfn.TEXTJOIN(" ",TRUE,Employees_Data[[#This Row],[First Name]],Employees_Data[[#This Row],[Last Name]])</f>
        <v>Sami Alkhujih</v>
      </c>
      <c r="B48" s="21">
        <v>0</v>
      </c>
      <c r="C48" s="60" t="str">
        <f>IFERROR(IF(Significant_Overtime[[#This Row],[Overtime Hours]]&gt;100,"High Overtime","Normal"),"Not Found")</f>
        <v>Normal</v>
      </c>
    </row>
    <row r="49" spans="1:3" x14ac:dyDescent="0.35">
      <c r="A49" s="59" t="str">
        <f>_xlfn.TEXTJOIN(" ",TRUE,Employees_Data[[#This Row],[First Name]],Employees_Data[[#This Row],[Last Name]])</f>
        <v>Salam Alealbi</v>
      </c>
      <c r="B49" s="21">
        <v>3</v>
      </c>
      <c r="C49" s="60" t="str">
        <f>IFERROR(IF(Significant_Overtime[[#This Row],[Overtime Hours]]&gt;100,"High Overtime","Normal"),"Not Found")</f>
        <v>Normal</v>
      </c>
    </row>
    <row r="50" spans="1:3" x14ac:dyDescent="0.35">
      <c r="A50" s="59" t="str">
        <f>_xlfn.TEXTJOIN(" ",TRUE,Employees_Data[[#This Row],[First Name]],Employees_Data[[#This Row],[Last Name]])</f>
        <v>Rim Almusaa</v>
      </c>
      <c r="B50" s="21">
        <v>1</v>
      </c>
      <c r="C50" s="60" t="str">
        <f>IFERROR(IF(Significant_Overtime[[#This Row],[Overtime Hours]]&gt;100,"High Overtime","Normal"),"Not Found")</f>
        <v>Normal</v>
      </c>
    </row>
    <row r="51" spans="1:3" x14ac:dyDescent="0.35">
      <c r="A51" s="59" t="str">
        <f>_xlfn.TEXTJOIN(" ",TRUE,Employees_Data[[#This Row],[First Name]],Employees_Data[[#This Row],[Last Name]])</f>
        <v>Ghada Aleasimii</v>
      </c>
      <c r="B51" s="21">
        <v>1</v>
      </c>
      <c r="C51" s="60" t="str">
        <f>IFERROR(IF(Significant_Overtime[[#This Row],[Overtime Hours]]&gt;100,"High Overtime","Normal"),"Not Found")</f>
        <v>Normal</v>
      </c>
    </row>
    <row r="52" spans="1:3" x14ac:dyDescent="0.35">
      <c r="A52" s="59" t="str">
        <f>_xlfn.TEXTJOIN(" ",TRUE,Employees_Data[[#This Row],[First Name]],Employees_Data[[#This Row],[Last Name]])</f>
        <v>Abd Alwahhab Muhamad</v>
      </c>
      <c r="B52" s="21">
        <v>1</v>
      </c>
      <c r="C52" s="60" t="str">
        <f>IFERROR(IF(Significant_Overtime[[#This Row],[Overtime Hours]]&gt;100,"High Overtime","Normal"),"Not Found")</f>
        <v>Normal</v>
      </c>
    </row>
    <row r="53" spans="1:3" x14ac:dyDescent="0.35">
      <c r="A53" s="59" t="str">
        <f>_xlfn.TEXTJOIN(" ",TRUE,Employees_Data[[#This Row],[First Name]],Employees_Data[[#This Row],[Last Name]])</f>
        <v>Ayman Eubayd</v>
      </c>
      <c r="B53" s="21">
        <v>10</v>
      </c>
      <c r="C53" s="60" t="str">
        <f>IFERROR(IF(Significant_Overtime[[#This Row],[Overtime Hours]]&gt;100,"High Overtime","Normal"),"Not Found")</f>
        <v>Normal</v>
      </c>
    </row>
    <row r="54" spans="1:3" x14ac:dyDescent="0.35">
      <c r="A54" s="59" t="str">
        <f>_xlfn.TEXTJOIN(" ",TRUE,Employees_Data[[#This Row],[First Name]],Employees_Data[[#This Row],[Last Name]])</f>
        <v>Faras Karim</v>
      </c>
      <c r="B54" s="21">
        <v>5</v>
      </c>
      <c r="C54" s="60" t="str">
        <f>IFERROR(IF(Significant_Overtime[[#This Row],[Overtime Hours]]&gt;100,"High Overtime","Normal"),"Not Found")</f>
        <v>Normal</v>
      </c>
    </row>
    <row r="55" spans="1:3" x14ac:dyDescent="0.35">
      <c r="A55" s="59" t="str">
        <f>_xlfn.TEXTJOIN(" ",TRUE,Employees_Data[[#This Row],[First Name]],Employees_Data[[#This Row],[Last Name]])</f>
        <v>Shadi Salayk</v>
      </c>
      <c r="B55" s="21">
        <v>10</v>
      </c>
      <c r="C55" s="60" t="str">
        <f>IFERROR(IF(Significant_Overtime[[#This Row],[Overtime Hours]]&gt;100,"High Overtime","Normal"),"Not Found")</f>
        <v>Normal</v>
      </c>
    </row>
    <row r="56" spans="1:3" x14ac:dyDescent="0.35">
      <c r="A56" s="59" t="str">
        <f>_xlfn.TEXTJOIN(" ",TRUE,Employees_Data[[#This Row],[First Name]],Employees_Data[[#This Row],[Last Name]])</f>
        <v>Eubay Alttahir</v>
      </c>
      <c r="B56" s="21">
        <v>5</v>
      </c>
      <c r="C56" s="60" t="str">
        <f>IFERROR(IF(Significant_Overtime[[#This Row],[Overtime Hours]]&gt;100,"High Overtime","Normal"),"Not Found")</f>
        <v>Normal</v>
      </c>
    </row>
    <row r="57" spans="1:3" x14ac:dyDescent="0.35">
      <c r="A57" s="59" t="str">
        <f>_xlfn.TEXTJOIN(" ",TRUE,Employees_Data[[#This Row],[First Name]],Employees_Data[[#This Row],[Last Name]])</f>
        <v>Abd Alhadi Alzzahir</v>
      </c>
      <c r="B57" s="21">
        <v>85</v>
      </c>
      <c r="C57" s="60" t="str">
        <f>IFERROR(IF(Significant_Overtime[[#This Row],[Overtime Hours]]&gt;100,"High Overtime","Normal"),"Not Found")</f>
        <v>Normal</v>
      </c>
    </row>
    <row r="58" spans="1:3" x14ac:dyDescent="0.35">
      <c r="A58" s="59" t="str">
        <f>_xlfn.TEXTJOIN(" ",TRUE,Employees_Data[[#This Row],[First Name]],Employees_Data[[#This Row],[Last Name]])</f>
        <v>Majdulin Ashbrh</v>
      </c>
      <c r="B58" s="21">
        <v>10</v>
      </c>
      <c r="C58" s="60" t="str">
        <f>IFERROR(IF(Significant_Overtime[[#This Row],[Overtime Hours]]&gt;100,"High Overtime","Normal"),"Not Found")</f>
        <v>Normal</v>
      </c>
    </row>
    <row r="59" spans="1:3" x14ac:dyDescent="0.35">
      <c r="A59" s="59" t="str">
        <f>_xlfn.TEXTJOIN(" ",TRUE,Employees_Data[[#This Row],[First Name]],Employees_Data[[#This Row],[Last Name]])</f>
        <v>Aylyn Dahadal</v>
      </c>
      <c r="B59" s="21">
        <v>0</v>
      </c>
      <c r="C59" s="60" t="str">
        <f>IFERROR(IF(Significant_Overtime[[#This Row],[Overtime Hours]]&gt;100,"High Overtime","Normal"),"Not Found")</f>
        <v>Normal</v>
      </c>
    </row>
    <row r="60" spans="1:3" x14ac:dyDescent="0.35">
      <c r="A60" s="59" t="str">
        <f>_xlfn.TEXTJOIN(" ",TRUE,Employees_Data[[#This Row],[First Name]],Employees_Data[[#This Row],[Last Name]])</f>
        <v>Tala Tuish</v>
      </c>
      <c r="B60" s="21">
        <v>11</v>
      </c>
      <c r="C60" s="60" t="str">
        <f>IFERROR(IF(Significant_Overtime[[#This Row],[Overtime Hours]]&gt;100,"High Overtime","Normal"),"Not Found")</f>
        <v>Normal</v>
      </c>
    </row>
    <row r="61" spans="1:3" x14ac:dyDescent="0.35">
      <c r="A61" s="59" t="str">
        <f>_xlfn.TEXTJOIN(" ",TRUE,Employees_Data[[#This Row],[First Name]],Employees_Data[[#This Row],[Last Name]])</f>
        <v>Muhamad Qarh</v>
      </c>
      <c r="B61" s="21">
        <v>7</v>
      </c>
      <c r="C61" s="60" t="str">
        <f>IFERROR(IF(Significant_Overtime[[#This Row],[Overtime Hours]]&gt;100,"High Overtime","Normal"),"Not Found")</f>
        <v>Normal</v>
      </c>
    </row>
    <row r="62" spans="1:3" x14ac:dyDescent="0.35">
      <c r="A62" s="59" t="str">
        <f>_xlfn.TEXTJOIN(" ",TRUE,Employees_Data[[#This Row],[First Name]],Employees_Data[[#This Row],[Last Name]])</f>
        <v>Eala Almisri</v>
      </c>
      <c r="B62" s="21">
        <v>10</v>
      </c>
      <c r="C62" s="60" t="str">
        <f>IFERROR(IF(Significant_Overtime[[#This Row],[Overtime Hours]]&gt;100,"High Overtime","Normal"),"Not Found")</f>
        <v>Normal</v>
      </c>
    </row>
    <row r="63" spans="1:3" x14ac:dyDescent="0.35">
      <c r="A63" s="59" t="str">
        <f>_xlfn.TEXTJOIN(" ",TRUE,Employees_Data[[#This Row],[First Name]],Employees_Data[[#This Row],[Last Name]])</f>
        <v>Muhamad Alzaybq</v>
      </c>
      <c r="B63" s="21">
        <v>2</v>
      </c>
      <c r="C63" s="60" t="str">
        <f>IFERROR(IF(Significant_Overtime[[#This Row],[Overtime Hours]]&gt;100,"High Overtime","Normal"),"Not Found")</f>
        <v>Normal</v>
      </c>
    </row>
    <row r="64" spans="1:3" x14ac:dyDescent="0.35">
      <c r="A64" s="59" t="str">
        <f>_xlfn.TEXTJOIN(" ",TRUE,Employees_Data[[#This Row],[First Name]],Employees_Data[[#This Row],[Last Name]])</f>
        <v>Muhamad Asamy</v>
      </c>
      <c r="B64" s="21">
        <v>0</v>
      </c>
      <c r="C64" s="60" t="str">
        <f>IFERROR(IF(Significant_Overtime[[#This Row],[Overtime Hours]]&gt;100,"High Overtime","Normal"),"Not Found")</f>
        <v>Normal</v>
      </c>
    </row>
    <row r="65" spans="1:3" x14ac:dyDescent="0.35">
      <c r="A65" s="59" t="str">
        <f>_xlfn.TEXTJOIN(" ",TRUE,Employees_Data[[#This Row],[First Name]],Employees_Data[[#This Row],[Last Name]])</f>
        <v>Ahmad Alealbi</v>
      </c>
      <c r="B65" s="21">
        <v>2</v>
      </c>
      <c r="C65" s="60" t="str">
        <f>IFERROR(IF(Significant_Overtime[[#This Row],[Overtime Hours]]&gt;100,"High Overtime","Normal"),"Not Found")</f>
        <v>Normal</v>
      </c>
    </row>
    <row r="66" spans="1:3" x14ac:dyDescent="0.35">
      <c r="A66" s="59" t="str">
        <f>_xlfn.TEXTJOIN(" ",TRUE,Employees_Data[[#This Row],[First Name]],Employees_Data[[#This Row],[Last Name]])</f>
        <v>Ibrahim Almasri</v>
      </c>
      <c r="B66" s="21">
        <v>50</v>
      </c>
      <c r="C66" s="60" t="str">
        <f>IFERROR(IF(Significant_Overtime[[#This Row],[Overtime Hours]]&gt;100,"High Overtime","Normal"),"Not Found")</f>
        <v>Normal</v>
      </c>
    </row>
    <row r="67" spans="1:3" x14ac:dyDescent="0.35">
      <c r="A67" s="59" t="str">
        <f>_xlfn.TEXTJOIN(" ",TRUE,Employees_Data[[#This Row],[First Name]],Employees_Data[[#This Row],[Last Name]])</f>
        <v>Hamdah Alkhalifa</v>
      </c>
      <c r="B67" s="21">
        <v>3</v>
      </c>
      <c r="C67" s="60" t="str">
        <f>IFERROR(IF(Significant_Overtime[[#This Row],[Overtime Hours]]&gt;100,"High Overtime","Normal"),"Not Found")</f>
        <v>Normal</v>
      </c>
    </row>
    <row r="68" spans="1:3" x14ac:dyDescent="0.35">
      <c r="A68" s="59" t="str">
        <f>_xlfn.TEXTJOIN(" ",TRUE,Employees_Data[[#This Row],[First Name]],Employees_Data[[#This Row],[Last Name]])</f>
        <v>Muhamad Jawish</v>
      </c>
      <c r="B68" s="21">
        <v>4</v>
      </c>
      <c r="C68" s="60" t="str">
        <f>IFERROR(IF(Significant_Overtime[[#This Row],[Overtime Hours]]&gt;100,"High Overtime","Normal"),"Not Found")</f>
        <v>Normal</v>
      </c>
    </row>
    <row r="69" spans="1:3" x14ac:dyDescent="0.35">
      <c r="A69" s="59" t="str">
        <f>_xlfn.TEXTJOIN(" ",TRUE,Employees_Data[[#This Row],[First Name]],Employees_Data[[#This Row],[Last Name]])</f>
        <v>Muwmin Almudhin</v>
      </c>
      <c r="B69" s="21">
        <v>0</v>
      </c>
      <c r="C69" s="60" t="str">
        <f>IFERROR(IF(Significant_Overtime[[#This Row],[Overtime Hours]]&gt;100,"High Overtime","Normal"),"Not Found")</f>
        <v>Normal</v>
      </c>
    </row>
    <row r="70" spans="1:3" x14ac:dyDescent="0.35">
      <c r="A70" s="59" t="str">
        <f>_xlfn.TEXTJOIN(" ",TRUE,Employees_Data[[#This Row],[First Name]],Employees_Data[[#This Row],[Last Name]])</f>
        <v>Ahmad Zayd</v>
      </c>
      <c r="B70" s="21">
        <v>64</v>
      </c>
      <c r="C70" s="60" t="str">
        <f>IFERROR(IF(Significant_Overtime[[#This Row],[Overtime Hours]]&gt;100,"High Overtime","Normal"),"Not Found")</f>
        <v>Normal</v>
      </c>
    </row>
    <row r="71" spans="1:3" x14ac:dyDescent="0.35">
      <c r="A71" s="59" t="str">
        <f>_xlfn.TEXTJOIN(" ",TRUE,Employees_Data[[#This Row],[First Name]],Employees_Data[[#This Row],[Last Name]])</f>
        <v>Layzaan Nabulsi</v>
      </c>
      <c r="B71" s="21">
        <v>8</v>
      </c>
      <c r="C71" s="60" t="str">
        <f>IFERROR(IF(Significant_Overtime[[#This Row],[Overtime Hours]]&gt;100,"High Overtime","Normal"),"Not Found")</f>
        <v>Normal</v>
      </c>
    </row>
    <row r="72" spans="1:3" x14ac:dyDescent="0.35">
      <c r="A72" s="59" t="str">
        <f>_xlfn.TEXTJOIN(" ",TRUE,Employees_Data[[#This Row],[First Name]],Employees_Data[[#This Row],[Last Name]])</f>
        <v>Sarih Eammar</v>
      </c>
      <c r="B72" s="21">
        <v>2</v>
      </c>
      <c r="C72" s="60" t="str">
        <f>IFERROR(IF(Significant_Overtime[[#This Row],[Overtime Hours]]&gt;100,"High Overtime","Normal"),"Not Found")</f>
        <v>Normal</v>
      </c>
    </row>
    <row r="73" spans="1:3" x14ac:dyDescent="0.35">
      <c r="A73" s="59" t="str">
        <f>_xlfn.TEXTJOIN(" ",TRUE,Employees_Data[[#This Row],[First Name]],Employees_Data[[#This Row],[Last Name]])</f>
        <v>Karam Hutayniun</v>
      </c>
      <c r="B73" s="21">
        <v>10</v>
      </c>
      <c r="C73" s="60" t="str">
        <f>IFERROR(IF(Significant_Overtime[[#This Row],[Overtime Hours]]&gt;100,"High Overtime","Normal"),"Not Found")</f>
        <v>Normal</v>
      </c>
    </row>
    <row r="74" spans="1:3" x14ac:dyDescent="0.35">
      <c r="A74" s="59" t="str">
        <f>_xlfn.TEXTJOIN(" ",TRUE,Employees_Data[[#This Row],[First Name]],Employees_Data[[#This Row],[Last Name]])</f>
        <v>Shahad Shanan</v>
      </c>
      <c r="B74" s="21">
        <v>6</v>
      </c>
      <c r="C74" s="60" t="str">
        <f>IFERROR(IF(Significant_Overtime[[#This Row],[Overtime Hours]]&gt;100,"High Overtime","Normal"),"Not Found")</f>
        <v>Normal</v>
      </c>
    </row>
    <row r="75" spans="1:3" x14ac:dyDescent="0.35">
      <c r="A75" s="59" t="str">
        <f>_xlfn.TEXTJOIN(" ",TRUE,Employees_Data[[#This Row],[First Name]],Employees_Data[[#This Row],[Last Name]])</f>
        <v>Salah Ramadan</v>
      </c>
      <c r="B75" s="21">
        <v>0</v>
      </c>
      <c r="C75" s="60" t="str">
        <f>IFERROR(IF(Significant_Overtime[[#This Row],[Overtime Hours]]&gt;100,"High Overtime","Normal"),"Not Found")</f>
        <v>Normal</v>
      </c>
    </row>
    <row r="76" spans="1:3" x14ac:dyDescent="0.35">
      <c r="A76" s="59" t="str">
        <f>_xlfn.TEXTJOIN(" ",TRUE,Employees_Data[[#This Row],[First Name]],Employees_Data[[#This Row],[Last Name]])</f>
        <v>Sami Alkhayrat</v>
      </c>
      <c r="B76" s="21">
        <v>10</v>
      </c>
      <c r="C76" s="60" t="str">
        <f>IFERROR(IF(Significant_Overtime[[#This Row],[Overtime Hours]]&gt;100,"High Overtime","Normal"),"Not Found")</f>
        <v>Normal</v>
      </c>
    </row>
    <row r="77" spans="1:3" x14ac:dyDescent="0.35">
      <c r="A77" s="59" t="str">
        <f>_xlfn.TEXTJOIN(" ",TRUE,Employees_Data[[#This Row],[First Name]],Employees_Data[[#This Row],[Last Name]])</f>
        <v>Khalid Snan</v>
      </c>
      <c r="B77" s="21">
        <v>12</v>
      </c>
      <c r="C77" s="60" t="str">
        <f>IFERROR(IF(Significant_Overtime[[#This Row],[Overtime Hours]]&gt;100,"High Overtime","Normal"),"Not Found")</f>
        <v>Normal</v>
      </c>
    </row>
    <row r="78" spans="1:3" x14ac:dyDescent="0.35">
      <c r="A78" s="59" t="str">
        <f>_xlfn.TEXTJOIN(" ",TRUE,Employees_Data[[#This Row],[First Name]],Employees_Data[[#This Row],[Last Name]])</f>
        <v>Salam Alkhatib</v>
      </c>
      <c r="B78" s="21">
        <v>6</v>
      </c>
      <c r="C78" s="60" t="str">
        <f>IFERROR(IF(Significant_Overtime[[#This Row],[Overtime Hours]]&gt;100,"High Overtime","Normal"),"Not Found")</f>
        <v>Normal</v>
      </c>
    </row>
    <row r="79" spans="1:3" x14ac:dyDescent="0.35">
      <c r="A79" s="59" t="str">
        <f>_xlfn.TEXTJOIN(" ",TRUE,Employees_Data[[#This Row],[First Name]],Employees_Data[[#This Row],[Last Name]])</f>
        <v>Darar Alshiyraziu</v>
      </c>
      <c r="B79" s="21">
        <v>4</v>
      </c>
      <c r="C79" s="60" t="str">
        <f>IFERROR(IF(Significant_Overtime[[#This Row],[Overtime Hours]]&gt;100,"High Overtime","Normal"),"Not Found")</f>
        <v>Normal</v>
      </c>
    </row>
    <row r="80" spans="1:3" x14ac:dyDescent="0.35">
      <c r="A80" s="59" t="str">
        <f>_xlfn.TEXTJOIN(" ",TRUE,Employees_Data[[#This Row],[First Name]],Employees_Data[[#This Row],[Last Name]])</f>
        <v>Mazin Yusif</v>
      </c>
      <c r="B80" s="21">
        <v>9</v>
      </c>
      <c r="C80" s="60" t="str">
        <f>IFERROR(IF(Significant_Overtime[[#This Row],[Overtime Hours]]&gt;100,"High Overtime","Normal"),"Not Found")</f>
        <v>Normal</v>
      </c>
    </row>
    <row r="81" spans="1:3" x14ac:dyDescent="0.35">
      <c r="A81" s="59" t="str">
        <f>_xlfn.TEXTJOIN(" ",TRUE,Employees_Data[[#This Row],[First Name]],Employees_Data[[#This Row],[Last Name]])</f>
        <v>Rasha Naeim</v>
      </c>
      <c r="B81" s="21">
        <v>8</v>
      </c>
      <c r="C81" s="60" t="str">
        <f>IFERROR(IF(Significant_Overtime[[#This Row],[Overtime Hours]]&gt;100,"High Overtime","Normal"),"Not Found")</f>
        <v>Normal</v>
      </c>
    </row>
    <row r="82" spans="1:3" x14ac:dyDescent="0.35">
      <c r="A82" s="59" t="str">
        <f>_xlfn.TEXTJOIN(" ",TRUE,Employees_Data[[#This Row],[First Name]],Employees_Data[[#This Row],[Last Name]])</f>
        <v>Eamra Alshueranii</v>
      </c>
      <c r="B82" s="21">
        <v>10</v>
      </c>
      <c r="C82" s="60" t="str">
        <f>IFERROR(IF(Significant_Overtime[[#This Row],[Overtime Hours]]&gt;100,"High Overtime","Normal"),"Not Found")</f>
        <v>Normal</v>
      </c>
    </row>
    <row r="83" spans="1:3" x14ac:dyDescent="0.35">
      <c r="A83" s="59" t="str">
        <f>_xlfn.TEXTJOIN(" ",TRUE,Employees_Data[[#This Row],[First Name]],Employees_Data[[#This Row],[Last Name]])</f>
        <v>Amira Akrym</v>
      </c>
      <c r="B83" s="21">
        <v>11</v>
      </c>
      <c r="C83" s="60" t="str">
        <f>IFERROR(IF(Significant_Overtime[[#This Row],[Overtime Hours]]&gt;100,"High Overtime","Normal"),"Not Found")</f>
        <v>Normal</v>
      </c>
    </row>
    <row r="84" spans="1:3" x14ac:dyDescent="0.35">
      <c r="A84" s="59" t="str">
        <f>_xlfn.TEXTJOIN(" ",TRUE,Employees_Data[[#This Row],[First Name]],Employees_Data[[#This Row],[Last Name]])</f>
        <v>Muhamad Hamzat</v>
      </c>
      <c r="B84" s="21">
        <v>2</v>
      </c>
      <c r="C84" s="60" t="str">
        <f>IFERROR(IF(Significant_Overtime[[#This Row],[Overtime Hours]]&gt;100,"High Overtime","Normal"),"Not Found")</f>
        <v>Normal</v>
      </c>
    </row>
    <row r="85" spans="1:3" x14ac:dyDescent="0.35">
      <c r="A85" s="59" t="str">
        <f>_xlfn.TEXTJOIN(" ",TRUE,Employees_Data[[#This Row],[First Name]],Employees_Data[[#This Row],[Last Name]])</f>
        <v>Muhamad Khayr</v>
      </c>
      <c r="B85" s="21">
        <v>0</v>
      </c>
      <c r="C85" s="60" t="str">
        <f>IFERROR(IF(Significant_Overtime[[#This Row],[Overtime Hours]]&gt;100,"High Overtime","Normal"),"Not Found")</f>
        <v>Normal</v>
      </c>
    </row>
    <row r="86" spans="1:3" x14ac:dyDescent="0.35">
      <c r="A86" s="59" t="str">
        <f>_xlfn.TEXTJOIN(" ",TRUE,Employees_Data[[#This Row],[First Name]],Employees_Data[[#This Row],[Last Name]])</f>
        <v>Abd Almalik Nazal</v>
      </c>
      <c r="B86" s="21">
        <v>2</v>
      </c>
      <c r="C86" s="60" t="str">
        <f>IFERROR(IF(Significant_Overtime[[#This Row],[Overtime Hours]]&gt;100,"High Overtime","Normal"),"Not Found")</f>
        <v>Normal</v>
      </c>
    </row>
    <row r="87" spans="1:3" x14ac:dyDescent="0.35">
      <c r="A87" s="59" t="str">
        <f>_xlfn.TEXTJOIN(" ",TRUE,Employees_Data[[#This Row],[First Name]],Employees_Data[[#This Row],[Last Name]])</f>
        <v>Rabya Kiwan</v>
      </c>
      <c r="B87" s="21">
        <v>3</v>
      </c>
      <c r="C87" s="60" t="str">
        <f>IFERROR(IF(Significant_Overtime[[#This Row],[Overtime Hours]]&gt;100,"High Overtime","Normal"),"Not Found")</f>
        <v>Normal</v>
      </c>
    </row>
    <row r="88" spans="1:3" x14ac:dyDescent="0.35">
      <c r="A88" s="59" t="str">
        <f>_xlfn.TEXTJOIN(" ",TRUE,Employees_Data[[#This Row],[First Name]],Employees_Data[[#This Row],[Last Name]])</f>
        <v>Muhamad Khayr</v>
      </c>
      <c r="B88" s="21">
        <v>5</v>
      </c>
      <c r="C88" s="60" t="str">
        <f>IFERROR(IF(Significant_Overtime[[#This Row],[Overtime Hours]]&gt;100,"High Overtime","Normal"),"Not Found")</f>
        <v>Normal</v>
      </c>
    </row>
    <row r="89" spans="1:3" x14ac:dyDescent="0.35">
      <c r="A89" s="59" t="str">
        <f>_xlfn.TEXTJOIN(" ",TRUE,Employees_Data[[#This Row],[First Name]],Employees_Data[[#This Row],[Last Name]])</f>
        <v>Samah Almaydanii</v>
      </c>
      <c r="B89" s="21">
        <v>3</v>
      </c>
      <c r="C89" s="60" t="str">
        <f>IFERROR(IF(Significant_Overtime[[#This Row],[Overtime Hours]]&gt;100,"High Overtime","Normal"),"Not Found")</f>
        <v>Normal</v>
      </c>
    </row>
    <row r="90" spans="1:3" x14ac:dyDescent="0.35">
      <c r="A90" s="59" t="str">
        <f>_xlfn.TEXTJOIN(" ",TRUE,Employees_Data[[#This Row],[First Name]],Employees_Data[[#This Row],[Last Name]])</f>
        <v>Ali Watar</v>
      </c>
      <c r="B90" s="21">
        <v>76</v>
      </c>
      <c r="C90" s="60" t="str">
        <f>IFERROR(IF(Significant_Overtime[[#This Row],[Overtime Hours]]&gt;100,"High Overtime","Normal"),"Not Found")</f>
        <v>Normal</v>
      </c>
    </row>
    <row r="91" spans="1:3" x14ac:dyDescent="0.35">
      <c r="A91" s="59" t="str">
        <f>_xlfn.TEXTJOIN(" ",TRUE,Employees_Data[[#This Row],[First Name]],Employees_Data[[#This Row],[Last Name]])</f>
        <v>Darin Ghunum</v>
      </c>
      <c r="B91" s="21">
        <v>4</v>
      </c>
      <c r="C91" s="60" t="str">
        <f>IFERROR(IF(Significant_Overtime[[#This Row],[Overtime Hours]]&gt;100,"High Overtime","Normal"),"Not Found")</f>
        <v>Normal</v>
      </c>
    </row>
    <row r="92" spans="1:3" x14ac:dyDescent="0.35">
      <c r="A92" s="59" t="str">
        <f>_xlfn.TEXTJOIN(" ",TRUE,Employees_Data[[#This Row],[First Name]],Employees_Data[[#This Row],[Last Name]])</f>
        <v>Faras Alhamal</v>
      </c>
      <c r="B92" s="21">
        <v>9</v>
      </c>
      <c r="C92" s="60" t="str">
        <f>IFERROR(IF(Significant_Overtime[[#This Row],[Overtime Hours]]&gt;100,"High Overtime","Normal"),"Not Found")</f>
        <v>Normal</v>
      </c>
    </row>
    <row r="93" spans="1:3" x14ac:dyDescent="0.35">
      <c r="A93" s="59" t="str">
        <f>_xlfn.TEXTJOIN(" ",TRUE,Employees_Data[[#This Row],[First Name]],Employees_Data[[#This Row],[Last Name]])</f>
        <v>Amal Asamy</v>
      </c>
      <c r="B93" s="21">
        <v>7</v>
      </c>
      <c r="C93" s="60" t="str">
        <f>IFERROR(IF(Significant_Overtime[[#This Row],[Overtime Hours]]&gt;100,"High Overtime","Normal"),"Not Found")</f>
        <v>Normal</v>
      </c>
    </row>
    <row r="94" spans="1:3" x14ac:dyDescent="0.35">
      <c r="A94" s="59" t="str">
        <f>_xlfn.TEXTJOIN(" ",TRUE,Employees_Data[[#This Row],[First Name]],Employees_Data[[#This Row],[Last Name]])</f>
        <v>Razan AlAhmad</v>
      </c>
      <c r="B94" s="21">
        <v>46</v>
      </c>
      <c r="C94" s="60" t="str">
        <f>IFERROR(IF(Significant_Overtime[[#This Row],[Overtime Hours]]&gt;100,"High Overtime","Normal"),"Not Found")</f>
        <v>Normal</v>
      </c>
    </row>
    <row r="95" spans="1:3" x14ac:dyDescent="0.35">
      <c r="A95" s="59" t="str">
        <f>_xlfn.TEXTJOIN(" ",TRUE,Employees_Data[[#This Row],[First Name]],Employees_Data[[#This Row],[Last Name]])</f>
        <v>Muhamad Kharasah</v>
      </c>
      <c r="B95" s="21">
        <v>3</v>
      </c>
      <c r="C95" s="60" t="str">
        <f>IFERROR(IF(Significant_Overtime[[#This Row],[Overtime Hours]]&gt;100,"High Overtime","Normal"),"Not Found")</f>
        <v>Normal</v>
      </c>
    </row>
    <row r="96" spans="1:3" x14ac:dyDescent="0.35">
      <c r="A96" s="59" t="str">
        <f>_xlfn.TEXTJOIN(" ",TRUE,Employees_Data[[#This Row],[First Name]],Employees_Data[[#This Row],[Last Name]])</f>
        <v>Tariq Bryghl</v>
      </c>
      <c r="B96" s="21">
        <v>9</v>
      </c>
      <c r="C96" s="60" t="str">
        <f>IFERROR(IF(Significant_Overtime[[#This Row],[Overtime Hours]]&gt;100,"High Overtime","Normal"),"Not Found")</f>
        <v>Normal</v>
      </c>
    </row>
    <row r="97" spans="1:3" x14ac:dyDescent="0.35">
      <c r="A97" s="59" t="str">
        <f>_xlfn.TEXTJOIN(" ",TRUE,Employees_Data[[#This Row],[First Name]],Employees_Data[[#This Row],[Last Name]])</f>
        <v>Muhamad Husayn</v>
      </c>
      <c r="B97" s="21">
        <v>9</v>
      </c>
      <c r="C97" s="60" t="str">
        <f>IFERROR(IF(Significant_Overtime[[#This Row],[Overtime Hours]]&gt;100,"High Overtime","Normal"),"Not Found")</f>
        <v>Normal</v>
      </c>
    </row>
    <row r="98" spans="1:3" x14ac:dyDescent="0.35">
      <c r="A98" s="59" t="str">
        <f>_xlfn.TEXTJOIN(" ",TRUE,Employees_Data[[#This Row],[First Name]],Employees_Data[[#This Row],[Last Name]])</f>
        <v>Fadi Aleid</v>
      </c>
      <c r="B98" s="21">
        <v>10</v>
      </c>
      <c r="C98" s="60" t="str">
        <f>IFERROR(IF(Significant_Overtime[[#This Row],[Overtime Hours]]&gt;100,"High Overtime","Normal"),"Not Found")</f>
        <v>Normal</v>
      </c>
    </row>
    <row r="99" spans="1:3" x14ac:dyDescent="0.35">
      <c r="A99" s="59" t="str">
        <f>_xlfn.TEXTJOIN(" ",TRUE,Employees_Data[[#This Row],[First Name]],Employees_Data[[#This Row],[Last Name]])</f>
        <v>Tariq Abuzahir</v>
      </c>
      <c r="B99" s="21">
        <v>2</v>
      </c>
      <c r="C99" s="60" t="str">
        <f>IFERROR(IF(Significant_Overtime[[#This Row],[Overtime Hours]]&gt;100,"High Overtime","Normal"),"Not Found")</f>
        <v>Normal</v>
      </c>
    </row>
    <row r="100" spans="1:3" x14ac:dyDescent="0.35">
      <c r="A100" s="59" t="str">
        <f>_xlfn.TEXTJOIN(" ",TRUE,Employees_Data[[#This Row],[First Name]],Employees_Data[[#This Row],[Last Name]])</f>
        <v>Mazin Eubayd</v>
      </c>
      <c r="B100" s="21">
        <v>9</v>
      </c>
      <c r="C100" s="60" t="str">
        <f>IFERROR(IF(Significant_Overtime[[#This Row],[Overtime Hours]]&gt;100,"High Overtime","Normal"),"Not Found")</f>
        <v>Normal</v>
      </c>
    </row>
    <row r="101" spans="1:3" x14ac:dyDescent="0.35">
      <c r="A101" s="59" t="str">
        <f>_xlfn.TEXTJOIN(" ",TRUE,Employees_Data[[#This Row],[First Name]],Employees_Data[[#This Row],[Last Name]])</f>
        <v>Lina Aljabr</v>
      </c>
      <c r="B101" s="21">
        <v>10</v>
      </c>
      <c r="C101" s="60" t="str">
        <f>IFERROR(IF(Significant_Overtime[[#This Row],[Overtime Hours]]&gt;100,"High Overtime","Normal"),"Not Found")</f>
        <v>Normal</v>
      </c>
    </row>
    <row r="102" spans="1:3" x14ac:dyDescent="0.35">
      <c r="A102" s="59" t="str">
        <f>_xlfn.TEXTJOIN(" ",TRUE,Employees_Data[[#This Row],[First Name]],Employees_Data[[#This Row],[Last Name]])</f>
        <v>Muhamad Ayman</v>
      </c>
      <c r="B102" s="21">
        <v>99</v>
      </c>
      <c r="C102" s="60" t="str">
        <f>IFERROR(IF(Significant_Overtime[[#This Row],[Overtime Hours]]&gt;100,"High Overtime","Normal"),"Not Found")</f>
        <v>Normal</v>
      </c>
    </row>
    <row r="103" spans="1:3" x14ac:dyDescent="0.35">
      <c r="A103" s="59" t="str">
        <f>_xlfn.TEXTJOIN(" ",TRUE,Employees_Data[[#This Row],[First Name]],Employees_Data[[#This Row],[Last Name]])</f>
        <v>Ayman Muhamad</v>
      </c>
      <c r="B103" s="21">
        <v>8</v>
      </c>
      <c r="C103" s="60" t="str">
        <f>IFERROR(IF(Significant_Overtime[[#This Row],[Overtime Hours]]&gt;100,"High Overtime","Normal"),"Not Found")</f>
        <v>Normal</v>
      </c>
    </row>
    <row r="104" spans="1:3" x14ac:dyDescent="0.35">
      <c r="A104" s="59" t="str">
        <f>_xlfn.TEXTJOIN(" ",TRUE,Employees_Data[[#This Row],[First Name]],Employees_Data[[#This Row],[Last Name]])</f>
        <v>Ahmad Abu Eadlh</v>
      </c>
      <c r="B104" s="21">
        <v>1</v>
      </c>
      <c r="C104" s="60" t="str">
        <f>IFERROR(IF(Significant_Overtime[[#This Row],[Overtime Hours]]&gt;100,"High Overtime","Normal"),"Not Found")</f>
        <v>Normal</v>
      </c>
    </row>
    <row r="105" spans="1:3" x14ac:dyDescent="0.35">
      <c r="A105" s="59" t="str">
        <f>_xlfn.TEXTJOIN(" ",TRUE,Employees_Data[[#This Row],[First Name]],Employees_Data[[#This Row],[Last Name]])</f>
        <v>Rami Abu Adhan</v>
      </c>
      <c r="B105" s="21">
        <v>0</v>
      </c>
      <c r="C105" s="60" t="str">
        <f>IFERROR(IF(Significant_Overtime[[#This Row],[Overtime Hours]]&gt;100,"High Overtime","Normal"),"Not Found")</f>
        <v>Normal</v>
      </c>
    </row>
    <row r="106" spans="1:3" x14ac:dyDescent="0.35">
      <c r="A106" s="59" t="str">
        <f>_xlfn.TEXTJOIN(" ",TRUE,Employees_Data[[#This Row],[First Name]],Employees_Data[[#This Row],[Last Name]])</f>
        <v>Muhamad Hamzat</v>
      </c>
      <c r="B106" s="21">
        <v>10</v>
      </c>
      <c r="C106" s="60" t="str">
        <f>IFERROR(IF(Significant_Overtime[[#This Row],[Overtime Hours]]&gt;100,"High Overtime","Normal"),"Not Found")</f>
        <v>Normal</v>
      </c>
    </row>
    <row r="107" spans="1:3" x14ac:dyDescent="0.35">
      <c r="A107" s="59" t="str">
        <f>_xlfn.TEXTJOIN(" ",TRUE,Employees_Data[[#This Row],[First Name]],Employees_Data[[#This Row],[Last Name]])</f>
        <v>Ehab Alkhibaz</v>
      </c>
      <c r="B107" s="21">
        <v>10</v>
      </c>
      <c r="C107" s="60" t="str">
        <f>IFERROR(IF(Significant_Overtime[[#This Row],[Overtime Hours]]&gt;100,"High Overtime","Normal"),"Not Found")</f>
        <v>Normal</v>
      </c>
    </row>
    <row r="108" spans="1:3" x14ac:dyDescent="0.35">
      <c r="A108" s="59" t="str">
        <f>_xlfn.TEXTJOIN(" ",TRUE,Employees_Data[[#This Row],[First Name]],Employees_Data[[#This Row],[Last Name]])</f>
        <v>Ibrahim Nabulsi</v>
      </c>
      <c r="B108" s="21">
        <v>3</v>
      </c>
      <c r="C108" s="60" t="str">
        <f>IFERROR(IF(Significant_Overtime[[#This Row],[Overtime Hours]]&gt;100,"High Overtime","Normal"),"Not Found")</f>
        <v>Normal</v>
      </c>
    </row>
    <row r="109" spans="1:3" x14ac:dyDescent="0.35">
      <c r="A109" s="59" t="str">
        <f>_xlfn.TEXTJOIN(" ",TRUE,Employees_Data[[#This Row],[First Name]],Employees_Data[[#This Row],[Last Name]])</f>
        <v>Ranya Salah Aldiyn</v>
      </c>
      <c r="B109" s="21">
        <v>5</v>
      </c>
      <c r="C109" s="60" t="str">
        <f>IFERROR(IF(Significant_Overtime[[#This Row],[Overtime Hours]]&gt;100,"High Overtime","Normal"),"Not Found")</f>
        <v>Normal</v>
      </c>
    </row>
    <row r="110" spans="1:3" x14ac:dyDescent="0.35">
      <c r="A110" s="59" t="str">
        <f>_xlfn.TEXTJOIN(" ",TRUE,Employees_Data[[#This Row],[First Name]],Employees_Data[[#This Row],[Last Name]])</f>
        <v>Juri Zaytun</v>
      </c>
      <c r="B110" s="21">
        <v>16</v>
      </c>
      <c r="C110" s="60" t="str">
        <f>IFERROR(IF(Significant_Overtime[[#This Row],[Overtime Hours]]&gt;100,"High Overtime","Normal"),"Not Found")</f>
        <v>Normal</v>
      </c>
    </row>
    <row r="111" spans="1:3" x14ac:dyDescent="0.35">
      <c r="A111" s="59" t="str">
        <f>_xlfn.TEXTJOIN(" ",TRUE,Employees_Data[[#This Row],[First Name]],Employees_Data[[#This Row],[Last Name]])</f>
        <v>Sahar Almuhamad</v>
      </c>
      <c r="B111" s="21">
        <v>4</v>
      </c>
      <c r="C111" s="60" t="str">
        <f>IFERROR(IF(Significant_Overtime[[#This Row],[Overtime Hours]]&gt;100,"High Overtime","Normal"),"Not Found")</f>
        <v>Normal</v>
      </c>
    </row>
    <row r="112" spans="1:3" x14ac:dyDescent="0.35">
      <c r="A112" s="59" t="str">
        <f>_xlfn.TEXTJOIN(" ",TRUE,Employees_Data[[#This Row],[First Name]],Employees_Data[[#This Row],[Last Name]])</f>
        <v>Mari Ayly</v>
      </c>
      <c r="B112" s="21">
        <v>2</v>
      </c>
      <c r="C112" s="60" t="str">
        <f>IFERROR(IF(Significant_Overtime[[#This Row],[Overtime Hours]]&gt;100,"High Overtime","Normal"),"Not Found")</f>
        <v>Normal</v>
      </c>
    </row>
    <row r="113" spans="1:3" x14ac:dyDescent="0.35">
      <c r="A113" s="59" t="str">
        <f>_xlfn.TEXTJOIN(" ",TRUE,Employees_Data[[#This Row],[First Name]],Employees_Data[[#This Row],[Last Name]])</f>
        <v>Ali Alhuri</v>
      </c>
      <c r="B113" s="21">
        <v>3</v>
      </c>
      <c r="C113" s="60" t="str">
        <f>IFERROR(IF(Significant_Overtime[[#This Row],[Overtime Hours]]&gt;100,"High Overtime","Normal"),"Not Found")</f>
        <v>Normal</v>
      </c>
    </row>
    <row r="114" spans="1:3" x14ac:dyDescent="0.35">
      <c r="A114" s="59" t="str">
        <f>_xlfn.TEXTJOIN(" ",TRUE,Employees_Data[[#This Row],[First Name]],Employees_Data[[#This Row],[Last Name]])</f>
        <v>Dania Almala</v>
      </c>
      <c r="B114" s="21">
        <v>5</v>
      </c>
      <c r="C114" s="60" t="str">
        <f>IFERROR(IF(Significant_Overtime[[#This Row],[Overtime Hours]]&gt;100,"High Overtime","Normal"),"Not Found")</f>
        <v>Normal</v>
      </c>
    </row>
    <row r="115" spans="1:3" x14ac:dyDescent="0.35">
      <c r="A115" s="59" t="str">
        <f>_xlfn.TEXTJOIN(" ",TRUE,Employees_Data[[#This Row],[First Name]],Employees_Data[[#This Row],[Last Name]])</f>
        <v>Rym Alsydawi</v>
      </c>
      <c r="B115" s="21">
        <v>1</v>
      </c>
      <c r="C115" s="60" t="str">
        <f>IFERROR(IF(Significant_Overtime[[#This Row],[Overtime Hours]]&gt;100,"High Overtime","Normal"),"Not Found")</f>
        <v>Normal</v>
      </c>
    </row>
    <row r="116" spans="1:3" x14ac:dyDescent="0.35">
      <c r="A116" s="59" t="str">
        <f>_xlfn.TEXTJOIN(" ",TRUE,Employees_Data[[#This Row],[First Name]],Employees_Data[[#This Row],[Last Name]])</f>
        <v>Mahir Alshear</v>
      </c>
      <c r="B116" s="21">
        <v>4</v>
      </c>
      <c r="C116" s="60" t="str">
        <f>IFERROR(IF(Significant_Overtime[[#This Row],[Overtime Hours]]&gt;100,"High Overtime","Normal"),"Not Found")</f>
        <v>Normal</v>
      </c>
    </row>
    <row r="117" spans="1:3" x14ac:dyDescent="0.35">
      <c r="A117" s="59" t="str">
        <f>_xlfn.TEXTJOIN(" ",TRUE,Employees_Data[[#This Row],[First Name]],Employees_Data[[#This Row],[Last Name]])</f>
        <v>Ibrahim Alhamid</v>
      </c>
      <c r="B117" s="21">
        <v>7</v>
      </c>
      <c r="C117" s="60" t="str">
        <f>IFERROR(IF(Significant_Overtime[[#This Row],[Overtime Hours]]&gt;100,"High Overtime","Normal"),"Not Found")</f>
        <v>Normal</v>
      </c>
    </row>
    <row r="118" spans="1:3" x14ac:dyDescent="0.35">
      <c r="A118" s="59" t="str">
        <f>_xlfn.TEXTJOIN(" ",TRUE,Employees_Data[[#This Row],[First Name]],Employees_Data[[#This Row],[Last Name]])</f>
        <v>Muhamad Alkhayr</v>
      </c>
      <c r="B118" s="21">
        <v>4</v>
      </c>
      <c r="C118" s="60" t="str">
        <f>IFERROR(IF(Significant_Overtime[[#This Row],[Overtime Hours]]&gt;100,"High Overtime","Normal"),"Not Found")</f>
        <v>Normal</v>
      </c>
    </row>
    <row r="119" spans="1:3" x14ac:dyDescent="0.35">
      <c r="A119" s="59" t="str">
        <f>_xlfn.TEXTJOIN(" ",TRUE,Employees_Data[[#This Row],[First Name]],Employees_Data[[#This Row],[Last Name]])</f>
        <v>Muhamad Bashshar</v>
      </c>
      <c r="B119" s="21">
        <v>2</v>
      </c>
      <c r="C119" s="60" t="str">
        <f>IFERROR(IF(Significant_Overtime[[#This Row],[Overtime Hours]]&gt;100,"High Overtime","Normal"),"Not Found")</f>
        <v>Normal</v>
      </c>
    </row>
    <row r="120" spans="1:3" x14ac:dyDescent="0.35">
      <c r="A120" s="59" t="str">
        <f>_xlfn.TEXTJOIN(" ",TRUE,Employees_Data[[#This Row],[First Name]],Employees_Data[[#This Row],[Last Name]])</f>
        <v>Muhamad Jhad</v>
      </c>
      <c r="B120" s="21">
        <v>2</v>
      </c>
      <c r="C120" s="60" t="str">
        <f>IFERROR(IF(Significant_Overtime[[#This Row],[Overtime Hours]]&gt;100,"High Overtime","Normal"),"Not Found")</f>
        <v>Normal</v>
      </c>
    </row>
    <row r="121" spans="1:3" x14ac:dyDescent="0.35">
      <c r="A121" s="59" t="str">
        <f>_xlfn.TEXTJOIN(" ",TRUE,Employees_Data[[#This Row],[First Name]],Employees_Data[[#This Row],[Last Name]])</f>
        <v>Limays Ghrz</v>
      </c>
      <c r="B121" s="21">
        <v>7</v>
      </c>
      <c r="C121" s="60" t="str">
        <f>IFERROR(IF(Significant_Overtime[[#This Row],[Overtime Hours]]&gt;100,"High Overtime","Normal"),"Not Found")</f>
        <v>Normal</v>
      </c>
    </row>
    <row r="122" spans="1:3" x14ac:dyDescent="0.35">
      <c r="A122" s="59" t="str">
        <f>_xlfn.TEXTJOIN(" ",TRUE,Employees_Data[[#This Row],[First Name]],Employees_Data[[#This Row],[Last Name]])</f>
        <v>Zaydun Jabir</v>
      </c>
      <c r="B122" s="21">
        <v>3</v>
      </c>
      <c r="C122" s="60" t="str">
        <f>IFERROR(IF(Significant_Overtime[[#This Row],[Overtime Hours]]&gt;100,"High Overtime","Normal"),"Not Found")</f>
        <v>Normal</v>
      </c>
    </row>
    <row r="123" spans="1:3" x14ac:dyDescent="0.35">
      <c r="A123" s="59" t="str">
        <f>_xlfn.TEXTJOIN(" ",TRUE,Employees_Data[[#This Row],[First Name]],Employees_Data[[#This Row],[Last Name]])</f>
        <v>Fatima Zaetar</v>
      </c>
      <c r="B123" s="21">
        <v>9</v>
      </c>
      <c r="C123" s="60" t="str">
        <f>IFERROR(IF(Significant_Overtime[[#This Row],[Overtime Hours]]&gt;100,"High Overtime","Normal"),"Not Found")</f>
        <v>Normal</v>
      </c>
    </row>
    <row r="124" spans="1:3" x14ac:dyDescent="0.35">
      <c r="A124" s="59" t="str">
        <f>_xlfn.TEXTJOIN(" ",TRUE,Employees_Data[[#This Row],[First Name]],Employees_Data[[#This Row],[Last Name]])</f>
        <v>Tariq Shakir</v>
      </c>
      <c r="B124" s="21">
        <v>82</v>
      </c>
      <c r="C124" s="60" t="str">
        <f>IFERROR(IF(Significant_Overtime[[#This Row],[Overtime Hours]]&gt;100,"High Overtime","Normal"),"Not Found")</f>
        <v>Normal</v>
      </c>
    </row>
    <row r="125" spans="1:3" x14ac:dyDescent="0.35">
      <c r="A125" s="59" t="str">
        <f>_xlfn.TEXTJOIN(" ",TRUE,Employees_Data[[#This Row],[First Name]],Employees_Data[[#This Row],[Last Name]])</f>
        <v>Ruyda Alhamadii</v>
      </c>
      <c r="B125" s="21">
        <v>0</v>
      </c>
      <c r="C125" s="60" t="str">
        <f>IFERROR(IF(Significant_Overtime[[#This Row],[Overtime Hours]]&gt;100,"High Overtime","Normal"),"Not Found")</f>
        <v>Normal</v>
      </c>
    </row>
    <row r="126" spans="1:3" x14ac:dyDescent="0.35">
      <c r="A126" s="59" t="str">
        <f>_xlfn.TEXTJOIN(" ",TRUE,Employees_Data[[#This Row],[First Name]],Employees_Data[[#This Row],[Last Name]])</f>
        <v>Anwar Almaseud</v>
      </c>
      <c r="B126" s="21">
        <v>14</v>
      </c>
      <c r="C126" s="60" t="str">
        <f>IFERROR(IF(Significant_Overtime[[#This Row],[Overtime Hours]]&gt;100,"High Overtime","Normal"),"Not Found")</f>
        <v>Normal</v>
      </c>
    </row>
    <row r="127" spans="1:3" x14ac:dyDescent="0.35">
      <c r="A127" s="59" t="str">
        <f>_xlfn.TEXTJOIN(" ",TRUE,Employees_Data[[#This Row],[First Name]],Employees_Data[[#This Row],[Last Name]])</f>
        <v>Fayaruz Sabih</v>
      </c>
      <c r="B127" s="21">
        <v>9</v>
      </c>
      <c r="C127" s="60" t="str">
        <f>IFERROR(IF(Significant_Overtime[[#This Row],[Overtime Hours]]&gt;100,"High Overtime","Normal"),"Not Found")</f>
        <v>Normal</v>
      </c>
    </row>
    <row r="128" spans="1:3" x14ac:dyDescent="0.35">
      <c r="A128" s="59" t="str">
        <f>_xlfn.TEXTJOIN(" ",TRUE,Employees_Data[[#This Row],[First Name]],Employees_Data[[#This Row],[Last Name]])</f>
        <v>Jwny Alrashid</v>
      </c>
      <c r="B128" s="21">
        <v>4</v>
      </c>
      <c r="C128" s="60" t="str">
        <f>IFERROR(IF(Significant_Overtime[[#This Row],[Overtime Hours]]&gt;100,"High Overtime","Normal"),"Not Found")</f>
        <v>Normal</v>
      </c>
    </row>
    <row r="129" spans="1:3" x14ac:dyDescent="0.35">
      <c r="A129" s="59" t="str">
        <f>_xlfn.TEXTJOIN(" ",TRUE,Employees_Data[[#This Row],[First Name]],Employees_Data[[#This Row],[Last Name]])</f>
        <v>Karam Kiali</v>
      </c>
      <c r="B129" s="21">
        <v>10</v>
      </c>
      <c r="C129" s="60" t="str">
        <f>IFERROR(IF(Significant_Overtime[[#This Row],[Overtime Hours]]&gt;100,"High Overtime","Normal"),"Not Found")</f>
        <v>Normal</v>
      </c>
    </row>
    <row r="130" spans="1:3" x14ac:dyDescent="0.35">
      <c r="A130" s="59" t="str">
        <f>_xlfn.TEXTJOIN(" ",TRUE,Employees_Data[[#This Row],[First Name]],Employees_Data[[#This Row],[Last Name]])</f>
        <v>Jamal Alhalib</v>
      </c>
      <c r="B130" s="21">
        <v>74</v>
      </c>
      <c r="C130" s="60" t="str">
        <f>IFERROR(IF(Significant_Overtime[[#This Row],[Overtime Hours]]&gt;100,"High Overtime","Normal"),"Not Found")</f>
        <v>Normal</v>
      </c>
    </row>
    <row r="131" spans="1:3" x14ac:dyDescent="0.35">
      <c r="A131" s="59" t="str">
        <f>_xlfn.TEXTJOIN(" ",TRUE,Employees_Data[[#This Row],[First Name]],Employees_Data[[#This Row],[Last Name]])</f>
        <v>Suzan Alsawis</v>
      </c>
      <c r="B131" s="21">
        <v>2</v>
      </c>
      <c r="C131" s="60" t="str">
        <f>IFERROR(IF(Significant_Overtime[[#This Row],[Overtime Hours]]&gt;100,"High Overtime","Normal"),"Not Found")</f>
        <v>Normal</v>
      </c>
    </row>
    <row r="132" spans="1:3" x14ac:dyDescent="0.35">
      <c r="A132" s="59" t="str">
        <f>_xlfn.TEXTJOIN(" ",TRUE,Employees_Data[[#This Row],[First Name]],Employees_Data[[#This Row],[Last Name]])</f>
        <v>Alaa Efan</v>
      </c>
      <c r="B132" s="21">
        <v>1</v>
      </c>
      <c r="C132" s="60" t="str">
        <f>IFERROR(IF(Significant_Overtime[[#This Row],[Overtime Hours]]&gt;100,"High Overtime","Normal"),"Not Found")</f>
        <v>Normal</v>
      </c>
    </row>
    <row r="133" spans="1:3" x14ac:dyDescent="0.35">
      <c r="A133" s="59" t="str">
        <f>_xlfn.TEXTJOIN(" ",TRUE,Employees_Data[[#This Row],[First Name]],Employees_Data[[#This Row],[Last Name]])</f>
        <v>Jihad Aldarawasha</v>
      </c>
      <c r="B133" s="21">
        <v>1</v>
      </c>
      <c r="C133" s="60" t="str">
        <f>IFERROR(IF(Significant_Overtime[[#This Row],[Overtime Hours]]&gt;100,"High Overtime","Normal"),"Not Found")</f>
        <v>Normal</v>
      </c>
    </row>
    <row r="134" spans="1:3" x14ac:dyDescent="0.35">
      <c r="A134" s="59" t="str">
        <f>_xlfn.TEXTJOIN(" ",TRUE,Employees_Data[[#This Row],[First Name]],Employees_Data[[#This Row],[Last Name]])</f>
        <v>Muhamad Khalid</v>
      </c>
      <c r="B134" s="21">
        <v>10</v>
      </c>
      <c r="C134" s="60" t="str">
        <f>IFERROR(IF(Significant_Overtime[[#This Row],[Overtime Hours]]&gt;100,"High Overtime","Normal"),"Not Found")</f>
        <v>Normal</v>
      </c>
    </row>
    <row r="135" spans="1:3" x14ac:dyDescent="0.35">
      <c r="A135" s="59" t="str">
        <f>_xlfn.TEXTJOIN(" ",TRUE,Employees_Data[[#This Row],[First Name]],Employees_Data[[#This Row],[Last Name]])</f>
        <v>Haithim Hujah</v>
      </c>
      <c r="B135" s="21">
        <v>3</v>
      </c>
      <c r="C135" s="60" t="str">
        <f>IFERROR(IF(Significant_Overtime[[#This Row],[Overtime Hours]]&gt;100,"High Overtime","Normal"),"Not Found")</f>
        <v>Normal</v>
      </c>
    </row>
    <row r="136" spans="1:3" x14ac:dyDescent="0.35">
      <c r="A136" s="59" t="str">
        <f>_xlfn.TEXTJOIN(" ",TRUE,Employees_Data[[#This Row],[First Name]],Employees_Data[[#This Row],[Last Name]])</f>
        <v>Duhana Alakhris</v>
      </c>
      <c r="B136" s="21">
        <v>7</v>
      </c>
      <c r="C136" s="60" t="str">
        <f>IFERROR(IF(Significant_Overtime[[#This Row],[Overtime Hours]]&gt;100,"High Overtime","Normal"),"Not Found")</f>
        <v>Normal</v>
      </c>
    </row>
    <row r="137" spans="1:3" x14ac:dyDescent="0.35">
      <c r="A137" s="59" t="str">
        <f>_xlfn.TEXTJOIN(" ",TRUE,Employees_Data[[#This Row],[First Name]],Employees_Data[[#This Row],[Last Name]])</f>
        <v>Eazalidin Almala</v>
      </c>
      <c r="B137" s="21">
        <v>6</v>
      </c>
      <c r="C137" s="60" t="str">
        <f>IFERROR(IF(Significant_Overtime[[#This Row],[Overtime Hours]]&gt;100,"High Overtime","Normal"),"Not Found")</f>
        <v>Normal</v>
      </c>
    </row>
    <row r="138" spans="1:3" x14ac:dyDescent="0.35">
      <c r="A138" s="59" t="str">
        <f>_xlfn.TEXTJOIN(" ",TRUE,Employees_Data[[#This Row],[First Name]],Employees_Data[[#This Row],[Last Name]])</f>
        <v>Habib Klizli</v>
      </c>
      <c r="B138" s="21">
        <v>12</v>
      </c>
      <c r="C138" s="60" t="str">
        <f>IFERROR(IF(Significant_Overtime[[#This Row],[Overtime Hours]]&gt;100,"High Overtime","Normal"),"Not Found")</f>
        <v>Normal</v>
      </c>
    </row>
    <row r="139" spans="1:3" x14ac:dyDescent="0.35">
      <c r="A139" s="59" t="str">
        <f>_xlfn.TEXTJOIN(" ",TRUE,Employees_Data[[#This Row],[First Name]],Employees_Data[[#This Row],[Last Name]])</f>
        <v>Rasha Bajubuj</v>
      </c>
      <c r="B139" s="21">
        <v>15</v>
      </c>
      <c r="C139" s="60" t="str">
        <f>IFERROR(IF(Significant_Overtime[[#This Row],[Overtime Hours]]&gt;100,"High Overtime","Normal"),"Not Found")</f>
        <v>Normal</v>
      </c>
    </row>
    <row r="140" spans="1:3" x14ac:dyDescent="0.35">
      <c r="A140" s="59" t="str">
        <f>_xlfn.TEXTJOIN(" ",TRUE,Employees_Data[[#This Row],[First Name]],Employees_Data[[#This Row],[Last Name]])</f>
        <v>Mahir Albaghdadi</v>
      </c>
      <c r="B140" s="21">
        <v>0</v>
      </c>
      <c r="C140" s="60" t="str">
        <f>IFERROR(IF(Significant_Overtime[[#This Row],[Overtime Hours]]&gt;100,"High Overtime","Normal"),"Not Found")</f>
        <v>Normal</v>
      </c>
    </row>
    <row r="141" spans="1:3" x14ac:dyDescent="0.35">
      <c r="A141" s="59" t="str">
        <f>_xlfn.TEXTJOIN(" ",TRUE,Employees_Data[[#This Row],[First Name]],Employees_Data[[#This Row],[Last Name]])</f>
        <v>Alaa Almunzilijiu</v>
      </c>
      <c r="B141" s="21">
        <v>0</v>
      </c>
      <c r="C141" s="60" t="str">
        <f>IFERROR(IF(Significant_Overtime[[#This Row],[Overtime Hours]]&gt;100,"High Overtime","Normal"),"Not Found")</f>
        <v>Normal</v>
      </c>
    </row>
    <row r="142" spans="1:3" x14ac:dyDescent="0.35">
      <c r="A142" s="59" t="str">
        <f>_xlfn.TEXTJOIN(" ",TRUE,Employees_Data[[#This Row],[First Name]],Employees_Data[[#This Row],[Last Name]])</f>
        <v>Labanaa Qaziyha</v>
      </c>
      <c r="B142" s="21">
        <v>0</v>
      </c>
      <c r="C142" s="60" t="str">
        <f>IFERROR(IF(Significant_Overtime[[#This Row],[Overtime Hours]]&gt;100,"High Overtime","Normal"),"Not Found")</f>
        <v>Normal</v>
      </c>
    </row>
    <row r="143" spans="1:3" x14ac:dyDescent="0.35">
      <c r="A143" s="59" t="str">
        <f>_xlfn.TEXTJOIN(" ",TRUE,Employees_Data[[#This Row],[First Name]],Employees_Data[[#This Row],[Last Name]])</f>
        <v>Fatnh Abu</v>
      </c>
      <c r="B143" s="21">
        <v>2</v>
      </c>
      <c r="C143" s="60" t="str">
        <f>IFERROR(IF(Significant_Overtime[[#This Row],[Overtime Hours]]&gt;100,"High Overtime","Normal"),"Not Found")</f>
        <v>Normal</v>
      </c>
    </row>
    <row r="144" spans="1:3" x14ac:dyDescent="0.35">
      <c r="A144" s="59" t="str">
        <f>_xlfn.TEXTJOIN(" ",TRUE,Employees_Data[[#This Row],[First Name]],Employees_Data[[#This Row],[Last Name]])</f>
        <v>Iilyas Dahadal</v>
      </c>
      <c r="B144" s="21">
        <v>8</v>
      </c>
      <c r="C144" s="60" t="str">
        <f>IFERROR(IF(Significant_Overtime[[#This Row],[Overtime Hours]]&gt;100,"High Overtime","Normal"),"Not Found")</f>
        <v>Normal</v>
      </c>
    </row>
    <row r="145" spans="1:3" x14ac:dyDescent="0.35">
      <c r="A145" s="59" t="str">
        <f>_xlfn.TEXTJOIN(" ",TRUE,Employees_Data[[#This Row],[First Name]],Employees_Data[[#This Row],[Last Name]])</f>
        <v>Rim Huaydi</v>
      </c>
      <c r="B145" s="21">
        <v>6</v>
      </c>
      <c r="C145" s="60" t="str">
        <f>IFERROR(IF(Significant_Overtime[[#This Row],[Overtime Hours]]&gt;100,"High Overtime","Normal"),"Not Found")</f>
        <v>Normal</v>
      </c>
    </row>
    <row r="146" spans="1:3" x14ac:dyDescent="0.35">
      <c r="A146" s="59" t="str">
        <f>_xlfn.TEXTJOIN(" ",TRUE,Employees_Data[[#This Row],[First Name]],Employees_Data[[#This Row],[Last Name]])</f>
        <v>Ahmad Muhamad</v>
      </c>
      <c r="B146" s="21">
        <v>1</v>
      </c>
      <c r="C146" s="60" t="str">
        <f>IFERROR(IF(Significant_Overtime[[#This Row],[Overtime Hours]]&gt;100,"High Overtime","Normal"),"Not Found")</f>
        <v>Normal</v>
      </c>
    </row>
    <row r="147" spans="1:3" x14ac:dyDescent="0.35">
      <c r="A147" s="59" t="str">
        <f>_xlfn.TEXTJOIN(" ",TRUE,Employees_Data[[#This Row],[First Name]],Employees_Data[[#This Row],[Last Name]])</f>
        <v>Abd Alruhmin Almahrus</v>
      </c>
      <c r="B147" s="21">
        <v>3</v>
      </c>
      <c r="C147" s="60" t="str">
        <f>IFERROR(IF(Significant_Overtime[[#This Row],[Overtime Hours]]&gt;100,"High Overtime","Normal"),"Not Found")</f>
        <v>Normal</v>
      </c>
    </row>
    <row r="148" spans="1:3" x14ac:dyDescent="0.35">
      <c r="A148" s="59" t="str">
        <f>_xlfn.TEXTJOIN(" ",TRUE,Employees_Data[[#This Row],[First Name]],Employees_Data[[#This Row],[Last Name]])</f>
        <v>Biaism Tyzry</v>
      </c>
      <c r="B148" s="21">
        <v>8</v>
      </c>
      <c r="C148" s="60" t="str">
        <f>IFERROR(IF(Significant_Overtime[[#This Row],[Overtime Hours]]&gt;100,"High Overtime","Normal"),"Not Found")</f>
        <v>Normal</v>
      </c>
    </row>
    <row r="149" spans="1:3" x14ac:dyDescent="0.35">
      <c r="A149" s="59" t="str">
        <f>_xlfn.TEXTJOIN(" ",TRUE,Employees_Data[[#This Row],[First Name]],Employees_Data[[#This Row],[Last Name]])</f>
        <v>Omar Milatu</v>
      </c>
      <c r="B149" s="21">
        <v>2</v>
      </c>
      <c r="C149" s="60" t="str">
        <f>IFERROR(IF(Significant_Overtime[[#This Row],[Overtime Hours]]&gt;100,"High Overtime","Normal"),"Not Found")</f>
        <v>Normal</v>
      </c>
    </row>
    <row r="150" spans="1:3" x14ac:dyDescent="0.35">
      <c r="A150" s="59" t="str">
        <f>_xlfn.TEXTJOIN(" ",TRUE,Employees_Data[[#This Row],[First Name]],Employees_Data[[#This Row],[Last Name]])</f>
        <v>Alyida Nieamah</v>
      </c>
      <c r="B150" s="21">
        <v>2</v>
      </c>
      <c r="C150" s="60" t="str">
        <f>IFERROR(IF(Significant_Overtime[[#This Row],[Overtime Hours]]&gt;100,"High Overtime","Normal"),"Not Found")</f>
        <v>Normal</v>
      </c>
    </row>
    <row r="151" spans="1:3" x14ac:dyDescent="0.35">
      <c r="A151" s="59" t="str">
        <f>_xlfn.TEXTJOIN(" ",TRUE,Employees_Data[[#This Row],[First Name]],Employees_Data[[#This Row],[Last Name]])</f>
        <v>Kamal Hajl</v>
      </c>
      <c r="B151" s="21">
        <v>1</v>
      </c>
      <c r="C151" s="60" t="str">
        <f>IFERROR(IF(Significant_Overtime[[#This Row],[Overtime Hours]]&gt;100,"High Overtime","Normal"),"Not Found")</f>
        <v>Normal</v>
      </c>
    </row>
    <row r="152" spans="1:3" x14ac:dyDescent="0.35">
      <c r="A152" s="59" t="str">
        <f>_xlfn.TEXTJOIN(" ",TRUE,Employees_Data[[#This Row],[First Name]],Employees_Data[[#This Row],[Last Name]])</f>
        <v>Amjad Naghnagh</v>
      </c>
      <c r="B152" s="21">
        <v>23</v>
      </c>
      <c r="C152" s="60" t="str">
        <f>IFERROR(IF(Significant_Overtime[[#This Row],[Overtime Hours]]&gt;100,"High Overtime","Normal"),"Not Found")</f>
        <v>Normal</v>
      </c>
    </row>
    <row r="153" spans="1:3" x14ac:dyDescent="0.35">
      <c r="A153" s="59" t="str">
        <f>_xlfn.TEXTJOIN(" ",TRUE,Employees_Data[[#This Row],[First Name]],Employees_Data[[#This Row],[Last Name]])</f>
        <v>Iin Qisi</v>
      </c>
      <c r="B153" s="21">
        <v>54</v>
      </c>
      <c r="C153" s="60" t="str">
        <f>IFERROR(IF(Significant_Overtime[[#This Row],[Overtime Hours]]&gt;100,"High Overtime","Normal"),"Not Found")</f>
        <v>Normal</v>
      </c>
    </row>
    <row r="154" spans="1:3" x14ac:dyDescent="0.35">
      <c r="A154" s="59" t="str">
        <f>_xlfn.TEXTJOIN(" ",TRUE,Employees_Data[[#This Row],[First Name]],Employees_Data[[#This Row],[Last Name]])</f>
        <v>Basmah Alhabis</v>
      </c>
      <c r="B154" s="21">
        <v>3</v>
      </c>
      <c r="C154" s="60" t="str">
        <f>IFERROR(IF(Significant_Overtime[[#This Row],[Overtime Hours]]&gt;100,"High Overtime","Normal"),"Not Found")</f>
        <v>Normal</v>
      </c>
    </row>
    <row r="155" spans="1:3" x14ac:dyDescent="0.35">
      <c r="A155" s="59" t="str">
        <f>_xlfn.TEXTJOIN(" ",TRUE,Employees_Data[[#This Row],[First Name]],Employees_Data[[#This Row],[Last Name]])</f>
        <v>Eala Dahbur</v>
      </c>
      <c r="B155" s="21">
        <v>0</v>
      </c>
      <c r="C155" s="60" t="str">
        <f>IFERROR(IF(Significant_Overtime[[#This Row],[Overtime Hours]]&gt;100,"High Overtime","Normal"),"Not Found")</f>
        <v>Normal</v>
      </c>
    </row>
    <row r="156" spans="1:3" x14ac:dyDescent="0.35">
      <c r="A156" s="59" t="str">
        <f>_xlfn.TEXTJOIN(" ",TRUE,Employees_Data[[#This Row],[First Name]],Employees_Data[[#This Row],[Last Name]])</f>
        <v>Rwbyna Iibrahim</v>
      </c>
      <c r="B156" s="21">
        <v>8</v>
      </c>
      <c r="C156" s="60" t="str">
        <f>IFERROR(IF(Significant_Overtime[[#This Row],[Overtime Hours]]&gt;100,"High Overtime","Normal"),"Not Found")</f>
        <v>Normal</v>
      </c>
    </row>
    <row r="157" spans="1:3" x14ac:dyDescent="0.35">
      <c r="A157" s="59" t="str">
        <f>_xlfn.TEXTJOIN(" ",TRUE,Employees_Data[[#This Row],[First Name]],Employees_Data[[#This Row],[Last Name]])</f>
        <v>Tariq Salim</v>
      </c>
      <c r="B157" s="21">
        <v>10</v>
      </c>
      <c r="C157" s="60" t="str">
        <f>IFERROR(IF(Significant_Overtime[[#This Row],[Overtime Hours]]&gt;100,"High Overtime","Normal"),"Not Found")</f>
        <v>Normal</v>
      </c>
    </row>
    <row r="158" spans="1:3" x14ac:dyDescent="0.35">
      <c r="A158" s="59" t="str">
        <f>_xlfn.TEXTJOIN(" ",TRUE,Employees_Data[[#This Row],[First Name]],Employees_Data[[#This Row],[Last Name]])</f>
        <v>Basimah Sybea</v>
      </c>
      <c r="B158" s="21">
        <v>8</v>
      </c>
      <c r="C158" s="60" t="str">
        <f>IFERROR(IF(Significant_Overtime[[#This Row],[Overtime Hours]]&gt;100,"High Overtime","Normal"),"Not Found")</f>
        <v>Normal</v>
      </c>
    </row>
    <row r="159" spans="1:3" x14ac:dyDescent="0.35">
      <c r="A159" s="59" t="str">
        <f>_xlfn.TEXTJOIN(" ",TRUE,Employees_Data[[#This Row],[First Name]],Employees_Data[[#This Row],[Last Name]])</f>
        <v>Zunar Eali</v>
      </c>
      <c r="B159" s="21">
        <v>3</v>
      </c>
      <c r="C159" s="60" t="str">
        <f>IFERROR(IF(Significant_Overtime[[#This Row],[Overtime Hours]]&gt;100,"High Overtime","Normal"),"Not Found")</f>
        <v>Normal</v>
      </c>
    </row>
    <row r="160" spans="1:3" x14ac:dyDescent="0.35">
      <c r="A160" s="59" t="str">
        <f>_xlfn.TEXTJOIN(" ",TRUE,Employees_Data[[#This Row],[First Name]],Employees_Data[[#This Row],[Last Name]])</f>
        <v>Rim Mia</v>
      </c>
      <c r="B160" s="21">
        <v>9</v>
      </c>
      <c r="C160" s="60" t="str">
        <f>IFERROR(IF(Significant_Overtime[[#This Row],[Overtime Hours]]&gt;100,"High Overtime","Normal"),"Not Found")</f>
        <v>Normal</v>
      </c>
    </row>
    <row r="161" spans="1:3" x14ac:dyDescent="0.35">
      <c r="A161" s="59" t="str">
        <f>_xlfn.TEXTJOIN(" ",TRUE,Employees_Data[[#This Row],[First Name]],Employees_Data[[#This Row],[Last Name]])</f>
        <v>Lana Alhabash</v>
      </c>
      <c r="B161" s="21">
        <v>8</v>
      </c>
      <c r="C161" s="60" t="str">
        <f>IFERROR(IF(Significant_Overtime[[#This Row],[Overtime Hours]]&gt;100,"High Overtime","Normal"),"Not Found")</f>
        <v>Normal</v>
      </c>
    </row>
    <row r="162" spans="1:3" x14ac:dyDescent="0.35">
      <c r="A162" s="59" t="str">
        <f>_xlfn.TEXTJOIN(" ",TRUE,Employees_Data[[#This Row],[First Name]],Employees_Data[[#This Row],[Last Name]])</f>
        <v>Muhamad Alshghry</v>
      </c>
      <c r="B162" s="21">
        <v>13</v>
      </c>
      <c r="C162" s="60" t="str">
        <f>IFERROR(IF(Significant_Overtime[[#This Row],[Overtime Hours]]&gt;100,"High Overtime","Normal"),"Not Found")</f>
        <v>Normal</v>
      </c>
    </row>
    <row r="163" spans="1:3" x14ac:dyDescent="0.35">
      <c r="A163" s="59" t="str">
        <f>_xlfn.TEXTJOIN(" ",TRUE,Employees_Data[[#This Row],[First Name]],Employees_Data[[#This Row],[Last Name]])</f>
        <v>Ghazal Hisan</v>
      </c>
      <c r="B163" s="21">
        <v>9</v>
      </c>
      <c r="C163" s="60" t="str">
        <f>IFERROR(IF(Significant_Overtime[[#This Row],[Overtime Hours]]&gt;100,"High Overtime","Normal"),"Not Found")</f>
        <v>Normal</v>
      </c>
    </row>
    <row r="164" spans="1:3" x14ac:dyDescent="0.35">
      <c r="A164" s="59" t="str">
        <f>_xlfn.TEXTJOIN(" ",TRUE,Employees_Data[[#This Row],[First Name]],Employees_Data[[#This Row],[Last Name]])</f>
        <v>Khalil Alzaebii</v>
      </c>
      <c r="B164" s="21">
        <v>8</v>
      </c>
      <c r="C164" s="60" t="str">
        <f>IFERROR(IF(Significant_Overtime[[#This Row],[Overtime Hours]]&gt;100,"High Overtime","Normal"),"Not Found")</f>
        <v>Normal</v>
      </c>
    </row>
    <row r="165" spans="1:3" x14ac:dyDescent="0.35">
      <c r="A165" s="59" t="str">
        <f>_xlfn.TEXTJOIN(" ",TRUE,Employees_Data[[#This Row],[First Name]],Employees_Data[[#This Row],[Last Name]])</f>
        <v>Samir Shalish</v>
      </c>
      <c r="B165" s="21">
        <v>9</v>
      </c>
      <c r="C165" s="60" t="str">
        <f>IFERROR(IF(Significant_Overtime[[#This Row],[Overtime Hours]]&gt;100,"High Overtime","Normal"),"Not Found")</f>
        <v>Normal</v>
      </c>
    </row>
    <row r="166" spans="1:3" x14ac:dyDescent="0.35">
      <c r="A166" s="59" t="str">
        <f>_xlfn.TEXTJOIN(" ",TRUE,Employees_Data[[#This Row],[First Name]],Employees_Data[[#This Row],[Last Name]])</f>
        <v>Abdalmjid Ahmad</v>
      </c>
      <c r="B166" s="21">
        <v>15</v>
      </c>
      <c r="C166" s="60" t="str">
        <f>IFERROR(IF(Significant_Overtime[[#This Row],[Overtime Hours]]&gt;100,"High Overtime","Normal"),"Not Found")</f>
        <v>Normal</v>
      </c>
    </row>
    <row r="167" spans="1:3" x14ac:dyDescent="0.35">
      <c r="A167" s="59" t="str">
        <f>_xlfn.TEXTJOIN(" ",TRUE,Employees_Data[[#This Row],[First Name]],Employees_Data[[#This Row],[Last Name]])</f>
        <v>Emar Abil</v>
      </c>
      <c r="B167" s="21">
        <v>10</v>
      </c>
      <c r="C167" s="60" t="str">
        <f>IFERROR(IF(Significant_Overtime[[#This Row],[Overtime Hours]]&gt;100,"High Overtime","Normal"),"Not Found")</f>
        <v>Normal</v>
      </c>
    </row>
    <row r="168" spans="1:3" x14ac:dyDescent="0.35">
      <c r="A168" s="59" t="str">
        <f>_xlfn.TEXTJOIN(" ",TRUE,Employees_Data[[#This Row],[First Name]],Employees_Data[[#This Row],[Last Name]])</f>
        <v>Lamia Warur</v>
      </c>
      <c r="B168" s="21">
        <v>7</v>
      </c>
      <c r="C168" s="60" t="str">
        <f>IFERROR(IF(Significant_Overtime[[#This Row],[Overtime Hours]]&gt;100,"High Overtime","Normal"),"Not Found")</f>
        <v>Normal</v>
      </c>
    </row>
    <row r="169" spans="1:3" x14ac:dyDescent="0.35">
      <c r="A169" s="59" t="str">
        <f>_xlfn.TEXTJOIN(" ",TRUE,Employees_Data[[#This Row],[First Name]],Employees_Data[[#This Row],[Last Name]])</f>
        <v>Fyfian Abu</v>
      </c>
      <c r="B169" s="21">
        <v>4</v>
      </c>
      <c r="C169" s="60" t="str">
        <f>IFERROR(IF(Significant_Overtime[[#This Row],[Overtime Hours]]&gt;100,"High Overtime","Normal"),"Not Found")</f>
        <v>Normal</v>
      </c>
    </row>
    <row r="170" spans="1:3" x14ac:dyDescent="0.35">
      <c r="A170" s="59" t="str">
        <f>_xlfn.TEXTJOIN(" ",TRUE,Employees_Data[[#This Row],[First Name]],Employees_Data[[#This Row],[Last Name]])</f>
        <v>Majd Yasin</v>
      </c>
      <c r="B170" s="21">
        <v>9</v>
      </c>
      <c r="C170" s="60" t="str">
        <f>IFERROR(IF(Significant_Overtime[[#This Row],[Overtime Hours]]&gt;100,"High Overtime","Normal"),"Not Found")</f>
        <v>Normal</v>
      </c>
    </row>
    <row r="171" spans="1:3" x14ac:dyDescent="0.35">
      <c r="A171" s="59" t="str">
        <f>_xlfn.TEXTJOIN(" ",TRUE,Employees_Data[[#This Row],[First Name]],Employees_Data[[#This Row],[Last Name]])</f>
        <v>Alaa Almisri</v>
      </c>
      <c r="B171" s="21">
        <v>4</v>
      </c>
      <c r="C171" s="60" t="str">
        <f>IFERROR(IF(Significant_Overtime[[#This Row],[Overtime Hours]]&gt;100,"High Overtime","Normal"),"Not Found")</f>
        <v>Normal</v>
      </c>
    </row>
    <row r="172" spans="1:3" x14ac:dyDescent="0.35">
      <c r="A172" s="59" t="str">
        <f>_xlfn.TEXTJOIN(" ",TRUE,Employees_Data[[#This Row],[First Name]],Employees_Data[[#This Row],[Last Name]])</f>
        <v>Muhamad Amir</v>
      </c>
      <c r="B172" s="21">
        <v>2</v>
      </c>
      <c r="C172" s="60" t="str">
        <f>IFERROR(IF(Significant_Overtime[[#This Row],[Overtime Hours]]&gt;100,"High Overtime","Normal"),"Not Found")</f>
        <v>Normal</v>
      </c>
    </row>
    <row r="173" spans="1:3" x14ac:dyDescent="0.35">
      <c r="A173" s="59" t="str">
        <f>_xlfn.TEXTJOIN(" ",TRUE,Employees_Data[[#This Row],[First Name]],Employees_Data[[#This Row],[Last Name]])</f>
        <v>Lilas Balatah</v>
      </c>
      <c r="B173" s="21">
        <v>9</v>
      </c>
      <c r="C173" s="60" t="str">
        <f>IFERROR(IF(Significant_Overtime[[#This Row],[Overtime Hours]]&gt;100,"High Overtime","Normal"),"Not Found")</f>
        <v>Normal</v>
      </c>
    </row>
    <row r="174" spans="1:3" x14ac:dyDescent="0.35">
      <c r="A174" s="59" t="str">
        <f>_xlfn.TEXTJOIN(" ",TRUE,Employees_Data[[#This Row],[First Name]],Employees_Data[[#This Row],[Last Name]])</f>
        <v>Ruaa Mukiin</v>
      </c>
      <c r="B174" s="21">
        <v>18</v>
      </c>
      <c r="C174" s="60" t="str">
        <f>IFERROR(IF(Significant_Overtime[[#This Row],[Overtime Hours]]&gt;100,"High Overtime","Normal"),"Not Found")</f>
        <v>Normal</v>
      </c>
    </row>
    <row r="175" spans="1:3" x14ac:dyDescent="0.35">
      <c r="A175" s="59" t="str">
        <f>_xlfn.TEXTJOIN(" ",TRUE,Employees_Data[[#This Row],[First Name]],Employees_Data[[#This Row],[Last Name]])</f>
        <v>Rana Shaeban</v>
      </c>
      <c r="B175" s="21">
        <v>10</v>
      </c>
      <c r="C175" s="60" t="str">
        <f>IFERROR(IF(Significant_Overtime[[#This Row],[Overtime Hours]]&gt;100,"High Overtime","Normal"),"Not Found")</f>
        <v>Normal</v>
      </c>
    </row>
    <row r="176" spans="1:3" x14ac:dyDescent="0.35">
      <c r="A176" s="59" t="str">
        <f>_xlfn.TEXTJOIN(" ",TRUE,Employees_Data[[#This Row],[First Name]],Employees_Data[[#This Row],[Last Name]])</f>
        <v>Muwmin Ewad</v>
      </c>
      <c r="B176" s="21">
        <v>3</v>
      </c>
      <c r="C176" s="60" t="str">
        <f>IFERROR(IF(Significant_Overtime[[#This Row],[Overtime Hours]]&gt;100,"High Overtime","Normal"),"Not Found")</f>
        <v>Normal</v>
      </c>
    </row>
    <row r="177" spans="1:3" x14ac:dyDescent="0.35">
      <c r="A177" s="59" t="str">
        <f>_xlfn.TEXTJOIN(" ",TRUE,Employees_Data[[#This Row],[First Name]],Employees_Data[[#This Row],[Last Name]])</f>
        <v>Rahaf Alaleppoy</v>
      </c>
      <c r="B177" s="21">
        <v>6</v>
      </c>
      <c r="C177" s="60" t="str">
        <f>IFERROR(IF(Significant_Overtime[[#This Row],[Overtime Hours]]&gt;100,"High Overtime","Normal"),"Not Found")</f>
        <v>Normal</v>
      </c>
    </row>
    <row r="178" spans="1:3" x14ac:dyDescent="0.35">
      <c r="A178" s="59" t="str">
        <f>_xlfn.TEXTJOIN(" ",TRUE,Employees_Data[[#This Row],[First Name]],Employees_Data[[#This Row],[Last Name]])</f>
        <v>Samiah Alsaedi</v>
      </c>
      <c r="B178" s="21">
        <v>5</v>
      </c>
      <c r="C178" s="60" t="str">
        <f>IFERROR(IF(Significant_Overtime[[#This Row],[Overtime Hours]]&gt;100,"High Overtime","Normal"),"Not Found")</f>
        <v>Normal</v>
      </c>
    </row>
    <row r="179" spans="1:3" x14ac:dyDescent="0.35">
      <c r="A179" s="59" t="str">
        <f>_xlfn.TEXTJOIN(" ",TRUE,Employees_Data[[#This Row],[First Name]],Employees_Data[[#This Row],[Last Name]])</f>
        <v>Rim Hamdu</v>
      </c>
      <c r="B179" s="21">
        <v>3</v>
      </c>
      <c r="C179" s="60" t="str">
        <f>IFERROR(IF(Significant_Overtime[[#This Row],[Overtime Hours]]&gt;100,"High Overtime","Normal"),"Not Found")</f>
        <v>Normal</v>
      </c>
    </row>
    <row r="180" spans="1:3" x14ac:dyDescent="0.35">
      <c r="A180" s="59" t="str">
        <f>_xlfn.TEXTJOIN(" ",TRUE,Employees_Data[[#This Row],[First Name]],Employees_Data[[#This Row],[Last Name]])</f>
        <v>Aishah Alquatliu</v>
      </c>
      <c r="B180" s="21">
        <v>0</v>
      </c>
      <c r="C180" s="60" t="str">
        <f>IFERROR(IF(Significant_Overtime[[#This Row],[Overtime Hours]]&gt;100,"High Overtime","Normal"),"Not Found")</f>
        <v>Normal</v>
      </c>
    </row>
    <row r="181" spans="1:3" x14ac:dyDescent="0.35">
      <c r="A181" s="59" t="str">
        <f>_xlfn.TEXTJOIN(" ",TRUE,Employees_Data[[#This Row],[First Name]],Employees_Data[[#This Row],[Last Name]])</f>
        <v>Dany Albaba</v>
      </c>
      <c r="B181" s="21">
        <v>0</v>
      </c>
      <c r="C181" s="60" t="str">
        <f>IFERROR(IF(Significant_Overtime[[#This Row],[Overtime Hours]]&gt;100,"High Overtime","Normal"),"Not Found")</f>
        <v>Normal</v>
      </c>
    </row>
    <row r="182" spans="1:3" x14ac:dyDescent="0.35">
      <c r="A182" s="59" t="str">
        <f>_xlfn.TEXTJOIN(" ",TRUE,Employees_Data[[#This Row],[First Name]],Employees_Data[[#This Row],[Last Name]])</f>
        <v>Muhamad Rinkusi</v>
      </c>
      <c r="B182" s="21">
        <v>9</v>
      </c>
      <c r="C182" s="60" t="str">
        <f>IFERROR(IF(Significant_Overtime[[#This Row],[Overtime Hours]]&gt;100,"High Overtime","Normal"),"Not Found")</f>
        <v>Normal</v>
      </c>
    </row>
    <row r="183" spans="1:3" x14ac:dyDescent="0.35">
      <c r="A183" s="59" t="str">
        <f>_xlfn.TEXTJOIN(" ",TRUE,Employees_Data[[#This Row],[First Name]],Employees_Data[[#This Row],[Last Name]])</f>
        <v>Isam Jadid</v>
      </c>
      <c r="B183" s="21">
        <v>2</v>
      </c>
      <c r="C183" s="60" t="str">
        <f>IFERROR(IF(Significant_Overtime[[#This Row],[Overtime Hours]]&gt;100,"High Overtime","Normal"),"Not Found")</f>
        <v>Normal</v>
      </c>
    </row>
    <row r="184" spans="1:3" x14ac:dyDescent="0.35">
      <c r="A184" s="59" t="str">
        <f>_xlfn.TEXTJOIN(" ",TRUE,Employees_Data[[#This Row],[First Name]],Employees_Data[[#This Row],[Last Name]])</f>
        <v>Bushraa Drwysh</v>
      </c>
      <c r="B184" s="21">
        <v>8</v>
      </c>
      <c r="C184" s="60" t="str">
        <f>IFERROR(IF(Significant_Overtime[[#This Row],[Overtime Hours]]&gt;100,"High Overtime","Normal"),"Not Found")</f>
        <v>Normal</v>
      </c>
    </row>
    <row r="185" spans="1:3" x14ac:dyDescent="0.35">
      <c r="A185" s="59" t="str">
        <f>_xlfn.TEXTJOIN(" ",TRUE,Employees_Data[[#This Row],[First Name]],Employees_Data[[#This Row],[Last Name]])</f>
        <v>Zakarian Rashwani</v>
      </c>
      <c r="B185" s="21">
        <v>3</v>
      </c>
      <c r="C185" s="60" t="str">
        <f>IFERROR(IF(Significant_Overtime[[#This Row],[Overtime Hours]]&gt;100,"High Overtime","Normal"),"Not Found")</f>
        <v>Normal</v>
      </c>
    </row>
    <row r="186" spans="1:3" x14ac:dyDescent="0.35">
      <c r="A186" s="59" t="str">
        <f>_xlfn.TEXTJOIN(" ",TRUE,Employees_Data[[#This Row],[First Name]],Employees_Data[[#This Row],[Last Name]])</f>
        <v>Fadi Alqadi</v>
      </c>
      <c r="B186" s="21">
        <v>7</v>
      </c>
      <c r="C186" s="60" t="str">
        <f>IFERROR(IF(Significant_Overtime[[#This Row],[Overtime Hours]]&gt;100,"High Overtime","Normal"),"Not Found")</f>
        <v>Normal</v>
      </c>
    </row>
    <row r="187" spans="1:3" x14ac:dyDescent="0.35">
      <c r="A187" s="59" t="str">
        <f>_xlfn.TEXTJOIN(" ",TRUE,Employees_Data[[#This Row],[First Name]],Employees_Data[[#This Row],[Last Name]])</f>
        <v>Diea Almarstani</v>
      </c>
      <c r="B187" s="21">
        <v>0</v>
      </c>
      <c r="C187" s="60" t="str">
        <f>IFERROR(IF(Significant_Overtime[[#This Row],[Overtime Hours]]&gt;100,"High Overtime","Normal"),"Not Found")</f>
        <v>Normal</v>
      </c>
    </row>
    <row r="188" spans="1:3" x14ac:dyDescent="0.35">
      <c r="A188" s="59" t="str">
        <f>_xlfn.TEXTJOIN(" ",TRUE,Employees_Data[[#This Row],[First Name]],Employees_Data[[#This Row],[Last Name]])</f>
        <v>Muhamad Siedih</v>
      </c>
      <c r="B188" s="21">
        <v>5</v>
      </c>
      <c r="C188" s="60" t="str">
        <f>IFERROR(IF(Significant_Overtime[[#This Row],[Overtime Hours]]&gt;100,"High Overtime","Normal"),"Not Found")</f>
        <v>Normal</v>
      </c>
    </row>
    <row r="189" spans="1:3" x14ac:dyDescent="0.35">
      <c r="A189" s="59" t="str">
        <f>_xlfn.TEXTJOIN(" ",TRUE,Employees_Data[[#This Row],[First Name]],Employees_Data[[#This Row],[Last Name]])</f>
        <v>Bisam Almisri</v>
      </c>
      <c r="B189" s="21">
        <v>1</v>
      </c>
      <c r="C189" s="60" t="str">
        <f>IFERROR(IF(Significant_Overtime[[#This Row],[Overtime Hours]]&gt;100,"High Overtime","Normal"),"Not Found")</f>
        <v>Normal</v>
      </c>
    </row>
    <row r="190" spans="1:3" x14ac:dyDescent="0.35">
      <c r="A190" s="59" t="str">
        <f>_xlfn.TEXTJOIN(" ",TRUE,Employees_Data[[#This Row],[First Name]],Employees_Data[[#This Row],[Last Name]])</f>
        <v>Muhamad Alkhatib</v>
      </c>
      <c r="B190" s="21">
        <v>10</v>
      </c>
      <c r="C190" s="60" t="str">
        <f>IFERROR(IF(Significant_Overtime[[#This Row],[Overtime Hours]]&gt;100,"High Overtime","Normal"),"Not Found")</f>
        <v>Normal</v>
      </c>
    </row>
    <row r="191" spans="1:3" x14ac:dyDescent="0.35">
      <c r="A191" s="59" t="str">
        <f>_xlfn.TEXTJOIN(" ",TRUE,Employees_Data[[#This Row],[First Name]],Employees_Data[[#This Row],[Last Name]])</f>
        <v>Muhamad Rghid</v>
      </c>
      <c r="B191" s="21">
        <v>2</v>
      </c>
      <c r="C191" s="60" t="str">
        <f>IFERROR(IF(Significant_Overtime[[#This Row],[Overtime Hours]]&gt;100,"High Overtime","Normal"),"Not Found")</f>
        <v>Normal</v>
      </c>
    </row>
    <row r="192" spans="1:3" x14ac:dyDescent="0.35">
      <c r="A192" s="59" t="str">
        <f>_xlfn.TEXTJOIN(" ",TRUE,Employees_Data[[#This Row],[First Name]],Employees_Data[[#This Row],[Last Name]])</f>
        <v>Omar Shakir</v>
      </c>
      <c r="B192" s="21">
        <v>23</v>
      </c>
      <c r="C192" s="60" t="str">
        <f>IFERROR(IF(Significant_Overtime[[#This Row],[Overtime Hours]]&gt;100,"High Overtime","Normal"),"Not Found")</f>
        <v>Normal</v>
      </c>
    </row>
    <row r="193" spans="1:3" x14ac:dyDescent="0.35">
      <c r="A193" s="59" t="str">
        <f>_xlfn.TEXTJOIN(" ",TRUE,Employees_Data[[#This Row],[First Name]],Employees_Data[[#This Row],[Last Name]])</f>
        <v>Aryj Hamada</v>
      </c>
      <c r="B193" s="21">
        <v>8</v>
      </c>
      <c r="C193" s="60" t="str">
        <f>IFERROR(IF(Significant_Overtime[[#This Row],[Overtime Hours]]&gt;100,"High Overtime","Normal"),"Not Found")</f>
        <v>Normal</v>
      </c>
    </row>
    <row r="194" spans="1:3" x14ac:dyDescent="0.35">
      <c r="A194" s="59" t="str">
        <f>_xlfn.TEXTJOIN(" ",TRUE,Employees_Data[[#This Row],[First Name]],Employees_Data[[#This Row],[Last Name]])</f>
        <v>Madlin Saeid</v>
      </c>
      <c r="B194" s="21">
        <v>9</v>
      </c>
      <c r="C194" s="60" t="str">
        <f>IFERROR(IF(Significant_Overtime[[#This Row],[Overtime Hours]]&gt;100,"High Overtime","Normal"),"Not Found")</f>
        <v>Normal</v>
      </c>
    </row>
    <row r="195" spans="1:3" x14ac:dyDescent="0.35">
      <c r="A195" s="59" t="str">
        <f>_xlfn.TEXTJOIN(" ",TRUE,Employees_Data[[#This Row],[First Name]],Employees_Data[[#This Row],[Last Name]])</f>
        <v>Rybal Sabagh</v>
      </c>
      <c r="B195" s="21">
        <v>3</v>
      </c>
      <c r="C195" s="60" t="str">
        <f>IFERROR(IF(Significant_Overtime[[#This Row],[Overtime Hours]]&gt;100,"High Overtime","Normal"),"Not Found")</f>
        <v>Normal</v>
      </c>
    </row>
    <row r="196" spans="1:3" x14ac:dyDescent="0.35">
      <c r="A196" s="59" t="str">
        <f>_xlfn.TEXTJOIN(" ",TRUE,Employees_Data[[#This Row],[First Name]],Employees_Data[[#This Row],[Last Name]])</f>
        <v>Samar Alqutb</v>
      </c>
      <c r="B196" s="21">
        <v>9</v>
      </c>
      <c r="C196" s="60" t="str">
        <f>IFERROR(IF(Significant_Overtime[[#This Row],[Overtime Hours]]&gt;100,"High Overtime","Normal"),"Not Found")</f>
        <v>Normal</v>
      </c>
    </row>
    <row r="197" spans="1:3" x14ac:dyDescent="0.35">
      <c r="A197" s="59" t="str">
        <f>_xlfn.TEXTJOIN(" ",TRUE,Employees_Data[[#This Row],[First Name]],Employees_Data[[#This Row],[Last Name]])</f>
        <v>Eala Murad</v>
      </c>
      <c r="B197" s="21">
        <v>4</v>
      </c>
      <c r="C197" s="60" t="str">
        <f>IFERROR(IF(Significant_Overtime[[#This Row],[Overtime Hours]]&gt;100,"High Overtime","Normal"),"Not Found")</f>
        <v>Normal</v>
      </c>
    </row>
    <row r="198" spans="1:3" x14ac:dyDescent="0.35">
      <c r="A198" s="59" t="str">
        <f>_xlfn.TEXTJOIN(" ",TRUE,Employees_Data[[#This Row],[First Name]],Employees_Data[[#This Row],[Last Name]])</f>
        <v>Ahmad Salih</v>
      </c>
      <c r="B198" s="21">
        <v>0</v>
      </c>
      <c r="C198" s="60" t="str">
        <f>IFERROR(IF(Significant_Overtime[[#This Row],[Overtime Hours]]&gt;100,"High Overtime","Normal"),"Not Found")</f>
        <v>Normal</v>
      </c>
    </row>
    <row r="199" spans="1:3" x14ac:dyDescent="0.35">
      <c r="A199" s="59" t="str">
        <f>_xlfn.TEXTJOIN(" ",TRUE,Employees_Data[[#This Row],[First Name]],Employees_Data[[#This Row],[Last Name]])</f>
        <v>Ibrahim Alhamid</v>
      </c>
      <c r="B199" s="21">
        <v>68</v>
      </c>
      <c r="C199" s="60" t="str">
        <f>IFERROR(IF(Significant_Overtime[[#This Row],[Overtime Hours]]&gt;100,"High Overtime","Normal"),"Not Found")</f>
        <v>Normal</v>
      </c>
    </row>
    <row r="200" spans="1:3" x14ac:dyDescent="0.35">
      <c r="A200" s="59" t="str">
        <f>_xlfn.TEXTJOIN(" ",TRUE,Employees_Data[[#This Row],[First Name]],Employees_Data[[#This Row],[Last Name]])</f>
        <v>Muhamad Alziyat</v>
      </c>
      <c r="B200" s="21">
        <v>1</v>
      </c>
      <c r="C200" s="60" t="str">
        <f>IFERROR(IF(Significant_Overtime[[#This Row],[Overtime Hours]]&gt;100,"High Overtime","Normal"),"Not Found")</f>
        <v>Normal</v>
      </c>
    </row>
    <row r="201" spans="1:3" x14ac:dyDescent="0.35">
      <c r="A201" s="59" t="str">
        <f>_xlfn.TEXTJOIN(" ",TRUE,Employees_Data[[#This Row],[First Name]],Employees_Data[[#This Row],[Last Name]])</f>
        <v>Ali Nhl</v>
      </c>
      <c r="B201" s="21">
        <v>7</v>
      </c>
      <c r="C201" s="60" t="str">
        <f>IFERROR(IF(Significant_Overtime[[#This Row],[Overtime Hours]]&gt;100,"High Overtime","Normal"),"Not Found")</f>
        <v>Normal</v>
      </c>
    </row>
    <row r="202" spans="1:3" x14ac:dyDescent="0.35">
      <c r="A202" s="59" t="str">
        <f>_xlfn.TEXTJOIN(" ",TRUE,Employees_Data[[#This Row],[First Name]],Employees_Data[[#This Row],[Last Name]])</f>
        <v>Saed Alsiyah</v>
      </c>
      <c r="B202" s="21">
        <v>8</v>
      </c>
      <c r="C202" s="60" t="str">
        <f>IFERROR(IF(Significant_Overtime[[#This Row],[Overtime Hours]]&gt;100,"High Overtime","Normal"),"Not Found")</f>
        <v>Normal</v>
      </c>
    </row>
    <row r="203" spans="1:3" x14ac:dyDescent="0.35">
      <c r="A203" s="59" t="str">
        <f>_xlfn.TEXTJOIN(" ",TRUE,Employees_Data[[#This Row],[First Name]],Employees_Data[[#This Row],[Last Name]])</f>
        <v>Majdy Rafaea</v>
      </c>
      <c r="B203" s="21">
        <v>10</v>
      </c>
      <c r="C203" s="60" t="str">
        <f>IFERROR(IF(Significant_Overtime[[#This Row],[Overtime Hours]]&gt;100,"High Overtime","Normal"),"Not Found")</f>
        <v>Normal</v>
      </c>
    </row>
    <row r="204" spans="1:3" x14ac:dyDescent="0.35">
      <c r="A204" s="59" t="str">
        <f>_xlfn.TEXTJOIN(" ",TRUE,Employees_Data[[#This Row],[First Name]],Employees_Data[[#This Row],[Last Name]])</f>
        <v>Ihsan Eazu</v>
      </c>
      <c r="B204" s="21">
        <v>9</v>
      </c>
      <c r="C204" s="60" t="str">
        <f>IFERROR(IF(Significant_Overtime[[#This Row],[Overtime Hours]]&gt;100,"High Overtime","Normal"),"Not Found")</f>
        <v>Normal</v>
      </c>
    </row>
    <row r="205" spans="1:3" x14ac:dyDescent="0.35">
      <c r="A205" s="59" t="str">
        <f>_xlfn.TEXTJOIN(" ",TRUE,Employees_Data[[#This Row],[First Name]],Employees_Data[[#This Row],[Last Name]])</f>
        <v>Iad Alshaykh</v>
      </c>
      <c r="B205" s="21">
        <v>73</v>
      </c>
      <c r="C205" s="60" t="str">
        <f>IFERROR(IF(Significant_Overtime[[#This Row],[Overtime Hours]]&gt;100,"High Overtime","Normal"),"Not Found")</f>
        <v>Normal</v>
      </c>
    </row>
    <row r="206" spans="1:3" x14ac:dyDescent="0.35">
      <c r="A206" s="59" t="str">
        <f>_xlfn.TEXTJOIN(" ",TRUE,Employees_Data[[#This Row],[First Name]],Employees_Data[[#This Row],[Last Name]])</f>
        <v>Bara Alrrashid</v>
      </c>
      <c r="B206" s="21">
        <v>8</v>
      </c>
      <c r="C206" s="60" t="str">
        <f>IFERROR(IF(Significant_Overtime[[#This Row],[Overtime Hours]]&gt;100,"High Overtime","Normal"),"Not Found")</f>
        <v>Normal</v>
      </c>
    </row>
    <row r="207" spans="1:3" x14ac:dyDescent="0.35">
      <c r="A207" s="59" t="str">
        <f>_xlfn.TEXTJOIN(" ",TRUE,Employees_Data[[#This Row],[First Name]],Employees_Data[[#This Row],[Last Name]])</f>
        <v>Fadi Nuna</v>
      </c>
      <c r="B207" s="21">
        <v>5</v>
      </c>
      <c r="C207" s="60" t="str">
        <f>IFERROR(IF(Significant_Overtime[[#This Row],[Overtime Hours]]&gt;100,"High Overtime","Normal"),"Not Found")</f>
        <v>Normal</v>
      </c>
    </row>
    <row r="208" spans="1:3" x14ac:dyDescent="0.35">
      <c r="A208" s="59" t="str">
        <f>_xlfn.TEXTJOIN(" ",TRUE,Employees_Data[[#This Row],[First Name]],Employees_Data[[#This Row],[Last Name]])</f>
        <v>Muhamad Salah</v>
      </c>
      <c r="B208" s="21">
        <v>13</v>
      </c>
      <c r="C208" s="60" t="str">
        <f>IFERROR(IF(Significant_Overtime[[#This Row],[Overtime Hours]]&gt;100,"High Overtime","Normal"),"Not Found")</f>
        <v>Normal</v>
      </c>
    </row>
    <row r="209" spans="1:3" x14ac:dyDescent="0.35">
      <c r="A209" s="59" t="str">
        <f>_xlfn.TEXTJOIN(" ",TRUE,Employees_Data[[#This Row],[First Name]],Employees_Data[[#This Row],[Last Name]])</f>
        <v>Bima Mustafaa</v>
      </c>
      <c r="B209" s="21">
        <v>1</v>
      </c>
      <c r="C209" s="60" t="str">
        <f>IFERROR(IF(Significant_Overtime[[#This Row],[Overtime Hours]]&gt;100,"High Overtime","Normal"),"Not Found")</f>
        <v>Normal</v>
      </c>
    </row>
    <row r="210" spans="1:3" x14ac:dyDescent="0.35">
      <c r="A210" s="59" t="str">
        <f>_xlfn.TEXTJOIN(" ",TRUE,Employees_Data[[#This Row],[First Name]],Employees_Data[[#This Row],[Last Name]])</f>
        <v>Husam Abu Shwmr</v>
      </c>
      <c r="B210" s="21">
        <v>0</v>
      </c>
      <c r="C210" s="60" t="str">
        <f>IFERROR(IF(Significant_Overtime[[#This Row],[Overtime Hours]]&gt;100,"High Overtime","Normal"),"Not Found")</f>
        <v>Normal</v>
      </c>
    </row>
    <row r="211" spans="1:3" x14ac:dyDescent="0.35">
      <c r="A211" s="59" t="str">
        <f>_xlfn.TEXTJOIN(" ",TRUE,Employees_Data[[#This Row],[First Name]],Employees_Data[[#This Row],[Last Name]])</f>
        <v>Abdalrahmin Turkmany</v>
      </c>
      <c r="B211" s="21">
        <v>6</v>
      </c>
      <c r="C211" s="60" t="str">
        <f>IFERROR(IF(Significant_Overtime[[#This Row],[Overtime Hours]]&gt;100,"High Overtime","Normal"),"Not Found")</f>
        <v>Normal</v>
      </c>
    </row>
    <row r="212" spans="1:3" x14ac:dyDescent="0.35">
      <c r="A212" s="59" t="str">
        <f>_xlfn.TEXTJOIN(" ",TRUE,Employees_Data[[#This Row],[First Name]],Employees_Data[[#This Row],[Last Name]])</f>
        <v>Majdulyn Alhakim</v>
      </c>
      <c r="B212" s="21">
        <v>10</v>
      </c>
      <c r="C212" s="60" t="str">
        <f>IFERROR(IF(Significant_Overtime[[#This Row],[Overtime Hours]]&gt;100,"High Overtime","Normal"),"Not Found")</f>
        <v>Normal</v>
      </c>
    </row>
    <row r="213" spans="1:3" x14ac:dyDescent="0.35">
      <c r="A213" s="59" t="str">
        <f>_xlfn.TEXTJOIN(" ",TRUE,Employees_Data[[#This Row],[First Name]],Employees_Data[[#This Row],[Last Name]])</f>
        <v>Ahmad Abu Jaysh</v>
      </c>
      <c r="B213" s="21">
        <v>87</v>
      </c>
      <c r="C213" s="60" t="str">
        <f>IFERROR(IF(Significant_Overtime[[#This Row],[Overtime Hours]]&gt;100,"High Overtime","Normal"),"Not Found")</f>
        <v>Normal</v>
      </c>
    </row>
    <row r="214" spans="1:3" x14ac:dyDescent="0.35">
      <c r="A214" s="59" t="str">
        <f>_xlfn.TEXTJOIN(" ",TRUE,Employees_Data[[#This Row],[First Name]],Employees_Data[[#This Row],[Last Name]])</f>
        <v>Majid Aleusud</v>
      </c>
      <c r="B214" s="21">
        <v>7</v>
      </c>
      <c r="C214" s="60" t="str">
        <f>IFERROR(IF(Significant_Overtime[[#This Row],[Overtime Hours]]&gt;100,"High Overtime","Normal"),"Not Found")</f>
        <v>Normal</v>
      </c>
    </row>
    <row r="215" spans="1:3" x14ac:dyDescent="0.35">
      <c r="A215" s="59" t="str">
        <f>_xlfn.TEXTJOIN(" ",TRUE,Employees_Data[[#This Row],[First Name]],Employees_Data[[#This Row],[Last Name]])</f>
        <v>Bashshar Shakhashiru</v>
      </c>
      <c r="B215" s="21">
        <v>11</v>
      </c>
      <c r="C215" s="60" t="str">
        <f>IFERROR(IF(Significant_Overtime[[#This Row],[Overtime Hours]]&gt;100,"High Overtime","Normal"),"Not Found")</f>
        <v>Normal</v>
      </c>
    </row>
    <row r="216" spans="1:3" x14ac:dyDescent="0.35">
      <c r="A216" s="59" t="str">
        <f>_xlfn.TEXTJOIN(" ",TRUE,Employees_Data[[#This Row],[First Name]],Employees_Data[[#This Row],[Last Name]])</f>
        <v>Malik Alshaykh</v>
      </c>
      <c r="B216" s="21">
        <v>0</v>
      </c>
      <c r="C216" s="60" t="str">
        <f>IFERROR(IF(Significant_Overtime[[#This Row],[Overtime Hours]]&gt;100,"High Overtime","Normal"),"Not Found")</f>
        <v>Normal</v>
      </c>
    </row>
    <row r="217" spans="1:3" x14ac:dyDescent="0.35">
      <c r="A217" s="59" t="str">
        <f>_xlfn.TEXTJOIN(" ",TRUE,Employees_Data[[#This Row],[First Name]],Employees_Data[[#This Row],[Last Name]])</f>
        <v>Omar Zarzur</v>
      </c>
      <c r="B217" s="21">
        <v>7</v>
      </c>
      <c r="C217" s="60" t="str">
        <f>IFERROR(IF(Significant_Overtime[[#This Row],[Overtime Hours]]&gt;100,"High Overtime","Normal"),"Not Found")</f>
        <v>Normal</v>
      </c>
    </row>
    <row r="218" spans="1:3" x14ac:dyDescent="0.35">
      <c r="A218" s="59" t="str">
        <f>_xlfn.TEXTJOIN(" ",TRUE,Employees_Data[[#This Row],[First Name]],Employees_Data[[#This Row],[Last Name]])</f>
        <v>Hasan Iismaeil</v>
      </c>
      <c r="B218" s="21">
        <v>0</v>
      </c>
      <c r="C218" s="60" t="str">
        <f>IFERROR(IF(Significant_Overtime[[#This Row],[Overtime Hours]]&gt;100,"High Overtime","Normal"),"Not Found")</f>
        <v>Normal</v>
      </c>
    </row>
    <row r="219" spans="1:3" x14ac:dyDescent="0.35">
      <c r="A219" s="59" t="str">
        <f>_xlfn.TEXTJOIN(" ",TRUE,Employees_Data[[#This Row],[First Name]],Employees_Data[[#This Row],[Last Name]])</f>
        <v>Husayn Abu Nasir</v>
      </c>
      <c r="B219" s="21">
        <v>1</v>
      </c>
      <c r="C219" s="60" t="str">
        <f>IFERROR(IF(Significant_Overtime[[#This Row],[Overtime Hours]]&gt;100,"High Overtime","Normal"),"Not Found")</f>
        <v>Normal</v>
      </c>
    </row>
    <row r="220" spans="1:3" x14ac:dyDescent="0.35">
      <c r="A220" s="59" t="str">
        <f>_xlfn.TEXTJOIN(" ",TRUE,Employees_Data[[#This Row],[First Name]],Employees_Data[[#This Row],[Last Name]])</f>
        <v>Mazin Earabi</v>
      </c>
      <c r="B220" s="21">
        <v>0</v>
      </c>
      <c r="C220" s="60" t="str">
        <f>IFERROR(IF(Significant_Overtime[[#This Row],[Overtime Hours]]&gt;100,"High Overtime","Normal"),"Not Found")</f>
        <v>Normal</v>
      </c>
    </row>
    <row r="221" spans="1:3" x14ac:dyDescent="0.35">
      <c r="A221" s="59" t="str">
        <f>_xlfn.TEXTJOIN(" ",TRUE,Employees_Data[[#This Row],[First Name]],Employees_Data[[#This Row],[Last Name]])</f>
        <v>Zahir Eisaa</v>
      </c>
      <c r="B221" s="21">
        <v>10</v>
      </c>
      <c r="C221" s="60" t="str">
        <f>IFERROR(IF(Significant_Overtime[[#This Row],[Overtime Hours]]&gt;100,"High Overtime","Normal"),"Not Found")</f>
        <v>Normal</v>
      </c>
    </row>
    <row r="222" spans="1:3" x14ac:dyDescent="0.35">
      <c r="A222" s="59" t="str">
        <f>_xlfn.TEXTJOIN(" ",TRUE,Employees_Data[[#This Row],[First Name]],Employees_Data[[#This Row],[Last Name]])</f>
        <v>Lama Sabiq</v>
      </c>
      <c r="B222" s="21">
        <v>4</v>
      </c>
      <c r="C222" s="60" t="str">
        <f>IFERROR(IF(Significant_Overtime[[#This Row],[Overtime Hours]]&gt;100,"High Overtime","Normal"),"Not Found")</f>
        <v>Normal</v>
      </c>
    </row>
    <row r="223" spans="1:3" x14ac:dyDescent="0.35">
      <c r="A223" s="59" t="str">
        <f>_xlfn.TEXTJOIN(" ",TRUE,Employees_Data[[#This Row],[First Name]],Employees_Data[[#This Row],[Last Name]])</f>
        <v>Tariq Dw</v>
      </c>
      <c r="B223" s="21">
        <v>12</v>
      </c>
      <c r="C223" s="60" t="str">
        <f>IFERROR(IF(Significant_Overtime[[#This Row],[Overtime Hours]]&gt;100,"High Overtime","Normal"),"Not Found")</f>
        <v>Normal</v>
      </c>
    </row>
    <row r="224" spans="1:3" x14ac:dyDescent="0.35">
      <c r="A224" s="59" t="str">
        <f>_xlfn.TEXTJOIN(" ",TRUE,Employees_Data[[#This Row],[First Name]],Employees_Data[[#This Row],[Last Name]])</f>
        <v>Jawaher Shaykhus</v>
      </c>
      <c r="B224" s="21">
        <v>2</v>
      </c>
      <c r="C224" s="60" t="str">
        <f>IFERROR(IF(Significant_Overtime[[#This Row],[Overtime Hours]]&gt;100,"High Overtime","Normal"),"Not Found")</f>
        <v>Normal</v>
      </c>
    </row>
    <row r="225" spans="1:3" x14ac:dyDescent="0.35">
      <c r="A225" s="59" t="str">
        <f>_xlfn.TEXTJOIN(" ",TRUE,Employees_Data[[#This Row],[First Name]],Employees_Data[[#This Row],[Last Name]])</f>
        <v>Emam Mansur</v>
      </c>
      <c r="B225" s="21">
        <v>10</v>
      </c>
      <c r="C225" s="60" t="str">
        <f>IFERROR(IF(Significant_Overtime[[#This Row],[Overtime Hours]]&gt;100,"High Overtime","Normal"),"Not Found")</f>
        <v>Normal</v>
      </c>
    </row>
    <row r="226" spans="1:3" x14ac:dyDescent="0.35">
      <c r="A226" s="59" t="str">
        <f>_xlfn.TEXTJOIN(" ",TRUE,Employees_Data[[#This Row],[First Name]],Employees_Data[[#This Row],[Last Name]])</f>
        <v>Muhamad Bulta</v>
      </c>
      <c r="B226" s="21">
        <v>64</v>
      </c>
      <c r="C226" s="60" t="str">
        <f>IFERROR(IF(Significant_Overtime[[#This Row],[Overtime Hours]]&gt;100,"High Overtime","Normal"),"Not Found")</f>
        <v>Normal</v>
      </c>
    </row>
    <row r="227" spans="1:3" x14ac:dyDescent="0.35">
      <c r="A227" s="59" t="str">
        <f>_xlfn.TEXTJOIN(" ",TRUE,Employees_Data[[#This Row],[First Name]],Employees_Data[[#This Row],[Last Name]])</f>
        <v>Fatin Hamshu</v>
      </c>
      <c r="B227" s="21">
        <v>8</v>
      </c>
      <c r="C227" s="60" t="str">
        <f>IFERROR(IF(Significant_Overtime[[#This Row],[Overtime Hours]]&gt;100,"High Overtime","Normal"),"Not Found")</f>
        <v>Normal</v>
      </c>
    </row>
    <row r="228" spans="1:3" x14ac:dyDescent="0.35">
      <c r="A228" s="59" t="str">
        <f>_xlfn.TEXTJOIN(" ",TRUE,Employees_Data[[#This Row],[First Name]],Employees_Data[[#This Row],[Last Name]])</f>
        <v>Abd Alruhmin Alnasar</v>
      </c>
      <c r="B228" s="21">
        <v>7</v>
      </c>
      <c r="C228" s="60" t="str">
        <f>IFERROR(IF(Significant_Overtime[[#This Row],[Overtime Hours]]&gt;100,"High Overtime","Normal"),"Not Found")</f>
        <v>Normal</v>
      </c>
    </row>
    <row r="229" spans="1:3" x14ac:dyDescent="0.35">
      <c r="A229" s="59" t="str">
        <f>_xlfn.TEXTJOIN(" ",TRUE,Employees_Data[[#This Row],[First Name]],Employees_Data[[#This Row],[Last Name]])</f>
        <v>Fatin Red</v>
      </c>
      <c r="B229" s="21">
        <v>16</v>
      </c>
      <c r="C229" s="60" t="str">
        <f>IFERROR(IF(Significant_Overtime[[#This Row],[Overtime Hours]]&gt;100,"High Overtime","Normal"),"Not Found")</f>
        <v>Normal</v>
      </c>
    </row>
    <row r="230" spans="1:3" x14ac:dyDescent="0.35">
      <c r="A230" s="59" t="str">
        <f>_xlfn.TEXTJOIN(" ",TRUE,Employees_Data[[#This Row],[First Name]],Employees_Data[[#This Row],[Last Name]])</f>
        <v>Ali Muhamad</v>
      </c>
      <c r="B230" s="21">
        <v>7</v>
      </c>
      <c r="C230" s="60" t="str">
        <f>IFERROR(IF(Significant_Overtime[[#This Row],[Overtime Hours]]&gt;100,"High Overtime","Normal"),"Not Found")</f>
        <v>Normal</v>
      </c>
    </row>
    <row r="231" spans="1:3" x14ac:dyDescent="0.35">
      <c r="A231" s="59" t="str">
        <f>_xlfn.TEXTJOIN(" ",TRUE,Employees_Data[[#This Row],[First Name]],Employees_Data[[#This Row],[Last Name]])</f>
        <v>Rima Dwalyby</v>
      </c>
      <c r="B231" s="21">
        <v>7</v>
      </c>
      <c r="C231" s="60" t="str">
        <f>IFERROR(IF(Significant_Overtime[[#This Row],[Overtime Hours]]&gt;100,"High Overtime","Normal"),"Not Found")</f>
        <v>Normal</v>
      </c>
    </row>
    <row r="232" spans="1:3" x14ac:dyDescent="0.35">
      <c r="A232" s="59" t="str">
        <f>_xlfn.TEXTJOIN(" ",TRUE,Employees_Data[[#This Row],[First Name]],Employees_Data[[#This Row],[Last Name]])</f>
        <v>Basil Musaa</v>
      </c>
      <c r="B232" s="21">
        <v>4</v>
      </c>
      <c r="C232" s="60" t="str">
        <f>IFERROR(IF(Significant_Overtime[[#This Row],[Overtime Hours]]&gt;100,"High Overtime","Normal"),"Not Found")</f>
        <v>Normal</v>
      </c>
    </row>
    <row r="233" spans="1:3" x14ac:dyDescent="0.35">
      <c r="A233" s="59" t="str">
        <f>_xlfn.TEXTJOIN(" ",TRUE,Employees_Data[[#This Row],[First Name]],Employees_Data[[#This Row],[Last Name]])</f>
        <v>Antuan Litansdurfr</v>
      </c>
      <c r="B233" s="21">
        <v>2</v>
      </c>
      <c r="C233" s="60" t="str">
        <f>IFERROR(IF(Significant_Overtime[[#This Row],[Overtime Hours]]&gt;100,"High Overtime","Normal"),"Not Found")</f>
        <v>Normal</v>
      </c>
    </row>
    <row r="234" spans="1:3" x14ac:dyDescent="0.35">
      <c r="A234" s="59" t="str">
        <f>_xlfn.TEXTJOIN(" ",TRUE,Employees_Data[[#This Row],[First Name]],Employees_Data[[#This Row],[Last Name]])</f>
        <v>Rashad Iidris</v>
      </c>
      <c r="B234" s="21">
        <v>10</v>
      </c>
      <c r="C234" s="60" t="str">
        <f>IFERROR(IF(Significant_Overtime[[#This Row],[Overtime Hours]]&gt;100,"High Overtime","Normal"),"Not Found")</f>
        <v>Normal</v>
      </c>
    </row>
    <row r="235" spans="1:3" x14ac:dyDescent="0.35">
      <c r="A235" s="59" t="str">
        <f>_xlfn.TEXTJOIN(" ",TRUE,Employees_Data[[#This Row],[First Name]],Employees_Data[[#This Row],[Last Name]])</f>
        <v>Bidralidin Ahmdghrybw</v>
      </c>
      <c r="B235" s="21">
        <v>12</v>
      </c>
      <c r="C235" s="60" t="str">
        <f>IFERROR(IF(Significant_Overtime[[#This Row],[Overtime Hours]]&gt;100,"High Overtime","Normal"),"Not Found")</f>
        <v>Normal</v>
      </c>
    </row>
    <row r="236" spans="1:3" x14ac:dyDescent="0.35">
      <c r="A236" s="59" t="str">
        <f>_xlfn.TEXTJOIN(" ",TRUE,Employees_Data[[#This Row],[First Name]],Employees_Data[[#This Row],[Last Name]])</f>
        <v>Faras Shaykh</v>
      </c>
      <c r="B236" s="21">
        <v>9</v>
      </c>
      <c r="C236" s="60" t="str">
        <f>IFERROR(IF(Significant_Overtime[[#This Row],[Overtime Hours]]&gt;100,"High Overtime","Normal"),"Not Found")</f>
        <v>Normal</v>
      </c>
    </row>
    <row r="237" spans="1:3" x14ac:dyDescent="0.35">
      <c r="A237" s="59" t="str">
        <f>_xlfn.TEXTJOIN(" ",TRUE,Employees_Data[[#This Row],[First Name]],Employees_Data[[#This Row],[Last Name]])</f>
        <v>Muhamad Eala Aldiyn</v>
      </c>
      <c r="B237" s="21">
        <v>13</v>
      </c>
      <c r="C237" s="60" t="str">
        <f>IFERROR(IF(Significant_Overtime[[#This Row],[Overtime Hours]]&gt;100,"High Overtime","Normal"),"Not Found")</f>
        <v>Normal</v>
      </c>
    </row>
    <row r="238" spans="1:3" x14ac:dyDescent="0.35">
      <c r="A238" s="59" t="str">
        <f>_xlfn.TEXTJOIN(" ",TRUE,Employees_Data[[#This Row],[First Name]],Employees_Data[[#This Row],[Last Name]])</f>
        <v>Khaldun Suqbani</v>
      </c>
      <c r="B238" s="21">
        <v>34</v>
      </c>
      <c r="C238" s="60" t="str">
        <f>IFERROR(IF(Significant_Overtime[[#This Row],[Overtime Hours]]&gt;100,"High Overtime","Normal"),"Not Found")</f>
        <v>Normal</v>
      </c>
    </row>
    <row r="239" spans="1:3" x14ac:dyDescent="0.35">
      <c r="A239" s="59" t="str">
        <f>_xlfn.TEXTJOIN(" ",TRUE,Employees_Data[[#This Row],[First Name]],Employees_Data[[#This Row],[Last Name]])</f>
        <v>Lwna Albahra</v>
      </c>
      <c r="B239" s="21">
        <v>6</v>
      </c>
      <c r="C239" s="60" t="str">
        <f>IFERROR(IF(Significant_Overtime[[#This Row],[Overtime Hours]]&gt;100,"High Overtime","Normal"),"Not Found")</f>
        <v>Normal</v>
      </c>
    </row>
    <row r="240" spans="1:3" x14ac:dyDescent="0.35">
      <c r="A240" s="59" t="str">
        <f>_xlfn.TEXTJOIN(" ",TRUE,Employees_Data[[#This Row],[First Name]],Employees_Data[[#This Row],[Last Name]])</f>
        <v>Ahmad Ezqul</v>
      </c>
      <c r="B240" s="21">
        <v>13</v>
      </c>
      <c r="C240" s="60" t="str">
        <f>IFERROR(IF(Significant_Overtime[[#This Row],[Overtime Hours]]&gt;100,"High Overtime","Normal"),"Not Found")</f>
        <v>Normal</v>
      </c>
    </row>
    <row r="241" spans="1:3" x14ac:dyDescent="0.35">
      <c r="A241" s="59" t="str">
        <f>_xlfn.TEXTJOIN(" ",TRUE,Employees_Data[[#This Row],[First Name]],Employees_Data[[#This Row],[Last Name]])</f>
        <v>Salih Alhamuwd</v>
      </c>
      <c r="B241" s="21">
        <v>3</v>
      </c>
      <c r="C241" s="60" t="str">
        <f>IFERROR(IF(Significant_Overtime[[#This Row],[Overtime Hours]]&gt;100,"High Overtime","Normal"),"Not Found")</f>
        <v>Normal</v>
      </c>
    </row>
    <row r="242" spans="1:3" x14ac:dyDescent="0.35">
      <c r="A242" s="59" t="str">
        <f>_xlfn.TEXTJOIN(" ",TRUE,Employees_Data[[#This Row],[First Name]],Employees_Data[[#This Row],[Last Name]])</f>
        <v>Muhamad Abu Zamil</v>
      </c>
      <c r="B242" s="21">
        <v>7</v>
      </c>
      <c r="C242" s="60" t="str">
        <f>IFERROR(IF(Significant_Overtime[[#This Row],[Overtime Hours]]&gt;100,"High Overtime","Normal"),"Not Found")</f>
        <v>Normal</v>
      </c>
    </row>
    <row r="243" spans="1:3" x14ac:dyDescent="0.35">
      <c r="A243" s="59" t="str">
        <f>_xlfn.TEXTJOIN(" ",TRUE,Employees_Data[[#This Row],[First Name]],Employees_Data[[#This Row],[Last Name]])</f>
        <v>Fuad Alsyqly</v>
      </c>
      <c r="B243" s="21">
        <v>0</v>
      </c>
      <c r="C243" s="60" t="str">
        <f>IFERROR(IF(Significant_Overtime[[#This Row],[Overtime Hours]]&gt;100,"High Overtime","Normal"),"Not Found")</f>
        <v>Normal</v>
      </c>
    </row>
    <row r="244" spans="1:3" x14ac:dyDescent="0.35">
      <c r="A244" s="59" t="str">
        <f>_xlfn.TEXTJOIN(" ",TRUE,Employees_Data[[#This Row],[First Name]],Employees_Data[[#This Row],[Last Name]])</f>
        <v>Muhamad Aldamshqi</v>
      </c>
      <c r="B244" s="21">
        <v>3</v>
      </c>
      <c r="C244" s="60" t="str">
        <f>IFERROR(IF(Significant_Overtime[[#This Row],[Overtime Hours]]&gt;100,"High Overtime","Normal"),"Not Found")</f>
        <v>Normal</v>
      </c>
    </row>
    <row r="245" spans="1:3" x14ac:dyDescent="0.35">
      <c r="A245" s="59" t="str">
        <f>_xlfn.TEXTJOIN(" ",TRUE,Employees_Data[[#This Row],[First Name]],Employees_Data[[#This Row],[Last Name]])</f>
        <v>Sayf Aldiyn Alkmshh</v>
      </c>
      <c r="B245" s="21">
        <v>8</v>
      </c>
      <c r="C245" s="60" t="str">
        <f>IFERROR(IF(Significant_Overtime[[#This Row],[Overtime Hours]]&gt;100,"High Overtime","Normal"),"Not Found")</f>
        <v>Normal</v>
      </c>
    </row>
    <row r="246" spans="1:3" x14ac:dyDescent="0.35">
      <c r="A246" s="59" t="str">
        <f>_xlfn.TEXTJOIN(" ",TRUE,Employees_Data[[#This Row],[First Name]],Employees_Data[[#This Row],[Last Name]])</f>
        <v>Muhamad Alssati</v>
      </c>
      <c r="B246" s="21">
        <v>8</v>
      </c>
      <c r="C246" s="60" t="str">
        <f>IFERROR(IF(Significant_Overtime[[#This Row],[Overtime Hours]]&gt;100,"High Overtime","Normal"),"Not Found")</f>
        <v>Normal</v>
      </c>
    </row>
    <row r="247" spans="1:3" x14ac:dyDescent="0.35">
      <c r="A247" s="59" t="str">
        <f>_xlfn.TEXTJOIN(" ",TRUE,Employees_Data[[#This Row],[First Name]],Employees_Data[[#This Row],[Last Name]])</f>
        <v>Khalid Alem</v>
      </c>
      <c r="B247" s="21">
        <v>3</v>
      </c>
      <c r="C247" s="60" t="str">
        <f>IFERROR(IF(Significant_Overtime[[#This Row],[Overtime Hours]]&gt;100,"High Overtime","Normal"),"Not Found")</f>
        <v>Normal</v>
      </c>
    </row>
    <row r="248" spans="1:3" x14ac:dyDescent="0.35">
      <c r="A248" s="59" t="str">
        <f>_xlfn.TEXTJOIN(" ",TRUE,Employees_Data[[#This Row],[First Name]],Employees_Data[[#This Row],[Last Name]])</f>
        <v>Ayham Aleisaa</v>
      </c>
      <c r="B248" s="21">
        <v>1</v>
      </c>
      <c r="C248" s="60" t="str">
        <f>IFERROR(IF(Significant_Overtime[[#This Row],[Overtime Hours]]&gt;100,"High Overtime","Normal"),"Not Found")</f>
        <v>Normal</v>
      </c>
    </row>
    <row r="249" spans="1:3" x14ac:dyDescent="0.35">
      <c r="A249" s="59" t="str">
        <f>_xlfn.TEXTJOIN(" ",TRUE,Employees_Data[[#This Row],[First Name]],Employees_Data[[#This Row],[Last Name]])</f>
        <v>Abd Alruhmin Dulul</v>
      </c>
      <c r="B249" s="21">
        <v>4</v>
      </c>
      <c r="C249" s="60" t="str">
        <f>IFERROR(IF(Significant_Overtime[[#This Row],[Overtime Hours]]&gt;100,"High Overtime","Normal"),"Not Found")</f>
        <v>Normal</v>
      </c>
    </row>
    <row r="250" spans="1:3" x14ac:dyDescent="0.35">
      <c r="A250" s="59" t="str">
        <f>_xlfn.TEXTJOIN(" ",TRUE,Employees_Data[[#This Row],[First Name]],Employees_Data[[#This Row],[Last Name]])</f>
        <v>Ruba Aleid</v>
      </c>
      <c r="B250" s="21">
        <v>7</v>
      </c>
      <c r="C250" s="60" t="str">
        <f>IFERROR(IF(Significant_Overtime[[#This Row],[Overtime Hours]]&gt;100,"High Overtime","Normal"),"Not Found")</f>
        <v>Normal</v>
      </c>
    </row>
    <row r="251" spans="1:3" x14ac:dyDescent="0.35">
      <c r="A251" s="59" t="str">
        <f>_xlfn.TEXTJOIN(" ",TRUE,Employees_Data[[#This Row],[First Name]],Employees_Data[[#This Row],[Last Name]])</f>
        <v>Muhamad Badawiin</v>
      </c>
      <c r="B251" s="21">
        <v>86</v>
      </c>
      <c r="C251" s="60" t="str">
        <f>IFERROR(IF(Significant_Overtime[[#This Row],[Overtime Hours]]&gt;100,"High Overtime","Normal"),"Not Found")</f>
        <v>Normal</v>
      </c>
    </row>
    <row r="252" spans="1:3" x14ac:dyDescent="0.35">
      <c r="A252" s="59" t="str">
        <f>_xlfn.TEXTJOIN(" ",TRUE,Employees_Data[[#This Row],[First Name]],Employees_Data[[#This Row],[Last Name]])</f>
        <v>Sharihan Rihan</v>
      </c>
      <c r="B252" s="21">
        <v>12</v>
      </c>
      <c r="C252" s="60" t="str">
        <f>IFERROR(IF(Significant_Overtime[[#This Row],[Overtime Hours]]&gt;100,"High Overtime","Normal"),"Not Found")</f>
        <v>Normal</v>
      </c>
    </row>
    <row r="253" spans="1:3" x14ac:dyDescent="0.35">
      <c r="A253" s="59" t="str">
        <f>_xlfn.TEXTJOIN(" ",TRUE,Employees_Data[[#This Row],[First Name]],Employees_Data[[#This Row],[Last Name]])</f>
        <v>Ibrahim Alyasin</v>
      </c>
      <c r="B253" s="21">
        <v>5</v>
      </c>
      <c r="C253" s="60" t="str">
        <f>IFERROR(IF(Significant_Overtime[[#This Row],[Overtime Hours]]&gt;100,"High Overtime","Normal"),"Not Found")</f>
        <v>Normal</v>
      </c>
    </row>
    <row r="254" spans="1:3" x14ac:dyDescent="0.35">
      <c r="A254" s="59" t="str">
        <f>_xlfn.TEXTJOIN(" ",TRUE,Employees_Data[[#This Row],[First Name]],Employees_Data[[#This Row],[Last Name]])</f>
        <v>Iin Mulaliyun</v>
      </c>
      <c r="B254" s="21">
        <v>0</v>
      </c>
      <c r="C254" s="60" t="str">
        <f>IFERROR(IF(Significant_Overtime[[#This Row],[Overtime Hours]]&gt;100,"High Overtime","Normal"),"Not Found")</f>
        <v>Normal</v>
      </c>
    </row>
    <row r="255" spans="1:3" x14ac:dyDescent="0.35">
      <c r="A255" s="59" t="str">
        <f>_xlfn.TEXTJOIN(" ",TRUE,Employees_Data[[#This Row],[First Name]],Employees_Data[[#This Row],[Last Name]])</f>
        <v>Danah Almahdi</v>
      </c>
      <c r="B255" s="21">
        <v>2</v>
      </c>
      <c r="C255" s="60" t="str">
        <f>IFERROR(IF(Significant_Overtime[[#This Row],[Overtime Hours]]&gt;100,"High Overtime","Normal"),"Not Found")</f>
        <v>Normal</v>
      </c>
    </row>
    <row r="256" spans="1:3" x14ac:dyDescent="0.35">
      <c r="A256" s="59" t="str">
        <f>_xlfn.TEXTJOIN(" ",TRUE,Employees_Data[[#This Row],[First Name]],Employees_Data[[#This Row],[Last Name]])</f>
        <v>Muhamad Sakar</v>
      </c>
      <c r="B256" s="21">
        <v>9</v>
      </c>
      <c r="C256" s="60" t="str">
        <f>IFERROR(IF(Significant_Overtime[[#This Row],[Overtime Hours]]&gt;100,"High Overtime","Normal"),"Not Found")</f>
        <v>Normal</v>
      </c>
    </row>
    <row r="257" spans="1:3" x14ac:dyDescent="0.35">
      <c r="A257" s="59" t="str">
        <f>_xlfn.TEXTJOIN(" ",TRUE,Employees_Data[[#This Row],[First Name]],Employees_Data[[#This Row],[Last Name]])</f>
        <v>Lama Yasin</v>
      </c>
      <c r="B257" s="21">
        <v>5</v>
      </c>
      <c r="C257" s="60" t="str">
        <f>IFERROR(IF(Significant_Overtime[[#This Row],[Overtime Hours]]&gt;100,"High Overtime","Normal"),"Not Found")</f>
        <v>Normal</v>
      </c>
    </row>
    <row r="258" spans="1:3" x14ac:dyDescent="0.35">
      <c r="A258" s="59" t="str">
        <f>_xlfn.TEXTJOIN(" ",TRUE,Employees_Data[[#This Row],[First Name]],Employees_Data[[#This Row],[Last Name]])</f>
        <v>Asf Abultif</v>
      </c>
      <c r="B258" s="21">
        <v>7</v>
      </c>
      <c r="C258" s="60" t="str">
        <f>IFERROR(IF(Significant_Overtime[[#This Row],[Overtime Hours]]&gt;100,"High Overtime","Normal"),"Not Found")</f>
        <v>Normal</v>
      </c>
    </row>
    <row r="259" spans="1:3" x14ac:dyDescent="0.35">
      <c r="A259" s="59" t="str">
        <f>_xlfn.TEXTJOIN(" ",TRUE,Employees_Data[[#This Row],[First Name]],Employees_Data[[#This Row],[Last Name]])</f>
        <v>Ahmad Alshalaq</v>
      </c>
      <c r="B259" s="21">
        <v>13</v>
      </c>
      <c r="C259" s="60" t="str">
        <f>IFERROR(IF(Significant_Overtime[[#This Row],[Overtime Hours]]&gt;100,"High Overtime","Normal"),"Not Found")</f>
        <v>Normal</v>
      </c>
    </row>
    <row r="260" spans="1:3" x14ac:dyDescent="0.35">
      <c r="A260" s="59" t="str">
        <f>_xlfn.TEXTJOIN(" ",TRUE,Employees_Data[[#This Row],[First Name]],Employees_Data[[#This Row],[Last Name]])</f>
        <v>Mazin Zawal</v>
      </c>
      <c r="B260" s="21">
        <v>10</v>
      </c>
      <c r="C260" s="60" t="str">
        <f>IFERROR(IF(Significant_Overtime[[#This Row],[Overtime Hours]]&gt;100,"High Overtime","Normal"),"Not Found")</f>
        <v>Normal</v>
      </c>
    </row>
    <row r="261" spans="1:3" x14ac:dyDescent="0.35">
      <c r="A261" s="59" t="str">
        <f>_xlfn.TEXTJOIN(" ",TRUE,Employees_Data[[#This Row],[First Name]],Employees_Data[[#This Row],[Last Name]])</f>
        <v>Diana Aleabd</v>
      </c>
      <c r="B261" s="21">
        <v>5</v>
      </c>
      <c r="C261" s="60" t="str">
        <f>IFERROR(IF(Significant_Overtime[[#This Row],[Overtime Hours]]&gt;100,"High Overtime","Normal"),"Not Found")</f>
        <v>Normal</v>
      </c>
    </row>
    <row r="262" spans="1:3" x14ac:dyDescent="0.35">
      <c r="A262" s="59" t="str">
        <f>_xlfn.TEXTJOIN(" ",TRUE,Employees_Data[[#This Row],[First Name]],Employees_Data[[#This Row],[Last Name]])</f>
        <v>Kawkab Qarqazan</v>
      </c>
      <c r="B262" s="21">
        <v>2</v>
      </c>
      <c r="C262" s="60" t="str">
        <f>IFERROR(IF(Significant_Overtime[[#This Row],[Overtime Hours]]&gt;100,"High Overtime","Normal"),"Not Found")</f>
        <v>Normal</v>
      </c>
    </row>
    <row r="263" spans="1:3" x14ac:dyDescent="0.35">
      <c r="A263" s="59" t="str">
        <f>_xlfn.TEXTJOIN(" ",TRUE,Employees_Data[[#This Row],[First Name]],Employees_Data[[#This Row],[Last Name]])</f>
        <v>Thamir Abu Ghazy</v>
      </c>
      <c r="B263" s="21">
        <v>9</v>
      </c>
      <c r="C263" s="60" t="str">
        <f>IFERROR(IF(Significant_Overtime[[#This Row],[Overtime Hours]]&gt;100,"High Overtime","Normal"),"Not Found")</f>
        <v>Normal</v>
      </c>
    </row>
    <row r="264" spans="1:3" x14ac:dyDescent="0.35">
      <c r="A264" s="59" t="str">
        <f>_xlfn.TEXTJOIN(" ",TRUE,Employees_Data[[#This Row],[First Name]],Employees_Data[[#This Row],[Last Name]])</f>
        <v>Muhamad Alabth</v>
      </c>
      <c r="B264" s="21">
        <v>4</v>
      </c>
      <c r="C264" s="60" t="str">
        <f>IFERROR(IF(Significant_Overtime[[#This Row],[Overtime Hours]]&gt;100,"High Overtime","Normal"),"Not Found")</f>
        <v>Normal</v>
      </c>
    </row>
    <row r="265" spans="1:3" x14ac:dyDescent="0.35">
      <c r="A265" s="59" t="str">
        <f>_xlfn.TEXTJOIN(" ",TRUE,Employees_Data[[#This Row],[First Name]],Employees_Data[[#This Row],[Last Name]])</f>
        <v>Khadijah Abu Taqih</v>
      </c>
      <c r="B265" s="21">
        <v>5</v>
      </c>
      <c r="C265" s="60" t="str">
        <f>IFERROR(IF(Significant_Overtime[[#This Row],[Overtime Hours]]&gt;100,"High Overtime","Normal"),"Not Found")</f>
        <v>Normal</v>
      </c>
    </row>
    <row r="266" spans="1:3" x14ac:dyDescent="0.35">
      <c r="A266" s="59" t="str">
        <f>_xlfn.TEXTJOIN(" ",TRUE,Employees_Data[[#This Row],[First Name]],Employees_Data[[#This Row],[Last Name]])</f>
        <v>Salwaa Alsyd</v>
      </c>
      <c r="B266" s="21">
        <v>87</v>
      </c>
      <c r="C266" s="60" t="str">
        <f>IFERROR(IF(Significant_Overtime[[#This Row],[Overtime Hours]]&gt;100,"High Overtime","Normal"),"Not Found")</f>
        <v>Normal</v>
      </c>
    </row>
    <row r="267" spans="1:3" x14ac:dyDescent="0.35">
      <c r="A267" s="59" t="str">
        <f>_xlfn.TEXTJOIN(" ",TRUE,Employees_Data[[#This Row],[First Name]],Employees_Data[[#This Row],[Last Name]])</f>
        <v>Muayid Shbyb</v>
      </c>
      <c r="B267" s="21">
        <v>1</v>
      </c>
      <c r="C267" s="60" t="str">
        <f>IFERROR(IF(Significant_Overtime[[#This Row],[Overtime Hours]]&gt;100,"High Overtime","Normal"),"Not Found")</f>
        <v>Normal</v>
      </c>
    </row>
    <row r="268" spans="1:3" x14ac:dyDescent="0.35">
      <c r="A268" s="59" t="str">
        <f>_xlfn.TEXTJOIN(" ",TRUE,Employees_Data[[#This Row],[First Name]],Employees_Data[[#This Row],[Last Name]])</f>
        <v>Rannym Tyru</v>
      </c>
      <c r="B268" s="21">
        <v>45</v>
      </c>
      <c r="C268" s="60" t="str">
        <f>IFERROR(IF(Significant_Overtime[[#This Row],[Overtime Hours]]&gt;100,"High Overtime","Normal"),"Not Found")</f>
        <v>Normal</v>
      </c>
    </row>
    <row r="269" spans="1:3" x14ac:dyDescent="0.35">
      <c r="A269" s="59" t="str">
        <f>_xlfn.TEXTJOIN(" ",TRUE,Employees_Data[[#This Row],[First Name]],Employees_Data[[#This Row],[Last Name]])</f>
        <v>Iin Alhaju Bikr</v>
      </c>
      <c r="B269" s="21">
        <v>9</v>
      </c>
      <c r="C269" s="60" t="str">
        <f>IFERROR(IF(Significant_Overtime[[#This Row],[Overtime Hours]]&gt;100,"High Overtime","Normal"),"Not Found")</f>
        <v>Normal</v>
      </c>
    </row>
    <row r="270" spans="1:3" x14ac:dyDescent="0.35">
      <c r="A270" s="59" t="str">
        <f>_xlfn.TEXTJOIN(" ",TRUE,Employees_Data[[#This Row],[First Name]],Employees_Data[[#This Row],[Last Name]])</f>
        <v>Jihad Aldukifi</v>
      </c>
      <c r="B270" s="21">
        <v>3</v>
      </c>
      <c r="C270" s="60" t="str">
        <f>IFERROR(IF(Significant_Overtime[[#This Row],[Overtime Hours]]&gt;100,"High Overtime","Normal"),"Not Found")</f>
        <v>Normal</v>
      </c>
    </row>
    <row r="271" spans="1:3" x14ac:dyDescent="0.35">
      <c r="A271" s="59" t="str">
        <f>_xlfn.TEXTJOIN(" ",TRUE,Employees_Data[[#This Row],[First Name]],Employees_Data[[#This Row],[Last Name]])</f>
        <v>Sandurana Antun</v>
      </c>
      <c r="B271" s="21">
        <v>1</v>
      </c>
      <c r="C271" s="60" t="str">
        <f>IFERROR(IF(Significant_Overtime[[#This Row],[Overtime Hours]]&gt;100,"High Overtime","Normal"),"Not Found")</f>
        <v>Normal</v>
      </c>
    </row>
    <row r="272" spans="1:3" x14ac:dyDescent="0.35">
      <c r="A272" s="59" t="str">
        <f>_xlfn.TEXTJOIN(" ",TRUE,Employees_Data[[#This Row],[First Name]],Employees_Data[[#This Row],[Last Name]])</f>
        <v>Eala Darkzifli</v>
      </c>
      <c r="B272" s="21">
        <v>10</v>
      </c>
      <c r="C272" s="60" t="str">
        <f>IFERROR(IF(Significant_Overtime[[#This Row],[Overtime Hours]]&gt;100,"High Overtime","Normal"),"Not Found")</f>
        <v>Normal</v>
      </c>
    </row>
    <row r="273" spans="1:3" x14ac:dyDescent="0.35">
      <c r="A273" s="59" t="str">
        <f>_xlfn.TEXTJOIN(" ",TRUE,Employees_Data[[#This Row],[First Name]],Employees_Data[[#This Row],[Last Name]])</f>
        <v>Samir Alsaeid</v>
      </c>
      <c r="B273" s="21">
        <v>1</v>
      </c>
      <c r="C273" s="60" t="str">
        <f>IFERROR(IF(Significant_Overtime[[#This Row],[Overtime Hours]]&gt;100,"High Overtime","Normal"),"Not Found")</f>
        <v>Normal</v>
      </c>
    </row>
    <row r="274" spans="1:3" x14ac:dyDescent="0.35">
      <c r="A274" s="59" t="str">
        <f>_xlfn.TEXTJOIN(" ",TRUE,Employees_Data[[#This Row],[First Name]],Employees_Data[[#This Row],[Last Name]])</f>
        <v>Amir Alhifar</v>
      </c>
      <c r="B274" s="21">
        <v>5</v>
      </c>
      <c r="C274" s="60" t="str">
        <f>IFERROR(IF(Significant_Overtime[[#This Row],[Overtime Hours]]&gt;100,"High Overtime","Normal"),"Not Found")</f>
        <v>Normal</v>
      </c>
    </row>
    <row r="275" spans="1:3" x14ac:dyDescent="0.35">
      <c r="A275" s="59" t="str">
        <f>_xlfn.TEXTJOIN(" ",TRUE,Employees_Data[[#This Row],[First Name]],Employees_Data[[#This Row],[Last Name]])</f>
        <v>Lama Almala</v>
      </c>
      <c r="B275" s="21">
        <v>84</v>
      </c>
      <c r="C275" s="60" t="str">
        <f>IFERROR(IF(Significant_Overtime[[#This Row],[Overtime Hours]]&gt;100,"High Overtime","Normal"),"Not Found")</f>
        <v>Normal</v>
      </c>
    </row>
    <row r="276" spans="1:3" x14ac:dyDescent="0.35">
      <c r="A276" s="59" t="str">
        <f>_xlfn.TEXTJOIN(" ",TRUE,Employees_Data[[#This Row],[First Name]],Employees_Data[[#This Row],[Last Name]])</f>
        <v>Hasan Kalthum</v>
      </c>
      <c r="B276" s="21">
        <v>7</v>
      </c>
      <c r="C276" s="60" t="str">
        <f>IFERROR(IF(Significant_Overtime[[#This Row],[Overtime Hours]]&gt;100,"High Overtime","Normal"),"Not Found")</f>
        <v>Normal</v>
      </c>
    </row>
    <row r="277" spans="1:3" x14ac:dyDescent="0.35">
      <c r="A277" s="59" t="str">
        <f>_xlfn.TEXTJOIN(" ",TRUE,Employees_Data[[#This Row],[First Name]],Employees_Data[[#This Row],[Last Name]])</f>
        <v>Muhamad Saeadat</v>
      </c>
      <c r="B277" s="21">
        <v>4</v>
      </c>
      <c r="C277" s="60" t="str">
        <f>IFERROR(IF(Significant_Overtime[[#This Row],[Overtime Hours]]&gt;100,"High Overtime","Normal"),"Not Found")</f>
        <v>Normal</v>
      </c>
    </row>
    <row r="278" spans="1:3" x14ac:dyDescent="0.35">
      <c r="A278" s="59" t="str">
        <f>_xlfn.TEXTJOIN(" ",TRUE,Employees_Data[[#This Row],[First Name]],Employees_Data[[#This Row],[Last Name]])</f>
        <v>Rana Eijrush</v>
      </c>
      <c r="B278" s="21">
        <v>4</v>
      </c>
      <c r="C278" s="60" t="str">
        <f>IFERROR(IF(Significant_Overtime[[#This Row],[Overtime Hours]]&gt;100,"High Overtime","Normal"),"Not Found")</f>
        <v>Normal</v>
      </c>
    </row>
    <row r="279" spans="1:3" x14ac:dyDescent="0.35">
      <c r="A279" s="59" t="str">
        <f>_xlfn.TEXTJOIN(" ",TRUE,Employees_Data[[#This Row],[First Name]],Employees_Data[[#This Row],[Last Name]])</f>
        <v>Tariq Alkinaya</v>
      </c>
      <c r="B279" s="21">
        <v>15</v>
      </c>
      <c r="C279" s="60" t="str">
        <f>IFERROR(IF(Significant_Overtime[[#This Row],[Overtime Hours]]&gt;100,"High Overtime","Normal"),"Not Found")</f>
        <v>Normal</v>
      </c>
    </row>
    <row r="280" spans="1:3" x14ac:dyDescent="0.35">
      <c r="A280" s="59" t="str">
        <f>_xlfn.TEXTJOIN(" ",TRUE,Employees_Data[[#This Row],[First Name]],Employees_Data[[#This Row],[Last Name]])</f>
        <v>Amjad Alrz</v>
      </c>
      <c r="B280" s="21">
        <v>13</v>
      </c>
      <c r="C280" s="60" t="str">
        <f>IFERROR(IF(Significant_Overtime[[#This Row],[Overtime Hours]]&gt;100,"High Overtime","Normal"),"Not Found")</f>
        <v>Normal</v>
      </c>
    </row>
    <row r="281" spans="1:3" x14ac:dyDescent="0.35">
      <c r="A281" s="59" t="str">
        <f>_xlfn.TEXTJOIN(" ",TRUE,Employees_Data[[#This Row],[First Name]],Employees_Data[[#This Row],[Last Name]])</f>
        <v>Daniah Alhariri</v>
      </c>
      <c r="B281" s="21">
        <v>9</v>
      </c>
      <c r="C281" s="60" t="str">
        <f>IFERROR(IF(Significant_Overtime[[#This Row],[Overtime Hours]]&gt;100,"High Overtime","Normal"),"Not Found")</f>
        <v>Normal</v>
      </c>
    </row>
    <row r="282" spans="1:3" x14ac:dyDescent="0.35">
      <c r="A282" s="59" t="str">
        <f>_xlfn.TEXTJOIN(" ",TRUE,Employees_Data[[#This Row],[First Name]],Employees_Data[[#This Row],[Last Name]])</f>
        <v>Hasan Quidr</v>
      </c>
      <c r="B282" s="21">
        <v>3</v>
      </c>
      <c r="C282" s="60" t="str">
        <f>IFERROR(IF(Significant_Overtime[[#This Row],[Overtime Hours]]&gt;100,"High Overtime","Normal"),"Not Found")</f>
        <v>Normal</v>
      </c>
    </row>
    <row r="283" spans="1:3" x14ac:dyDescent="0.35">
      <c r="A283" s="59" t="str">
        <f>_xlfn.TEXTJOIN(" ",TRUE,Employees_Data[[#This Row],[First Name]],Employees_Data[[#This Row],[Last Name]])</f>
        <v>Muhamad Shaykh Janid</v>
      </c>
      <c r="B283" s="21">
        <v>2</v>
      </c>
      <c r="C283" s="60" t="str">
        <f>IFERROR(IF(Significant_Overtime[[#This Row],[Overtime Hours]]&gt;100,"High Overtime","Normal"),"Not Found")</f>
        <v>Normal</v>
      </c>
    </row>
    <row r="284" spans="1:3" x14ac:dyDescent="0.35">
      <c r="A284" s="59" t="str">
        <f>_xlfn.TEXTJOIN(" ",TRUE,Employees_Data[[#This Row],[First Name]],Employees_Data[[#This Row],[Last Name]])</f>
        <v>Esamat Zaza</v>
      </c>
      <c r="B284" s="21">
        <v>13</v>
      </c>
      <c r="C284" s="60" t="str">
        <f>IFERROR(IF(Significant_Overtime[[#This Row],[Overtime Hours]]&gt;100,"High Overtime","Normal"),"Not Found")</f>
        <v>Normal</v>
      </c>
    </row>
    <row r="285" spans="1:3" x14ac:dyDescent="0.35">
      <c r="A285" s="59" t="str">
        <f>_xlfn.TEXTJOIN(" ",TRUE,Employees_Data[[#This Row],[First Name]],Employees_Data[[#This Row],[Last Name]])</f>
        <v>Fadi Hububati</v>
      </c>
      <c r="B285" s="21">
        <v>8</v>
      </c>
      <c r="C285" s="60" t="str">
        <f>IFERROR(IF(Significant_Overtime[[#This Row],[Overtime Hours]]&gt;100,"High Overtime","Normal"),"Not Found")</f>
        <v>Normal</v>
      </c>
    </row>
    <row r="286" spans="1:3" x14ac:dyDescent="0.35">
      <c r="A286" s="59" t="str">
        <f>_xlfn.TEXTJOIN(" ",TRUE,Employees_Data[[#This Row],[First Name]],Employees_Data[[#This Row],[Last Name]])</f>
        <v>Adnan Alhusayn</v>
      </c>
      <c r="B286" s="21">
        <v>8</v>
      </c>
      <c r="C286" s="60" t="str">
        <f>IFERROR(IF(Significant_Overtime[[#This Row],[Overtime Hours]]&gt;100,"High Overtime","Normal"),"Not Found")</f>
        <v>Normal</v>
      </c>
    </row>
    <row r="287" spans="1:3" x14ac:dyDescent="0.35">
      <c r="A287" s="59" t="str">
        <f>_xlfn.TEXTJOIN(" ",TRUE,Employees_Data[[#This Row],[First Name]],Employees_Data[[#This Row],[Last Name]])</f>
        <v>Muhamad Allibad</v>
      </c>
      <c r="B287" s="21">
        <v>5</v>
      </c>
      <c r="C287" s="60" t="str">
        <f>IFERROR(IF(Significant_Overtime[[#This Row],[Overtime Hours]]&gt;100,"High Overtime","Normal"),"Not Found")</f>
        <v>Normal</v>
      </c>
    </row>
    <row r="288" spans="1:3" x14ac:dyDescent="0.35">
      <c r="A288" s="59" t="str">
        <f>_xlfn.TEXTJOIN(" ",TRUE,Employees_Data[[#This Row],[First Name]],Employees_Data[[#This Row],[Last Name]])</f>
        <v>Tana Dahruj</v>
      </c>
      <c r="B288" s="21">
        <v>76</v>
      </c>
      <c r="C288" s="60" t="str">
        <f>IFERROR(IF(Significant_Overtime[[#This Row],[Overtime Hours]]&gt;100,"High Overtime","Normal"),"Not Found")</f>
        <v>Normal</v>
      </c>
    </row>
    <row r="289" spans="1:3" x14ac:dyDescent="0.35">
      <c r="A289" s="59" t="str">
        <f>_xlfn.TEXTJOIN(" ",TRUE,Employees_Data[[#This Row],[First Name]],Employees_Data[[#This Row],[Last Name]])</f>
        <v>Muhamad Almtlq</v>
      </c>
      <c r="B289" s="21">
        <v>80</v>
      </c>
      <c r="C289" s="60" t="str">
        <f>IFERROR(IF(Significant_Overtime[[#This Row],[Overtime Hours]]&gt;100,"High Overtime","Normal"),"Not Found")</f>
        <v>Normal</v>
      </c>
    </row>
    <row r="290" spans="1:3" x14ac:dyDescent="0.35">
      <c r="A290" s="59" t="str">
        <f>_xlfn.TEXTJOIN(" ",TRUE,Employees_Data[[#This Row],[First Name]],Employees_Data[[#This Row],[Last Name]])</f>
        <v>Sana Alhusayn</v>
      </c>
      <c r="B290" s="21">
        <v>3</v>
      </c>
      <c r="C290" s="60" t="str">
        <f>IFERROR(IF(Significant_Overtime[[#This Row],[Overtime Hours]]&gt;100,"High Overtime","Normal"),"Not Found")</f>
        <v>Normal</v>
      </c>
    </row>
    <row r="291" spans="1:3" x14ac:dyDescent="0.35">
      <c r="A291" s="59" t="str">
        <f>_xlfn.TEXTJOIN(" ",TRUE,Employees_Data[[#This Row],[First Name]],Employees_Data[[#This Row],[Last Name]])</f>
        <v>Muhamad Bdraldyn</v>
      </c>
      <c r="B291" s="21">
        <v>6</v>
      </c>
      <c r="C291" s="60" t="str">
        <f>IFERROR(IF(Significant_Overtime[[#This Row],[Overtime Hours]]&gt;100,"High Overtime","Normal"),"Not Found")</f>
        <v>Normal</v>
      </c>
    </row>
    <row r="292" spans="1:3" x14ac:dyDescent="0.35">
      <c r="A292" s="59" t="str">
        <f>_xlfn.TEXTJOIN(" ",TRUE,Employees_Data[[#This Row],[First Name]],Employees_Data[[#This Row],[Last Name]])</f>
        <v>Muhamad Eataya</v>
      </c>
      <c r="B292" s="21">
        <v>0</v>
      </c>
      <c r="C292" s="60" t="str">
        <f>IFERROR(IF(Significant_Overtime[[#This Row],[Overtime Hours]]&gt;100,"High Overtime","Normal"),"Not Found")</f>
        <v>Normal</v>
      </c>
    </row>
    <row r="293" spans="1:3" x14ac:dyDescent="0.35">
      <c r="A293" s="59" t="str">
        <f>_xlfn.TEXTJOIN(" ",TRUE,Employees_Data[[#This Row],[First Name]],Employees_Data[[#This Row],[Last Name]])</f>
        <v>Fadi Aljizamati</v>
      </c>
      <c r="B293" s="21">
        <v>3</v>
      </c>
      <c r="C293" s="60" t="str">
        <f>IFERROR(IF(Significant_Overtime[[#This Row],[Overtime Hours]]&gt;100,"High Overtime","Normal"),"Not Found")</f>
        <v>Normal</v>
      </c>
    </row>
    <row r="294" spans="1:3" x14ac:dyDescent="0.35">
      <c r="A294" s="59" t="str">
        <f>_xlfn.TEXTJOIN(" ",TRUE,Employees_Data[[#This Row],[First Name]],Employees_Data[[#This Row],[Last Name]])</f>
        <v>Alaa Alqasir</v>
      </c>
      <c r="B294" s="21">
        <v>3</v>
      </c>
      <c r="C294" s="60" t="str">
        <f>IFERROR(IF(Significant_Overtime[[#This Row],[Overtime Hours]]&gt;100,"High Overtime","Normal"),"Not Found")</f>
        <v>Normal</v>
      </c>
    </row>
    <row r="295" spans="1:3" x14ac:dyDescent="0.35">
      <c r="A295" s="59" t="str">
        <f>_xlfn.TEXTJOIN(" ",TRUE,Employees_Data[[#This Row],[First Name]],Employees_Data[[#This Row],[Last Name]])</f>
        <v>Abd Alruhmin Salih</v>
      </c>
      <c r="B295" s="21">
        <v>1</v>
      </c>
      <c r="C295" s="60" t="str">
        <f>IFERROR(IF(Significant_Overtime[[#This Row],[Overtime Hours]]&gt;100,"High Overtime","Normal"),"Not Found")</f>
        <v>Normal</v>
      </c>
    </row>
    <row r="296" spans="1:3" x14ac:dyDescent="0.35">
      <c r="A296" s="59" t="str">
        <f>_xlfn.TEXTJOIN(" ",TRUE,Employees_Data[[#This Row],[First Name]],Employees_Data[[#This Row],[Last Name]])</f>
        <v>Shilan Ahmad</v>
      </c>
      <c r="B296" s="21">
        <v>6</v>
      </c>
      <c r="C296" s="60" t="str">
        <f>IFERROR(IF(Significant_Overtime[[#This Row],[Overtime Hours]]&gt;100,"High Overtime","Normal"),"Not Found")</f>
        <v>Normal</v>
      </c>
    </row>
    <row r="297" spans="1:3" x14ac:dyDescent="0.35">
      <c r="A297" s="59" t="str">
        <f>_xlfn.TEXTJOIN(" ",TRUE,Employees_Data[[#This Row],[First Name]],Employees_Data[[#This Row],[Last Name]])</f>
        <v>Hasan Aljasim</v>
      </c>
      <c r="B297" s="21">
        <v>1</v>
      </c>
      <c r="C297" s="60" t="str">
        <f>IFERROR(IF(Significant_Overtime[[#This Row],[Overtime Hours]]&gt;100,"High Overtime","Normal"),"Not Found")</f>
        <v>Normal</v>
      </c>
    </row>
    <row r="298" spans="1:3" x14ac:dyDescent="0.35">
      <c r="A298" s="59" t="str">
        <f>_xlfn.TEXTJOIN(" ",TRUE,Employees_Data[[#This Row],[First Name]],Employees_Data[[#This Row],[Last Name]])</f>
        <v>Khalil Salam</v>
      </c>
      <c r="B298" s="21">
        <v>6</v>
      </c>
      <c r="C298" s="60" t="str">
        <f>IFERROR(IF(Significant_Overtime[[#This Row],[Overtime Hours]]&gt;100,"High Overtime","Normal"),"Not Found")</f>
        <v>Normal</v>
      </c>
    </row>
    <row r="299" spans="1:3" x14ac:dyDescent="0.35">
      <c r="A299" s="59" t="str">
        <f>_xlfn.TEXTJOIN(" ",TRUE,Employees_Data[[#This Row],[First Name]],Employees_Data[[#This Row],[Last Name]])</f>
        <v>Majd Abuhamd</v>
      </c>
      <c r="B299" s="21">
        <v>10</v>
      </c>
      <c r="C299" s="60" t="str">
        <f>IFERROR(IF(Significant_Overtime[[#This Row],[Overtime Hours]]&gt;100,"High Overtime","Normal"),"Not Found")</f>
        <v>Normal</v>
      </c>
    </row>
    <row r="300" spans="1:3" x14ac:dyDescent="0.35">
      <c r="A300" s="59" t="str">
        <f>_xlfn.TEXTJOIN(" ",TRUE,Employees_Data[[#This Row],[First Name]],Employees_Data[[#This Row],[Last Name]])</f>
        <v>Sami Qareush</v>
      </c>
      <c r="B300" s="21">
        <v>5</v>
      </c>
      <c r="C300" s="60" t="str">
        <f>IFERROR(IF(Significant_Overtime[[#This Row],[Overtime Hours]]&gt;100,"High Overtime","Normal"),"Not Found")</f>
        <v>Normal</v>
      </c>
    </row>
    <row r="301" spans="1:3" x14ac:dyDescent="0.35">
      <c r="A301" s="59" t="str">
        <f>_xlfn.TEXTJOIN(" ",TRUE,Employees_Data[[#This Row],[First Name]],Employees_Data[[#This Row],[Last Name]])</f>
        <v>Rima Jaridiun</v>
      </c>
      <c r="B301" s="21">
        <v>7</v>
      </c>
      <c r="C301" s="60" t="str">
        <f>IFERROR(IF(Significant_Overtime[[#This Row],[Overtime Hours]]&gt;100,"High Overtime","Normal"),"Not Found")</f>
        <v>Normal</v>
      </c>
    </row>
    <row r="302" spans="1:3" x14ac:dyDescent="0.35">
      <c r="A302" s="59" t="str">
        <f>_xlfn.TEXTJOIN(" ",TRUE,Employees_Data[[#This Row],[First Name]],Employees_Data[[#This Row],[Last Name]])</f>
        <v>Iin Alhumwi</v>
      </c>
      <c r="B302" s="21">
        <v>1</v>
      </c>
      <c r="C302" s="60" t="str">
        <f>IFERROR(IF(Significant_Overtime[[#This Row],[Overtime Hours]]&gt;100,"High Overtime","Normal"),"Not Found")</f>
        <v>Normal</v>
      </c>
    </row>
    <row r="303" spans="1:3" x14ac:dyDescent="0.35">
      <c r="A303" s="59" t="str">
        <f>_xlfn.TEXTJOIN(" ",TRUE,Employees_Data[[#This Row],[First Name]],Employees_Data[[#This Row],[Last Name]])</f>
        <v>Akthum Eibdalbaqi</v>
      </c>
      <c r="B303" s="21">
        <v>50</v>
      </c>
      <c r="C303" s="60" t="str">
        <f>IFERROR(IF(Significant_Overtime[[#This Row],[Overtime Hours]]&gt;100,"High Overtime","Normal"),"Not Found")</f>
        <v>Normal</v>
      </c>
    </row>
    <row r="304" spans="1:3" x14ac:dyDescent="0.35">
      <c r="A304" s="59" t="str">
        <f>_xlfn.TEXTJOIN(" ",TRUE,Employees_Data[[#This Row],[First Name]],Employees_Data[[#This Row],[Last Name]])</f>
        <v>Muhamad Almurashihi</v>
      </c>
      <c r="B304" s="21">
        <v>6</v>
      </c>
      <c r="C304" s="60" t="str">
        <f>IFERROR(IF(Significant_Overtime[[#This Row],[Overtime Hours]]&gt;100,"High Overtime","Normal"),"Not Found")</f>
        <v>Normal</v>
      </c>
    </row>
    <row r="305" spans="1:3" x14ac:dyDescent="0.35">
      <c r="A305" s="59" t="str">
        <f>_xlfn.TEXTJOIN(" ",TRUE,Employees_Data[[#This Row],[First Name]],Employees_Data[[#This Row],[Last Name]])</f>
        <v>Batual Abu Fakhar</v>
      </c>
      <c r="B305" s="21">
        <v>3</v>
      </c>
      <c r="C305" s="60" t="str">
        <f>IFERROR(IF(Significant_Overtime[[#This Row],[Overtime Hours]]&gt;100,"High Overtime","Normal"),"Not Found")</f>
        <v>Normal</v>
      </c>
    </row>
    <row r="306" spans="1:3" x14ac:dyDescent="0.35">
      <c r="A306" s="59" t="str">
        <f>_xlfn.TEXTJOIN(" ",TRUE,Employees_Data[[#This Row],[First Name]],Employees_Data[[#This Row],[Last Name]])</f>
        <v>Rinah Alkhuriu</v>
      </c>
      <c r="B306" s="21">
        <v>3</v>
      </c>
      <c r="C306" s="60" t="str">
        <f>IFERROR(IF(Significant_Overtime[[#This Row],[Overtime Hours]]&gt;100,"High Overtime","Normal"),"Not Found")</f>
        <v>Normal</v>
      </c>
    </row>
    <row r="307" spans="1:3" x14ac:dyDescent="0.35">
      <c r="A307" s="59" t="str">
        <f>_xlfn.TEXTJOIN(" ",TRUE,Employees_Data[[#This Row],[First Name]],Employees_Data[[#This Row],[Last Name]])</f>
        <v>Muhamad Alsaqaraq</v>
      </c>
      <c r="B307" s="21">
        <v>6</v>
      </c>
      <c r="C307" s="60" t="str">
        <f>IFERROR(IF(Significant_Overtime[[#This Row],[Overtime Hours]]&gt;100,"High Overtime","Normal"),"Not Found")</f>
        <v>Normal</v>
      </c>
    </row>
    <row r="308" spans="1:3" x14ac:dyDescent="0.35">
      <c r="A308" s="59" t="str">
        <f>_xlfn.TEXTJOIN(" ",TRUE,Employees_Data[[#This Row],[First Name]],Employees_Data[[#This Row],[Last Name]])</f>
        <v>Diea Sharina</v>
      </c>
      <c r="B308" s="21">
        <v>4</v>
      </c>
      <c r="C308" s="60" t="str">
        <f>IFERROR(IF(Significant_Overtime[[#This Row],[Overtime Hours]]&gt;100,"High Overtime","Normal"),"Not Found")</f>
        <v>Normal</v>
      </c>
    </row>
    <row r="309" spans="1:3" x14ac:dyDescent="0.35">
      <c r="A309" s="59" t="str">
        <f>_xlfn.TEXTJOIN(" ",TRUE,Employees_Data[[#This Row],[First Name]],Employees_Data[[#This Row],[Last Name]])</f>
        <v>Jablah Alsulayman</v>
      </c>
      <c r="B309" s="21">
        <v>10</v>
      </c>
      <c r="C309" s="60" t="str">
        <f>IFERROR(IF(Significant_Overtime[[#This Row],[Overtime Hours]]&gt;100,"High Overtime","Normal"),"Not Found")</f>
        <v>Normal</v>
      </c>
    </row>
    <row r="310" spans="1:3" x14ac:dyDescent="0.35">
      <c r="A310" s="59" t="str">
        <f>_xlfn.TEXTJOIN(" ",TRUE,Employees_Data[[#This Row],[First Name]],Employees_Data[[#This Row],[Last Name]])</f>
        <v>Muhamad Almaghribiu</v>
      </c>
      <c r="B310" s="21">
        <v>4</v>
      </c>
      <c r="C310" s="60" t="str">
        <f>IFERROR(IF(Significant_Overtime[[#This Row],[Overtime Hours]]&gt;100,"High Overtime","Normal"),"Not Found")</f>
        <v>Normal</v>
      </c>
    </row>
    <row r="311" spans="1:3" x14ac:dyDescent="0.35">
      <c r="A311" s="59" t="str">
        <f>_xlfn.TEXTJOIN(" ",TRUE,Employees_Data[[#This Row],[First Name]],Employees_Data[[#This Row],[Last Name]])</f>
        <v>Kholoud Khayti</v>
      </c>
      <c r="B311" s="21">
        <v>98</v>
      </c>
      <c r="C311" s="60" t="str">
        <f>IFERROR(IF(Significant_Overtime[[#This Row],[Overtime Hours]]&gt;100,"High Overtime","Normal"),"Not Found")</f>
        <v>Normal</v>
      </c>
    </row>
    <row r="312" spans="1:3" x14ac:dyDescent="0.35">
      <c r="A312" s="59" t="str">
        <f>_xlfn.TEXTJOIN(" ",TRUE,Employees_Data[[#This Row],[First Name]],Employees_Data[[#This Row],[Last Name]])</f>
        <v>Rahaf Jamul</v>
      </c>
      <c r="B312" s="21">
        <v>7</v>
      </c>
      <c r="C312" s="60" t="str">
        <f>IFERROR(IF(Significant_Overtime[[#This Row],[Overtime Hours]]&gt;100,"High Overtime","Normal"),"Not Found")</f>
        <v>Normal</v>
      </c>
    </row>
    <row r="313" spans="1:3" x14ac:dyDescent="0.35">
      <c r="A313" s="59" t="str">
        <f>_xlfn.TEXTJOIN(" ",TRUE,Employees_Data[[#This Row],[First Name]],Employees_Data[[#This Row],[Last Name]])</f>
        <v>Faras Alrahil</v>
      </c>
      <c r="B313" s="21">
        <v>0</v>
      </c>
      <c r="C313" s="60" t="str">
        <f>IFERROR(IF(Significant_Overtime[[#This Row],[Overtime Hours]]&gt;100,"High Overtime","Normal"),"Not Found")</f>
        <v>Normal</v>
      </c>
    </row>
    <row r="314" spans="1:3" x14ac:dyDescent="0.35">
      <c r="A314" s="59" t="str">
        <f>_xlfn.TEXTJOIN(" ",TRUE,Employees_Data[[#This Row],[First Name]],Employees_Data[[#This Row],[Last Name]])</f>
        <v>Abd Alrazzaq Gharah</v>
      </c>
      <c r="B314" s="21">
        <v>4</v>
      </c>
      <c r="C314" s="60" t="str">
        <f>IFERROR(IF(Significant_Overtime[[#This Row],[Overtime Hours]]&gt;100,"High Overtime","Normal"),"Not Found")</f>
        <v>Normal</v>
      </c>
    </row>
    <row r="315" spans="1:3" x14ac:dyDescent="0.35">
      <c r="A315" s="59" t="str">
        <f>_xlfn.TEXTJOIN(" ",TRUE,Employees_Data[[#This Row],[First Name]],Employees_Data[[#This Row],[Last Name]])</f>
        <v>Alaa Saed</v>
      </c>
      <c r="B315" s="21">
        <v>5</v>
      </c>
      <c r="C315" s="60" t="str">
        <f>IFERROR(IF(Significant_Overtime[[#This Row],[Overtime Hours]]&gt;100,"High Overtime","Normal"),"Not Found")</f>
        <v>Normal</v>
      </c>
    </row>
    <row r="316" spans="1:3" x14ac:dyDescent="0.35">
      <c r="A316" s="59" t="str">
        <f>_xlfn.TEXTJOIN(" ",TRUE,Employees_Data[[#This Row],[First Name]],Employees_Data[[#This Row],[Last Name]])</f>
        <v>Lylas Shiah</v>
      </c>
      <c r="B316" s="21">
        <v>9</v>
      </c>
      <c r="C316" s="60" t="str">
        <f>IFERROR(IF(Significant_Overtime[[#This Row],[Overtime Hours]]&gt;100,"High Overtime","Normal"),"Not Found")</f>
        <v>Normal</v>
      </c>
    </row>
    <row r="317" spans="1:3" x14ac:dyDescent="0.35">
      <c r="A317" s="59" t="str">
        <f>_xlfn.TEXTJOIN(" ",TRUE,Employees_Data[[#This Row],[First Name]],Employees_Data[[#This Row],[Last Name]])</f>
        <v>Kinda Alaqre</v>
      </c>
      <c r="B317" s="21">
        <v>17</v>
      </c>
      <c r="C317" s="60" t="str">
        <f>IFERROR(IF(Significant_Overtime[[#This Row],[Overtime Hours]]&gt;100,"High Overtime","Normal"),"Not Found")</f>
        <v>Normal</v>
      </c>
    </row>
    <row r="318" spans="1:3" x14ac:dyDescent="0.35">
      <c r="A318" s="59" t="str">
        <f>_xlfn.TEXTJOIN(" ",TRUE,Employees_Data[[#This Row],[First Name]],Employees_Data[[#This Row],[Last Name]])</f>
        <v>Muhamad Almisri</v>
      </c>
      <c r="B318" s="21">
        <v>1</v>
      </c>
      <c r="C318" s="60" t="str">
        <f>IFERROR(IF(Significant_Overtime[[#This Row],[Overtime Hours]]&gt;100,"High Overtime","Normal"),"Not Found")</f>
        <v>Normal</v>
      </c>
    </row>
    <row r="319" spans="1:3" x14ac:dyDescent="0.35">
      <c r="A319" s="59" t="str">
        <f>_xlfn.TEXTJOIN(" ",TRUE,Employees_Data[[#This Row],[First Name]],Employees_Data[[#This Row],[Last Name]])</f>
        <v>Dinana Zaydan</v>
      </c>
      <c r="B319" s="21">
        <v>5</v>
      </c>
      <c r="C319" s="60" t="str">
        <f>IFERROR(IF(Significant_Overtime[[#This Row],[Overtime Hours]]&gt;100,"High Overtime","Normal"),"Not Found")</f>
        <v>Normal</v>
      </c>
    </row>
    <row r="320" spans="1:3" x14ac:dyDescent="0.35">
      <c r="A320" s="59" t="str">
        <f>_xlfn.TEXTJOIN(" ",TRUE,Employees_Data[[#This Row],[First Name]],Employees_Data[[#This Row],[Last Name]])</f>
        <v>Amyrah Mudinih</v>
      </c>
      <c r="B320" s="21">
        <v>2</v>
      </c>
      <c r="C320" s="60" t="str">
        <f>IFERROR(IF(Significant_Overtime[[#This Row],[Overtime Hours]]&gt;100,"High Overtime","Normal"),"Not Found")</f>
        <v>Normal</v>
      </c>
    </row>
    <row r="321" spans="1:3" x14ac:dyDescent="0.35">
      <c r="A321" s="59" t="str">
        <f>_xlfn.TEXTJOIN(" ",TRUE,Employees_Data[[#This Row],[First Name]],Employees_Data[[#This Row],[Last Name]])</f>
        <v>Safa AlAhmar</v>
      </c>
      <c r="B321" s="21">
        <v>45</v>
      </c>
      <c r="C321" s="60" t="str">
        <f>IFERROR(IF(Significant_Overtime[[#This Row],[Overtime Hours]]&gt;100,"High Overtime","Normal"),"Not Found")</f>
        <v>Normal</v>
      </c>
    </row>
    <row r="322" spans="1:3" x14ac:dyDescent="0.35">
      <c r="A322" s="59" t="str">
        <f>_xlfn.TEXTJOIN(" ",TRUE,Employees_Data[[#This Row],[First Name]],Employees_Data[[#This Row],[Last Name]])</f>
        <v>Ahmad Eurman</v>
      </c>
      <c r="B322" s="21">
        <v>5</v>
      </c>
      <c r="C322" s="60" t="str">
        <f>IFERROR(IF(Significant_Overtime[[#This Row],[Overtime Hours]]&gt;100,"High Overtime","Normal"),"Not Found")</f>
        <v>Normal</v>
      </c>
    </row>
    <row r="323" spans="1:3" x14ac:dyDescent="0.35">
      <c r="A323" s="59" t="str">
        <f>_xlfn.TEXTJOIN(" ",TRUE,Employees_Data[[#This Row],[First Name]],Employees_Data[[#This Row],[Last Name]])</f>
        <v>Abd Allah Almawsiliu</v>
      </c>
      <c r="B323" s="21">
        <v>10</v>
      </c>
      <c r="C323" s="60" t="str">
        <f>IFERROR(IF(Significant_Overtime[[#This Row],[Overtime Hours]]&gt;100,"High Overtime","Normal"),"Not Found")</f>
        <v>Normal</v>
      </c>
    </row>
    <row r="324" spans="1:3" x14ac:dyDescent="0.35">
      <c r="A324" s="59" t="str">
        <f>_xlfn.TEXTJOIN(" ",TRUE,Employees_Data[[#This Row],[First Name]],Employees_Data[[#This Row],[Last Name]])</f>
        <v>Majd Eisaa</v>
      </c>
      <c r="B324" s="21">
        <v>15</v>
      </c>
      <c r="C324" s="60" t="str">
        <f>IFERROR(IF(Significant_Overtime[[#This Row],[Overtime Hours]]&gt;100,"High Overtime","Normal"),"Not Found")</f>
        <v>Normal</v>
      </c>
    </row>
    <row r="325" spans="1:3" x14ac:dyDescent="0.35">
      <c r="A325" s="59" t="str">
        <f>_xlfn.TEXTJOIN(" ",TRUE,Employees_Data[[#This Row],[First Name]],Employees_Data[[#This Row],[Last Name]])</f>
        <v>Muhamad Salhany</v>
      </c>
      <c r="B325" s="21">
        <v>10</v>
      </c>
      <c r="C325" s="60" t="str">
        <f>IFERROR(IF(Significant_Overtime[[#This Row],[Overtime Hours]]&gt;100,"High Overtime","Normal"),"Not Found")</f>
        <v>Normal</v>
      </c>
    </row>
    <row r="326" spans="1:3" x14ac:dyDescent="0.35">
      <c r="A326" s="59" t="str">
        <f>_xlfn.TEXTJOIN(" ",TRUE,Employees_Data[[#This Row],[First Name]],Employees_Data[[#This Row],[Last Name]])</f>
        <v>Ashraf Aleid</v>
      </c>
      <c r="B326" s="21">
        <v>9</v>
      </c>
      <c r="C326" s="60" t="str">
        <f>IFERROR(IF(Significant_Overtime[[#This Row],[Overtime Hours]]&gt;100,"High Overtime","Normal"),"Not Found")</f>
        <v>Normal</v>
      </c>
    </row>
    <row r="327" spans="1:3" x14ac:dyDescent="0.35">
      <c r="A327" s="59" t="str">
        <f>_xlfn.TEXTJOIN(" ",TRUE,Employees_Data[[#This Row],[First Name]],Employees_Data[[#This Row],[Last Name]])</f>
        <v>Muhamad Shadi Alghazy</v>
      </c>
      <c r="B327" s="21">
        <v>4</v>
      </c>
      <c r="C327" s="60" t="str">
        <f>IFERROR(IF(Significant_Overtime[[#This Row],[Overtime Hours]]&gt;100,"High Overtime","Normal"),"Not Found")</f>
        <v>Normal</v>
      </c>
    </row>
    <row r="328" spans="1:3" x14ac:dyDescent="0.35">
      <c r="A328" s="59" t="str">
        <f>_xlfn.TEXTJOIN(" ",TRUE,Employees_Data[[#This Row],[First Name]],Employees_Data[[#This Row],[Last Name]])</f>
        <v>Muhamad Husayn</v>
      </c>
      <c r="B328" s="21">
        <v>5</v>
      </c>
      <c r="C328" s="60" t="str">
        <f>IFERROR(IF(Significant_Overtime[[#This Row],[Overtime Hours]]&gt;100,"High Overtime","Normal"),"Not Found")</f>
        <v>Normal</v>
      </c>
    </row>
    <row r="329" spans="1:3" x14ac:dyDescent="0.35">
      <c r="A329" s="59" t="str">
        <f>_xlfn.TEXTJOIN(" ",TRUE,Employees_Data[[#This Row],[First Name]],Employees_Data[[#This Row],[Last Name]])</f>
        <v>Mazin Bytar</v>
      </c>
      <c r="B329" s="21">
        <v>14</v>
      </c>
      <c r="C329" s="60" t="str">
        <f>IFERROR(IF(Significant_Overtime[[#This Row],[Overtime Hours]]&gt;100,"High Overtime","Normal"),"Not Found")</f>
        <v>Normal</v>
      </c>
    </row>
    <row r="330" spans="1:3" x14ac:dyDescent="0.35">
      <c r="A330" s="59" t="str">
        <f>_xlfn.TEXTJOIN(" ",TRUE,Employees_Data[[#This Row],[First Name]],Employees_Data[[#This Row],[Last Name]])</f>
        <v>Iin Farahat</v>
      </c>
      <c r="B330" s="21">
        <v>3</v>
      </c>
      <c r="C330" s="60" t="str">
        <f>IFERROR(IF(Significant_Overtime[[#This Row],[Overtime Hours]]&gt;100,"High Overtime","Normal"),"Not Found")</f>
        <v>Normal</v>
      </c>
    </row>
    <row r="331" spans="1:3" x14ac:dyDescent="0.35">
      <c r="A331" s="59" t="str">
        <f>_xlfn.TEXTJOIN(" ",TRUE,Employees_Data[[#This Row],[First Name]],Employees_Data[[#This Row],[Last Name]])</f>
        <v>Lama Albazir</v>
      </c>
      <c r="B331" s="21">
        <v>9</v>
      </c>
      <c r="C331" s="60" t="str">
        <f>IFERROR(IF(Significant_Overtime[[#This Row],[Overtime Hours]]&gt;100,"High Overtime","Normal"),"Not Found")</f>
        <v>Normal</v>
      </c>
    </row>
    <row r="332" spans="1:3" x14ac:dyDescent="0.35">
      <c r="A332" s="59" t="str">
        <f>_xlfn.TEXTJOIN(" ",TRUE,Employees_Data[[#This Row],[First Name]],Employees_Data[[#This Row],[Last Name]])</f>
        <v>Emar Alnisrin</v>
      </c>
      <c r="B332" s="21">
        <v>10</v>
      </c>
      <c r="C332" s="60" t="str">
        <f>IFERROR(IF(Significant_Overtime[[#This Row],[Overtime Hours]]&gt;100,"High Overtime","Normal"),"Not Found")</f>
        <v>Normal</v>
      </c>
    </row>
    <row r="333" spans="1:3" x14ac:dyDescent="0.35">
      <c r="A333" s="59" t="str">
        <f>_xlfn.TEXTJOIN(" ",TRUE,Employees_Data[[#This Row],[First Name]],Employees_Data[[#This Row],[Last Name]])</f>
        <v>Afra Sharabi</v>
      </c>
      <c r="B333" s="21">
        <v>9</v>
      </c>
      <c r="C333" s="60" t="str">
        <f>IFERROR(IF(Significant_Overtime[[#This Row],[Overtime Hours]]&gt;100,"High Overtime","Normal"),"Not Found")</f>
        <v>Normal</v>
      </c>
    </row>
    <row r="334" spans="1:3" x14ac:dyDescent="0.35">
      <c r="A334" s="59" t="str">
        <f>_xlfn.TEXTJOIN(" ",TRUE,Employees_Data[[#This Row],[First Name]],Employees_Data[[#This Row],[Last Name]])</f>
        <v>Ahmad Hamuwd</v>
      </c>
      <c r="B334" s="21">
        <v>0</v>
      </c>
      <c r="C334" s="60" t="str">
        <f>IFERROR(IF(Significant_Overtime[[#This Row],[Overtime Hours]]&gt;100,"High Overtime","Normal"),"Not Found")</f>
        <v>Normal</v>
      </c>
    </row>
    <row r="335" spans="1:3" x14ac:dyDescent="0.35">
      <c r="A335" s="59" t="str">
        <f>_xlfn.TEXTJOIN(" ",TRUE,Employees_Data[[#This Row],[First Name]],Employees_Data[[#This Row],[Last Name]])</f>
        <v>Ramiz Aleuryan</v>
      </c>
      <c r="B335" s="21">
        <v>7</v>
      </c>
      <c r="C335" s="60" t="str">
        <f>IFERROR(IF(Significant_Overtime[[#This Row],[Overtime Hours]]&gt;100,"High Overtime","Normal"),"Not Found")</f>
        <v>Normal</v>
      </c>
    </row>
    <row r="336" spans="1:3" x14ac:dyDescent="0.35">
      <c r="A336" s="59" t="str">
        <f>_xlfn.TEXTJOIN(" ",TRUE,Employees_Data[[#This Row],[First Name]],Employees_Data[[#This Row],[Last Name]])</f>
        <v>Iad Eaku</v>
      </c>
      <c r="B336" s="21">
        <v>10</v>
      </c>
      <c r="C336" s="60" t="str">
        <f>IFERROR(IF(Significant_Overtime[[#This Row],[Overtime Hours]]&gt;100,"High Overtime","Normal"),"Not Found")</f>
        <v>Normal</v>
      </c>
    </row>
    <row r="337" spans="1:3" x14ac:dyDescent="0.35">
      <c r="A337" s="59" t="str">
        <f>_xlfn.TEXTJOIN(" ",TRUE,Employees_Data[[#This Row],[First Name]],Employees_Data[[#This Row],[Last Name]])</f>
        <v>Husayn Euthman</v>
      </c>
      <c r="B337" s="21">
        <v>6</v>
      </c>
      <c r="C337" s="60" t="str">
        <f>IFERROR(IF(Significant_Overtime[[#This Row],[Overtime Hours]]&gt;100,"High Overtime","Normal"),"Not Found")</f>
        <v>Normal</v>
      </c>
    </row>
    <row r="338" spans="1:3" x14ac:dyDescent="0.35">
      <c r="A338" s="59" t="str">
        <f>_xlfn.TEXTJOIN(" ",TRUE,Employees_Data[[#This Row],[First Name]],Employees_Data[[#This Row],[Last Name]])</f>
        <v>Imran Hazruma</v>
      </c>
      <c r="B338" s="21">
        <v>1</v>
      </c>
      <c r="C338" s="60" t="str">
        <f>IFERROR(IF(Significant_Overtime[[#This Row],[Overtime Hours]]&gt;100,"High Overtime","Normal"),"Not Found")</f>
        <v>Normal</v>
      </c>
    </row>
    <row r="339" spans="1:3" x14ac:dyDescent="0.35">
      <c r="A339" s="59" t="str">
        <f>_xlfn.TEXTJOIN(" ",TRUE,Employees_Data[[#This Row],[First Name]],Employees_Data[[#This Row],[Last Name]])</f>
        <v>Rawan Durkzili</v>
      </c>
      <c r="B339" s="21">
        <v>7</v>
      </c>
      <c r="C339" s="60" t="str">
        <f>IFERROR(IF(Significant_Overtime[[#This Row],[Overtime Hours]]&gt;100,"High Overtime","Normal"),"Not Found")</f>
        <v>Normal</v>
      </c>
    </row>
    <row r="340" spans="1:3" x14ac:dyDescent="0.35">
      <c r="A340" s="59" t="str">
        <f>_xlfn.TEXTJOIN(" ",TRUE,Employees_Data[[#This Row],[First Name]],Employees_Data[[#This Row],[Last Name]])</f>
        <v>Muayid Shaqir</v>
      </c>
      <c r="B340" s="21">
        <v>9</v>
      </c>
      <c r="C340" s="60" t="str">
        <f>IFERROR(IF(Significant_Overtime[[#This Row],[Overtime Hours]]&gt;100,"High Overtime","Normal"),"Not Found")</f>
        <v>Normal</v>
      </c>
    </row>
    <row r="341" spans="1:3" x14ac:dyDescent="0.35">
      <c r="A341" s="59" t="str">
        <f>_xlfn.TEXTJOIN(" ",TRUE,Employees_Data[[#This Row],[First Name]],Employees_Data[[#This Row],[Last Name]])</f>
        <v>Muanis Alsabagh</v>
      </c>
      <c r="B341" s="21">
        <v>15</v>
      </c>
      <c r="C341" s="60" t="str">
        <f>IFERROR(IF(Significant_Overtime[[#This Row],[Overtime Hours]]&gt;100,"High Overtime","Normal"),"Not Found")</f>
        <v>Normal</v>
      </c>
    </row>
    <row r="342" spans="1:3" x14ac:dyDescent="0.35">
      <c r="A342" s="59" t="str">
        <f>_xlfn.TEXTJOIN(" ",TRUE,Employees_Data[[#This Row],[First Name]],Employees_Data[[#This Row],[Last Name]])</f>
        <v>Dijwar Husu</v>
      </c>
      <c r="B342" s="21">
        <v>8</v>
      </c>
      <c r="C342" s="60" t="str">
        <f>IFERROR(IF(Significant_Overtime[[#This Row],[Overtime Hours]]&gt;100,"High Overtime","Normal"),"Not Found")</f>
        <v>Normal</v>
      </c>
    </row>
    <row r="343" spans="1:3" x14ac:dyDescent="0.35">
      <c r="A343" s="59" t="str">
        <f>_xlfn.TEXTJOIN(" ",TRUE,Employees_Data[[#This Row],[First Name]],Employees_Data[[#This Row],[Last Name]])</f>
        <v>Asama Eilwan</v>
      </c>
      <c r="B343" s="21">
        <v>2</v>
      </c>
      <c r="C343" s="60" t="str">
        <f>IFERROR(IF(Significant_Overtime[[#This Row],[Overtime Hours]]&gt;100,"High Overtime","Normal"),"Not Found")</f>
        <v>Normal</v>
      </c>
    </row>
    <row r="344" spans="1:3" x14ac:dyDescent="0.35">
      <c r="A344" s="59" t="str">
        <f>_xlfn.TEXTJOIN(" ",TRUE,Employees_Data[[#This Row],[First Name]],Employees_Data[[#This Row],[Last Name]])</f>
        <v>Esamat Alhidad</v>
      </c>
      <c r="B344" s="21">
        <v>71</v>
      </c>
      <c r="C344" s="60" t="str">
        <f>IFERROR(IF(Significant_Overtime[[#This Row],[Overtime Hours]]&gt;100,"High Overtime","Normal"),"Not Found")</f>
        <v>Normal</v>
      </c>
    </row>
    <row r="345" spans="1:3" x14ac:dyDescent="0.35">
      <c r="A345" s="59" t="str">
        <f>_xlfn.TEXTJOIN(" ",TRUE,Employees_Data[[#This Row],[First Name]],Employees_Data[[#This Row],[Last Name]])</f>
        <v>Tariq Zaeur</v>
      </c>
      <c r="B345" s="21">
        <v>2</v>
      </c>
      <c r="C345" s="60" t="str">
        <f>IFERROR(IF(Significant_Overtime[[#This Row],[Overtime Hours]]&gt;100,"High Overtime","Normal"),"Not Found")</f>
        <v>Normal</v>
      </c>
    </row>
    <row r="346" spans="1:3" x14ac:dyDescent="0.35">
      <c r="A346" s="59" t="str">
        <f>_xlfn.TEXTJOIN(" ",TRUE,Employees_Data[[#This Row],[First Name]],Employees_Data[[#This Row],[Last Name]])</f>
        <v>Rasul Aleumurii</v>
      </c>
      <c r="B346" s="21">
        <v>0</v>
      </c>
      <c r="C346" s="60" t="str">
        <f>IFERROR(IF(Significant_Overtime[[#This Row],[Overtime Hours]]&gt;100,"High Overtime","Normal"),"Not Found")</f>
        <v>Normal</v>
      </c>
    </row>
    <row r="347" spans="1:3" x14ac:dyDescent="0.35">
      <c r="A347" s="59" t="str">
        <f>_xlfn.TEXTJOIN(" ",TRUE,Employees_Data[[#This Row],[First Name]],Employees_Data[[#This Row],[Last Name]])</f>
        <v>Rawan Albaytar</v>
      </c>
      <c r="B347" s="21">
        <v>7</v>
      </c>
      <c r="C347" s="60" t="str">
        <f>IFERROR(IF(Significant_Overtime[[#This Row],[Overtime Hours]]&gt;100,"High Overtime","Normal"),"Not Found")</f>
        <v>Normal</v>
      </c>
    </row>
    <row r="348" spans="1:3" x14ac:dyDescent="0.35">
      <c r="A348" s="59" t="str">
        <f>_xlfn.TEXTJOIN(" ",TRUE,Employees_Data[[#This Row],[First Name]],Employees_Data[[#This Row],[Last Name]])</f>
        <v>Omar Altuean</v>
      </c>
      <c r="B348" s="21">
        <v>0</v>
      </c>
      <c r="C348" s="60" t="str">
        <f>IFERROR(IF(Significant_Overtime[[#This Row],[Overtime Hours]]&gt;100,"High Overtime","Normal"),"Not Found")</f>
        <v>Normal</v>
      </c>
    </row>
    <row r="349" spans="1:3" x14ac:dyDescent="0.35">
      <c r="A349" s="59" t="str">
        <f>_xlfn.TEXTJOIN(" ",TRUE,Employees_Data[[#This Row],[First Name]],Employees_Data[[#This Row],[Last Name]])</f>
        <v>Dalia Hamdan</v>
      </c>
      <c r="B349" s="21">
        <v>10</v>
      </c>
      <c r="C349" s="60" t="str">
        <f>IFERROR(IF(Significant_Overtime[[#This Row],[Overtime Hours]]&gt;100,"High Overtime","Normal"),"Not Found")</f>
        <v>Normal</v>
      </c>
    </row>
    <row r="350" spans="1:3" x14ac:dyDescent="0.35">
      <c r="A350" s="59" t="str">
        <f>_xlfn.TEXTJOIN(" ",TRUE,Employees_Data[[#This Row],[First Name]],Employees_Data[[#This Row],[Last Name]])</f>
        <v>Omar Alhindi</v>
      </c>
      <c r="B350" s="21">
        <v>6</v>
      </c>
      <c r="C350" s="60" t="str">
        <f>IFERROR(IF(Significant_Overtime[[#This Row],[Overtime Hours]]&gt;100,"High Overtime","Normal"),"Not Found")</f>
        <v>Normal</v>
      </c>
    </row>
    <row r="351" spans="1:3" x14ac:dyDescent="0.35">
      <c r="A351" s="59" t="str">
        <f>_xlfn.TEXTJOIN(" ",TRUE,Employees_Data[[#This Row],[First Name]],Employees_Data[[#This Row],[Last Name]])</f>
        <v>Ali Zyny</v>
      </c>
      <c r="B351" s="21">
        <v>4</v>
      </c>
      <c r="C351" s="60" t="str">
        <f>IFERROR(IF(Significant_Overtime[[#This Row],[Overtime Hours]]&gt;100,"High Overtime","Normal"),"Not Found")</f>
        <v>Normal</v>
      </c>
    </row>
    <row r="352" spans="1:3" x14ac:dyDescent="0.35">
      <c r="A352" s="59" t="str">
        <f>_xlfn.TEXTJOIN(" ",TRUE,Employees_Data[[#This Row],[First Name]],Employees_Data[[#This Row],[Last Name]])</f>
        <v>Almuetaz Biallah</v>
      </c>
      <c r="B352" s="21">
        <v>8</v>
      </c>
      <c r="C352" s="60" t="str">
        <f>IFERROR(IF(Significant_Overtime[[#This Row],[Overtime Hours]]&gt;100,"High Overtime","Normal"),"Not Found")</f>
        <v>Normal</v>
      </c>
    </row>
    <row r="353" spans="1:3" x14ac:dyDescent="0.35">
      <c r="A353" s="59" t="str">
        <f>_xlfn.TEXTJOIN(" ",TRUE,Employees_Data[[#This Row],[First Name]],Employees_Data[[#This Row],[Last Name]])</f>
        <v>Rabana Alsaman</v>
      </c>
      <c r="B353" s="21">
        <v>2</v>
      </c>
      <c r="C353" s="60" t="str">
        <f>IFERROR(IF(Significant_Overtime[[#This Row],[Overtime Hours]]&gt;100,"High Overtime","Normal"),"Not Found")</f>
        <v>Normal</v>
      </c>
    </row>
    <row r="354" spans="1:3" x14ac:dyDescent="0.35">
      <c r="A354" s="59" t="str">
        <f>_xlfn.TEXTJOIN(" ",TRUE,Employees_Data[[#This Row],[First Name]],Employees_Data[[#This Row],[Last Name]])</f>
        <v>Ghada Khalid</v>
      </c>
      <c r="B354" s="21">
        <v>0</v>
      </c>
      <c r="C354" s="60" t="str">
        <f>IFERROR(IF(Significant_Overtime[[#This Row],[Overtime Hours]]&gt;100,"High Overtime","Normal"),"Not Found")</f>
        <v>Normal</v>
      </c>
    </row>
    <row r="355" spans="1:3" x14ac:dyDescent="0.35">
      <c r="A355" s="59" t="str">
        <f>_xlfn.TEXTJOIN(" ",TRUE,Employees_Data[[#This Row],[First Name]],Employees_Data[[#This Row],[Last Name]])</f>
        <v>Esamat Alriys</v>
      </c>
      <c r="B355" s="21">
        <v>31</v>
      </c>
      <c r="C355" s="60" t="str">
        <f>IFERROR(IF(Significant_Overtime[[#This Row],[Overtime Hours]]&gt;100,"High Overtime","Normal"),"Not Found")</f>
        <v>Normal</v>
      </c>
    </row>
    <row r="356" spans="1:3" x14ac:dyDescent="0.35">
      <c r="A356" s="59" t="str">
        <f>_xlfn.TEXTJOIN(" ",TRUE,Employees_Data[[#This Row],[First Name]],Employees_Data[[#This Row],[Last Name]])</f>
        <v>Amir Alkhatib</v>
      </c>
      <c r="B356" s="21">
        <v>13</v>
      </c>
      <c r="C356" s="60" t="str">
        <f>IFERROR(IF(Significant_Overtime[[#This Row],[Overtime Hours]]&gt;100,"High Overtime","Normal"),"Not Found")</f>
        <v>Normal</v>
      </c>
    </row>
    <row r="357" spans="1:3" x14ac:dyDescent="0.35">
      <c r="A357" s="59" t="str">
        <f>_xlfn.TEXTJOIN(" ",TRUE,Employees_Data[[#This Row],[First Name]],Employees_Data[[#This Row],[Last Name]])</f>
        <v>Samirah Jumea</v>
      </c>
      <c r="B357" s="21">
        <v>10</v>
      </c>
      <c r="C357" s="60" t="str">
        <f>IFERROR(IF(Significant_Overtime[[#This Row],[Overtime Hours]]&gt;100,"High Overtime","Normal"),"Not Found")</f>
        <v>Normal</v>
      </c>
    </row>
    <row r="358" spans="1:3" x14ac:dyDescent="0.35">
      <c r="A358" s="59" t="str">
        <f>_xlfn.TEXTJOIN(" ",TRUE,Employees_Data[[#This Row],[First Name]],Employees_Data[[#This Row],[Last Name]])</f>
        <v>Samir Alhaj Ali</v>
      </c>
      <c r="B358" s="21">
        <v>2</v>
      </c>
      <c r="C358" s="60" t="str">
        <f>IFERROR(IF(Significant_Overtime[[#This Row],[Overtime Hours]]&gt;100,"High Overtime","Normal"),"Not Found")</f>
        <v>Normal</v>
      </c>
    </row>
    <row r="359" spans="1:3" x14ac:dyDescent="0.35">
      <c r="A359" s="59" t="str">
        <f>_xlfn.TEXTJOIN(" ",TRUE,Employees_Data[[#This Row],[First Name]],Employees_Data[[#This Row],[Last Name]])</f>
        <v>Farial Qulumih</v>
      </c>
      <c r="B359" s="21">
        <v>3</v>
      </c>
      <c r="C359" s="60" t="str">
        <f>IFERROR(IF(Significant_Overtime[[#This Row],[Overtime Hours]]&gt;100,"High Overtime","Normal"),"Not Found")</f>
        <v>Normal</v>
      </c>
    </row>
    <row r="360" spans="1:3" x14ac:dyDescent="0.35">
      <c r="A360" s="59" t="str">
        <f>_xlfn.TEXTJOIN(" ",TRUE,Employees_Data[[#This Row],[First Name]],Employees_Data[[#This Row],[Last Name]])</f>
        <v>Salih Dawara</v>
      </c>
      <c r="B360" s="21">
        <v>9</v>
      </c>
      <c r="C360" s="60" t="str">
        <f>IFERROR(IF(Significant_Overtime[[#This Row],[Overtime Hours]]&gt;100,"High Overtime","Normal"),"Not Found")</f>
        <v>Normal</v>
      </c>
    </row>
    <row r="361" spans="1:3" x14ac:dyDescent="0.35">
      <c r="A361" s="59" t="str">
        <f>_xlfn.TEXTJOIN(" ",TRUE,Employees_Data[[#This Row],[First Name]],Employees_Data[[#This Row],[Last Name]])</f>
        <v>Abdalhadi Salim</v>
      </c>
      <c r="B361" s="21">
        <v>3</v>
      </c>
      <c r="C361" s="60" t="str">
        <f>IFERROR(IF(Significant_Overtime[[#This Row],[Overtime Hours]]&gt;100,"High Overtime","Normal"),"Not Found")</f>
        <v>Normal</v>
      </c>
    </row>
    <row r="362" spans="1:3" x14ac:dyDescent="0.35">
      <c r="A362" s="59" t="str">
        <f>_xlfn.TEXTJOIN(" ",TRUE,Employees_Data[[#This Row],[First Name]],Employees_Data[[#This Row],[Last Name]])</f>
        <v>Ruaa Qahraman</v>
      </c>
      <c r="B362" s="21">
        <v>4</v>
      </c>
      <c r="C362" s="60" t="str">
        <f>IFERROR(IF(Significant_Overtime[[#This Row],[Overtime Hours]]&gt;100,"High Overtime","Normal"),"Not Found")</f>
        <v>Normal</v>
      </c>
    </row>
    <row r="363" spans="1:3" x14ac:dyDescent="0.35">
      <c r="A363" s="59" t="str">
        <f>_xlfn.TEXTJOIN(" ",TRUE,Employees_Data[[#This Row],[First Name]],Employees_Data[[#This Row],[Last Name]])</f>
        <v>Muhamad Mshati</v>
      </c>
      <c r="B363" s="21">
        <v>9</v>
      </c>
      <c r="C363" s="60" t="str">
        <f>IFERROR(IF(Significant_Overtime[[#This Row],[Overtime Hours]]&gt;100,"High Overtime","Normal"),"Not Found")</f>
        <v>Normal</v>
      </c>
    </row>
    <row r="364" spans="1:3" x14ac:dyDescent="0.35">
      <c r="A364" s="59" t="str">
        <f>_xlfn.TEXTJOIN(" ",TRUE,Employees_Data[[#This Row],[First Name]],Employees_Data[[#This Row],[Last Name]])</f>
        <v>Shadi Altibae</v>
      </c>
      <c r="B364" s="21">
        <v>14</v>
      </c>
      <c r="C364" s="60" t="str">
        <f>IFERROR(IF(Significant_Overtime[[#This Row],[Overtime Hours]]&gt;100,"High Overtime","Normal"),"Not Found")</f>
        <v>Normal</v>
      </c>
    </row>
    <row r="365" spans="1:3" x14ac:dyDescent="0.35">
      <c r="A365" s="59" t="str">
        <f>_xlfn.TEXTJOIN(" ",TRUE,Employees_Data[[#This Row],[First Name]],Employees_Data[[#This Row],[Last Name]])</f>
        <v>Ahmad Iidlibi</v>
      </c>
      <c r="B365" s="21">
        <v>0</v>
      </c>
      <c r="C365" s="60" t="str">
        <f>IFERROR(IF(Significant_Overtime[[#This Row],[Overtime Hours]]&gt;100,"High Overtime","Normal"),"Not Found")</f>
        <v>Normal</v>
      </c>
    </row>
    <row r="366" spans="1:3" x14ac:dyDescent="0.35">
      <c r="A366" s="59" t="str">
        <f>_xlfn.TEXTJOIN(" ",TRUE,Employees_Data[[#This Row],[First Name]],Employees_Data[[#This Row],[Last Name]])</f>
        <v>Fadi Ghazzawi</v>
      </c>
      <c r="B366" s="21">
        <v>1</v>
      </c>
      <c r="C366" s="60" t="str">
        <f>IFERROR(IF(Significant_Overtime[[#This Row],[Overtime Hours]]&gt;100,"High Overtime","Normal"),"Not Found")</f>
        <v>Normal</v>
      </c>
    </row>
    <row r="367" spans="1:3" x14ac:dyDescent="0.35">
      <c r="A367" s="59" t="str">
        <f>_xlfn.TEXTJOIN(" ",TRUE,Employees_Data[[#This Row],[First Name]],Employees_Data[[#This Row],[Last Name]])</f>
        <v>Basil Eabd Aleal</v>
      </c>
      <c r="B367" s="21">
        <v>8</v>
      </c>
      <c r="C367" s="60" t="str">
        <f>IFERROR(IF(Significant_Overtime[[#This Row],[Overtime Hours]]&gt;100,"High Overtime","Normal"),"Not Found")</f>
        <v>Normal</v>
      </c>
    </row>
    <row r="368" spans="1:3" x14ac:dyDescent="0.35">
      <c r="A368" s="59" t="str">
        <f>_xlfn.TEXTJOIN(" ",TRUE,Employees_Data[[#This Row],[First Name]],Employees_Data[[#This Row],[Last Name]])</f>
        <v>Sali Musuh</v>
      </c>
      <c r="B368" s="21">
        <v>12</v>
      </c>
      <c r="C368" s="60" t="str">
        <f>IFERROR(IF(Significant_Overtime[[#This Row],[Overtime Hours]]&gt;100,"High Overtime","Normal"),"Not Found")</f>
        <v>Normal</v>
      </c>
    </row>
    <row r="369" spans="1:3" x14ac:dyDescent="0.35">
      <c r="A369" s="59" t="str">
        <f>_xlfn.TEXTJOIN(" ",TRUE,Employees_Data[[#This Row],[First Name]],Employees_Data[[#This Row],[Last Name]])</f>
        <v>Alaa Iismaeil</v>
      </c>
      <c r="B369" s="21">
        <v>8</v>
      </c>
      <c r="C369" s="60" t="str">
        <f>IFERROR(IF(Significant_Overtime[[#This Row],[Overtime Hours]]&gt;100,"High Overtime","Normal"),"Not Found")</f>
        <v>Normal</v>
      </c>
    </row>
    <row r="370" spans="1:3" x14ac:dyDescent="0.35">
      <c r="A370" s="59" t="str">
        <f>_xlfn.TEXTJOIN(" ",TRUE,Employees_Data[[#This Row],[First Name]],Employees_Data[[#This Row],[Last Name]])</f>
        <v>Maria Alhizae</v>
      </c>
      <c r="B370" s="21">
        <v>7</v>
      </c>
      <c r="C370" s="60" t="str">
        <f>IFERROR(IF(Significant_Overtime[[#This Row],[Overtime Hours]]&gt;100,"High Overtime","Normal"),"Not Found")</f>
        <v>Normal</v>
      </c>
    </row>
    <row r="371" spans="1:3" x14ac:dyDescent="0.35">
      <c r="A371" s="59" t="str">
        <f>_xlfn.TEXTJOIN(" ",TRUE,Employees_Data[[#This Row],[First Name]],Employees_Data[[#This Row],[Last Name]])</f>
        <v>Ghazal Alghan</v>
      </c>
      <c r="B371" s="21">
        <v>13</v>
      </c>
      <c r="C371" s="60" t="str">
        <f>IFERROR(IF(Significant_Overtime[[#This Row],[Overtime Hours]]&gt;100,"High Overtime","Normal"),"Not Found")</f>
        <v>Normal</v>
      </c>
    </row>
    <row r="372" spans="1:3" x14ac:dyDescent="0.35">
      <c r="A372" s="59" t="str">
        <f>_xlfn.TEXTJOIN(" ",TRUE,Employees_Data[[#This Row],[First Name]],Employees_Data[[#This Row],[Last Name]])</f>
        <v>Eala Mitri</v>
      </c>
      <c r="B372" s="21">
        <v>8</v>
      </c>
      <c r="C372" s="60" t="str">
        <f>IFERROR(IF(Significant_Overtime[[#This Row],[Overtime Hours]]&gt;100,"High Overtime","Normal"),"Not Found")</f>
        <v>Normal</v>
      </c>
    </row>
    <row r="373" spans="1:3" x14ac:dyDescent="0.35">
      <c r="A373" s="59" t="str">
        <f>_xlfn.TEXTJOIN(" ",TRUE,Employees_Data[[#This Row],[First Name]],Employees_Data[[#This Row],[Last Name]])</f>
        <v>Muhamad Aleliwi</v>
      </c>
      <c r="B373" s="21">
        <v>50</v>
      </c>
      <c r="C373" s="60" t="str">
        <f>IFERROR(IF(Significant_Overtime[[#This Row],[Overtime Hours]]&gt;100,"High Overtime","Normal"),"Not Found")</f>
        <v>Normal</v>
      </c>
    </row>
    <row r="374" spans="1:3" x14ac:dyDescent="0.35">
      <c r="A374" s="59" t="str">
        <f>_xlfn.TEXTJOIN(" ",TRUE,Employees_Data[[#This Row],[First Name]],Employees_Data[[#This Row],[Last Name]])</f>
        <v>Ahmad Almisri</v>
      </c>
      <c r="B374" s="21">
        <v>1</v>
      </c>
      <c r="C374" s="60" t="str">
        <f>IFERROR(IF(Significant_Overtime[[#This Row],[Overtime Hours]]&gt;100,"High Overtime","Normal"),"Not Found")</f>
        <v>Normal</v>
      </c>
    </row>
    <row r="375" spans="1:3" x14ac:dyDescent="0.35">
      <c r="A375" s="59" t="str">
        <f>_xlfn.TEXTJOIN(" ",TRUE,Employees_Data[[#This Row],[First Name]],Employees_Data[[#This Row],[Last Name]])</f>
        <v>Ahmad Aldwltali</v>
      </c>
      <c r="B375" s="21">
        <v>35</v>
      </c>
      <c r="C375" s="60" t="str">
        <f>IFERROR(IF(Significant_Overtime[[#This Row],[Overtime Hours]]&gt;100,"High Overtime","Normal"),"Not Found")</f>
        <v>Normal</v>
      </c>
    </row>
    <row r="376" spans="1:3" x14ac:dyDescent="0.35">
      <c r="A376" s="59" t="str">
        <f>_xlfn.TEXTJOIN(" ",TRUE,Employees_Data[[#This Row],[First Name]],Employees_Data[[#This Row],[Last Name]])</f>
        <v>Muhamad Udib</v>
      </c>
      <c r="B376" s="21">
        <v>6</v>
      </c>
      <c r="C376" s="60" t="str">
        <f>IFERROR(IF(Significant_Overtime[[#This Row],[Overtime Hours]]&gt;100,"High Overtime","Normal"),"Not Found")</f>
        <v>Normal</v>
      </c>
    </row>
    <row r="377" spans="1:3" x14ac:dyDescent="0.35">
      <c r="A377" s="59" t="str">
        <f>_xlfn.TEXTJOIN(" ",TRUE,Employees_Data[[#This Row],[First Name]],Employees_Data[[#This Row],[Last Name]])</f>
        <v>Alaa Yuzbik</v>
      </c>
      <c r="B377" s="21">
        <v>10</v>
      </c>
      <c r="C377" s="60" t="str">
        <f>IFERROR(IF(Significant_Overtime[[#This Row],[Overtime Hours]]&gt;100,"High Overtime","Normal"),"Not Found")</f>
        <v>Normal</v>
      </c>
    </row>
    <row r="378" spans="1:3" x14ac:dyDescent="0.35">
      <c r="A378" s="59" t="str">
        <f>_xlfn.TEXTJOIN(" ",TRUE,Employees_Data[[#This Row],[First Name]],Employees_Data[[#This Row],[Last Name]])</f>
        <v>Husayn Zaerur</v>
      </c>
      <c r="B378" s="21">
        <v>3</v>
      </c>
      <c r="C378" s="60" t="str">
        <f>IFERROR(IF(Significant_Overtime[[#This Row],[Overtime Hours]]&gt;100,"High Overtime","Normal"),"Not Found")</f>
        <v>Normal</v>
      </c>
    </row>
    <row r="379" spans="1:3" x14ac:dyDescent="0.35">
      <c r="A379" s="59" t="str">
        <f>_xlfn.TEXTJOIN(" ",TRUE,Employees_Data[[#This Row],[First Name]],Employees_Data[[#This Row],[Last Name]])</f>
        <v>Saeid Mazlum</v>
      </c>
      <c r="B379" s="21">
        <v>5</v>
      </c>
      <c r="C379" s="60" t="str">
        <f>IFERROR(IF(Significant_Overtime[[#This Row],[Overtime Hours]]&gt;100,"High Overtime","Normal"),"Not Found")</f>
        <v>Normal</v>
      </c>
    </row>
    <row r="380" spans="1:3" x14ac:dyDescent="0.35">
      <c r="A380" s="59" t="str">
        <f>_xlfn.TEXTJOIN(" ",TRUE,Employees_Data[[#This Row],[First Name]],Employees_Data[[#This Row],[Last Name]])</f>
        <v>Ahmad Alghurani</v>
      </c>
      <c r="B380" s="21">
        <v>11</v>
      </c>
      <c r="C380" s="60" t="str">
        <f>IFERROR(IF(Significant_Overtime[[#This Row],[Overtime Hours]]&gt;100,"High Overtime","Normal"),"Not Found")</f>
        <v>Normal</v>
      </c>
    </row>
    <row r="381" spans="1:3" x14ac:dyDescent="0.35">
      <c r="A381" s="59" t="str">
        <f>_xlfn.TEXTJOIN(" ",TRUE,Employees_Data[[#This Row],[First Name]],Employees_Data[[#This Row],[Last Name]])</f>
        <v>Abd Alsamad Ahmad</v>
      </c>
      <c r="B381" s="21">
        <v>7</v>
      </c>
      <c r="C381" s="60" t="str">
        <f>IFERROR(IF(Significant_Overtime[[#This Row],[Overtime Hours]]&gt;100,"High Overtime","Normal"),"Not Found")</f>
        <v>Normal</v>
      </c>
    </row>
    <row r="382" spans="1:3" x14ac:dyDescent="0.35">
      <c r="A382" s="59" t="str">
        <f>_xlfn.TEXTJOIN(" ",TRUE,Employees_Data[[#This Row],[First Name]],Employees_Data[[#This Row],[Last Name]])</f>
        <v>Amir Alhasan</v>
      </c>
      <c r="B382" s="21">
        <v>8</v>
      </c>
      <c r="C382" s="60" t="str">
        <f>IFERROR(IF(Significant_Overtime[[#This Row],[Overtime Hours]]&gt;100,"High Overtime","Normal"),"Not Found")</f>
        <v>Normal</v>
      </c>
    </row>
    <row r="383" spans="1:3" x14ac:dyDescent="0.35">
      <c r="A383" s="59" t="str">
        <f>_xlfn.TEXTJOIN(" ",TRUE,Employees_Data[[#This Row],[First Name]],Employees_Data[[#This Row],[Last Name]])</f>
        <v>Alaa Altahhan</v>
      </c>
      <c r="B383" s="21">
        <v>12</v>
      </c>
      <c r="C383" s="60" t="str">
        <f>IFERROR(IF(Significant_Overtime[[#This Row],[Overtime Hours]]&gt;100,"High Overtime","Normal"),"Not Found")</f>
        <v>Normal</v>
      </c>
    </row>
    <row r="384" spans="1:3" x14ac:dyDescent="0.35">
      <c r="A384" s="59" t="str">
        <f>_xlfn.TEXTJOIN(" ",TRUE,Employees_Data[[#This Row],[First Name]],Employees_Data[[#This Row],[Last Name]])</f>
        <v>Iad Mahfud</v>
      </c>
      <c r="B384" s="21">
        <v>10</v>
      </c>
      <c r="C384" s="60" t="str">
        <f>IFERROR(IF(Significant_Overtime[[#This Row],[Overtime Hours]]&gt;100,"High Overtime","Normal"),"Not Found")</f>
        <v>Normal</v>
      </c>
    </row>
    <row r="385" spans="1:3" x14ac:dyDescent="0.35">
      <c r="A385" s="59" t="str">
        <f>_xlfn.TEXTJOIN(" ",TRUE,Employees_Data[[#This Row],[First Name]],Employees_Data[[#This Row],[Last Name]])</f>
        <v>Sarah Damrani</v>
      </c>
      <c r="B385" s="21">
        <v>5</v>
      </c>
      <c r="C385" s="60" t="str">
        <f>IFERROR(IF(Significant_Overtime[[#This Row],[Overtime Hours]]&gt;100,"High Overtime","Normal"),"Not Found")</f>
        <v>Normal</v>
      </c>
    </row>
    <row r="386" spans="1:3" x14ac:dyDescent="0.35">
      <c r="A386" s="59" t="str">
        <f>_xlfn.TEXTJOIN(" ",TRUE,Employees_Data[[#This Row],[First Name]],Employees_Data[[#This Row],[Last Name]])</f>
        <v>Husam Aldubus</v>
      </c>
      <c r="B386" s="21">
        <v>9</v>
      </c>
      <c r="C386" s="60" t="str">
        <f>IFERROR(IF(Significant_Overtime[[#This Row],[Overtime Hours]]&gt;100,"High Overtime","Normal"),"Not Found")</f>
        <v>Normal</v>
      </c>
    </row>
    <row r="387" spans="1:3" x14ac:dyDescent="0.35">
      <c r="A387" s="59" t="str">
        <f>_xlfn.TEXTJOIN(" ",TRUE,Employees_Data[[#This Row],[First Name]],Employees_Data[[#This Row],[Last Name]])</f>
        <v>Ahmad Zynu</v>
      </c>
      <c r="B387" s="21">
        <v>8</v>
      </c>
      <c r="C387" s="60" t="str">
        <f>IFERROR(IF(Significant_Overtime[[#This Row],[Overtime Hours]]&gt;100,"High Overtime","Normal"),"Not Found")</f>
        <v>Normal</v>
      </c>
    </row>
    <row r="388" spans="1:3" x14ac:dyDescent="0.35">
      <c r="A388" s="59" t="str">
        <f>_xlfn.TEXTJOIN(" ",TRUE,Employees_Data[[#This Row],[First Name]],Employees_Data[[#This Row],[Last Name]])</f>
        <v>Lwy Abu</v>
      </c>
      <c r="B388" s="21">
        <v>10</v>
      </c>
      <c r="C388" s="60" t="str">
        <f>IFERROR(IF(Significant_Overtime[[#This Row],[Overtime Hours]]&gt;100,"High Overtime","Normal"),"Not Found")</f>
        <v>Normal</v>
      </c>
    </row>
    <row r="389" spans="1:3" x14ac:dyDescent="0.35">
      <c r="A389" s="59" t="str">
        <f>_xlfn.TEXTJOIN(" ",TRUE,Employees_Data[[#This Row],[First Name]],Employees_Data[[#This Row],[Last Name]])</f>
        <v>Tariq Shams</v>
      </c>
      <c r="B389" s="21">
        <v>2</v>
      </c>
      <c r="C389" s="60" t="str">
        <f>IFERROR(IF(Significant_Overtime[[#This Row],[Overtime Hours]]&gt;100,"High Overtime","Normal"),"Not Found")</f>
        <v>Normal</v>
      </c>
    </row>
    <row r="390" spans="1:3" x14ac:dyDescent="0.35">
      <c r="A390" s="59" t="str">
        <f>_xlfn.TEXTJOIN(" ",TRUE,Employees_Data[[#This Row],[First Name]],Employees_Data[[#This Row],[Last Name]])</f>
        <v>Muhamad Khalil</v>
      </c>
      <c r="B390" s="21">
        <v>0</v>
      </c>
      <c r="C390" s="60" t="str">
        <f>IFERROR(IF(Significant_Overtime[[#This Row],[Overtime Hours]]&gt;100,"High Overtime","Normal"),"Not Found")</f>
        <v>Normal</v>
      </c>
    </row>
    <row r="391" spans="1:3" x14ac:dyDescent="0.35">
      <c r="A391" s="59" t="str">
        <f>_xlfn.TEXTJOIN(" ",TRUE,Employees_Data[[#This Row],[First Name]],Employees_Data[[#This Row],[Last Name]])</f>
        <v>Amal Alhusayn</v>
      </c>
      <c r="B391" s="21">
        <v>7</v>
      </c>
      <c r="C391" s="60" t="str">
        <f>IFERROR(IF(Significant_Overtime[[#This Row],[Overtime Hours]]&gt;100,"High Overtime","Normal"),"Not Found")</f>
        <v>Normal</v>
      </c>
    </row>
    <row r="392" spans="1:3" x14ac:dyDescent="0.35">
      <c r="A392" s="59" t="str">
        <f>_xlfn.TEXTJOIN(" ",TRUE,Employees_Data[[#This Row],[First Name]],Employees_Data[[#This Row],[Last Name]])</f>
        <v>Fadi Shakur</v>
      </c>
      <c r="B392" s="21">
        <v>8</v>
      </c>
      <c r="C392" s="60" t="str">
        <f>IFERROR(IF(Significant_Overtime[[#This Row],[Overtime Hours]]&gt;100,"High Overtime","Normal"),"Not Found")</f>
        <v>Normal</v>
      </c>
    </row>
    <row r="393" spans="1:3" x14ac:dyDescent="0.35">
      <c r="A393" s="59" t="str">
        <f>_xlfn.TEXTJOIN(" ",TRUE,Employees_Data[[#This Row],[First Name]],Employees_Data[[#This Row],[Last Name]])</f>
        <v>Abdalhai Sarhan</v>
      </c>
      <c r="B393" s="21">
        <v>8</v>
      </c>
      <c r="C393" s="60" t="str">
        <f>IFERROR(IF(Significant_Overtime[[#This Row],[Overtime Hours]]&gt;100,"High Overtime","Normal"),"Not Found")</f>
        <v>Normal</v>
      </c>
    </row>
    <row r="394" spans="1:3" x14ac:dyDescent="0.35">
      <c r="A394" s="59" t="str">
        <f>_xlfn.TEXTJOIN(" ",TRUE,Employees_Data[[#This Row],[First Name]],Employees_Data[[#This Row],[Last Name]])</f>
        <v>Ahmad Alqadi</v>
      </c>
      <c r="B394" s="21">
        <v>6</v>
      </c>
      <c r="C394" s="60" t="str">
        <f>IFERROR(IF(Significant_Overtime[[#This Row],[Overtime Hours]]&gt;100,"High Overtime","Normal"),"Not Found")</f>
        <v>Normal</v>
      </c>
    </row>
    <row r="395" spans="1:3" x14ac:dyDescent="0.35">
      <c r="A395" s="59" t="str">
        <f>_xlfn.TEXTJOIN(" ",TRUE,Employees_Data[[#This Row],[First Name]],Employees_Data[[#This Row],[Last Name]])</f>
        <v>Husam Albush</v>
      </c>
      <c r="B395" s="21">
        <v>5</v>
      </c>
      <c r="C395" s="60" t="str">
        <f>IFERROR(IF(Significant_Overtime[[#This Row],[Overtime Hours]]&gt;100,"High Overtime","Normal"),"Not Found")</f>
        <v>Normal</v>
      </c>
    </row>
    <row r="396" spans="1:3" x14ac:dyDescent="0.35">
      <c r="A396" s="59" t="str">
        <f>_xlfn.TEXTJOIN(" ",TRUE,Employees_Data[[#This Row],[First Name]],Employees_Data[[#This Row],[Last Name]])</f>
        <v>Anas Eabidin</v>
      </c>
      <c r="B396" s="21">
        <v>0</v>
      </c>
      <c r="C396" s="60" t="str">
        <f>IFERROR(IF(Significant_Overtime[[#This Row],[Overtime Hours]]&gt;100,"High Overtime","Normal"),"Not Found")</f>
        <v>Normal</v>
      </c>
    </row>
    <row r="397" spans="1:3" x14ac:dyDescent="0.35">
      <c r="A397" s="59" t="str">
        <f>_xlfn.TEXTJOIN(" ",TRUE,Employees_Data[[#This Row],[First Name]],Employees_Data[[#This Row],[Last Name]])</f>
        <v>Muhamad Ebdalwahd</v>
      </c>
      <c r="B397" s="21">
        <v>4</v>
      </c>
      <c r="C397" s="60" t="str">
        <f>IFERROR(IF(Significant_Overtime[[#This Row],[Overtime Hours]]&gt;100,"High Overtime","Normal"),"Not Found")</f>
        <v>Normal</v>
      </c>
    </row>
    <row r="398" spans="1:3" x14ac:dyDescent="0.35">
      <c r="A398" s="59" t="str">
        <f>_xlfn.TEXTJOIN(" ",TRUE,Employees_Data[[#This Row],[First Name]],Employees_Data[[#This Row],[Last Name]])</f>
        <v>Khalid Iibrahim</v>
      </c>
      <c r="B398" s="21">
        <v>3</v>
      </c>
      <c r="C398" s="60" t="str">
        <f>IFERROR(IF(Significant_Overtime[[#This Row],[Overtime Hours]]&gt;100,"High Overtime","Normal"),"Not Found")</f>
        <v>Normal</v>
      </c>
    </row>
    <row r="399" spans="1:3" x14ac:dyDescent="0.35">
      <c r="A399" s="59" t="str">
        <f>_xlfn.TEXTJOIN(" ",TRUE,Employees_Data[[#This Row],[First Name]],Employees_Data[[#This Row],[Last Name]])</f>
        <v>Muhamad Aleazm</v>
      </c>
      <c r="B399" s="21">
        <v>0</v>
      </c>
      <c r="C399" s="60" t="str">
        <f>IFERROR(IF(Significant_Overtime[[#This Row],[Overtime Hours]]&gt;100,"High Overtime","Normal"),"Not Found")</f>
        <v>Normal</v>
      </c>
    </row>
    <row r="400" spans="1:3" x14ac:dyDescent="0.35">
      <c r="A400" s="59" t="str">
        <f>_xlfn.TEXTJOIN(" ",TRUE,Employees_Data[[#This Row],[First Name]],Employees_Data[[#This Row],[Last Name]])</f>
        <v>Maya Alhmwi</v>
      </c>
      <c r="B400" s="21">
        <v>10</v>
      </c>
      <c r="C400" s="60" t="str">
        <f>IFERROR(IF(Significant_Overtime[[#This Row],[Overtime Hours]]&gt;100,"High Overtime","Normal"),"Not Found")</f>
        <v>Normal</v>
      </c>
    </row>
    <row r="401" spans="1:3" x14ac:dyDescent="0.35">
      <c r="A401" s="59" t="str">
        <f>_xlfn.TEXTJOIN(" ",TRUE,Employees_Data[[#This Row],[First Name]],Employees_Data[[#This Row],[Last Name]])</f>
        <v>Basil Khiat</v>
      </c>
      <c r="B401" s="21">
        <v>0</v>
      </c>
      <c r="C401" s="60" t="str">
        <f>IFERROR(IF(Significant_Overtime[[#This Row],[Overtime Hours]]&gt;100,"High Overtime","Normal"),"Not Found")</f>
        <v>Normal</v>
      </c>
    </row>
    <row r="402" spans="1:3" x14ac:dyDescent="0.35">
      <c r="A402" s="59" t="str">
        <f>_xlfn.TEXTJOIN(" ",TRUE,Employees_Data[[#This Row],[First Name]],Employees_Data[[#This Row],[Last Name]])</f>
        <v>Muhamad Zaydan</v>
      </c>
      <c r="B402" s="21">
        <v>1</v>
      </c>
      <c r="C402" s="60" t="str">
        <f>IFERROR(IF(Significant_Overtime[[#This Row],[Overtime Hours]]&gt;100,"High Overtime","Normal"),"Not Found")</f>
        <v>Normal</v>
      </c>
    </row>
    <row r="403" spans="1:3" x14ac:dyDescent="0.35">
      <c r="A403" s="59" t="str">
        <f>_xlfn.TEXTJOIN(" ",TRUE,Employees_Data[[#This Row],[First Name]],Employees_Data[[#This Row],[Last Name]])</f>
        <v>Randa Alajw</v>
      </c>
      <c r="B403" s="21">
        <v>8</v>
      </c>
      <c r="C403" s="60" t="str">
        <f>IFERROR(IF(Significant_Overtime[[#This Row],[Overtime Hours]]&gt;100,"High Overtime","Normal"),"Not Found")</f>
        <v>Normal</v>
      </c>
    </row>
    <row r="404" spans="1:3" x14ac:dyDescent="0.35">
      <c r="A404" s="59" t="str">
        <f>_xlfn.TEXTJOIN(" ",TRUE,Employees_Data[[#This Row],[First Name]],Employees_Data[[#This Row],[Last Name]])</f>
        <v>Muhamad Alghazi</v>
      </c>
      <c r="B404" s="21">
        <v>3</v>
      </c>
      <c r="C404" s="60" t="str">
        <f>IFERROR(IF(Significant_Overtime[[#This Row],[Overtime Hours]]&gt;100,"High Overtime","Normal"),"Not Found")</f>
        <v>Normal</v>
      </c>
    </row>
    <row r="405" spans="1:3" x14ac:dyDescent="0.35">
      <c r="A405" s="59" t="str">
        <f>_xlfn.TEXTJOIN(" ",TRUE,Employees_Data[[#This Row],[First Name]],Employees_Data[[#This Row],[Last Name]])</f>
        <v>Rahaf Eijluni</v>
      </c>
      <c r="B405" s="21">
        <v>0</v>
      </c>
      <c r="C405" s="60" t="str">
        <f>IFERROR(IF(Significant_Overtime[[#This Row],[Overtime Hours]]&gt;100,"High Overtime","Normal"),"Not Found")</f>
        <v>Normal</v>
      </c>
    </row>
    <row r="406" spans="1:3" x14ac:dyDescent="0.35">
      <c r="A406" s="59" t="str">
        <f>_xlfn.TEXTJOIN(" ",TRUE,Employees_Data[[#This Row],[First Name]],Employees_Data[[#This Row],[Last Name]])</f>
        <v>Sultan Alhijar</v>
      </c>
      <c r="B406" s="21">
        <v>45</v>
      </c>
      <c r="C406" s="60" t="str">
        <f>IFERROR(IF(Significant_Overtime[[#This Row],[Overtime Hours]]&gt;100,"High Overtime","Normal"),"Not Found")</f>
        <v>Normal</v>
      </c>
    </row>
    <row r="407" spans="1:3" x14ac:dyDescent="0.35">
      <c r="A407" s="59" t="str">
        <f>_xlfn.TEXTJOIN(" ",TRUE,Employees_Data[[#This Row],[First Name]],Employees_Data[[#This Row],[Last Name]])</f>
        <v>Asma Sadqawi</v>
      </c>
      <c r="B407" s="21">
        <v>5</v>
      </c>
      <c r="C407" s="60" t="str">
        <f>IFERROR(IF(Significant_Overtime[[#This Row],[Overtime Hours]]&gt;100,"High Overtime","Normal"),"Not Found")</f>
        <v>Normal</v>
      </c>
    </row>
    <row r="408" spans="1:3" x14ac:dyDescent="0.35">
      <c r="A408" s="59" t="str">
        <f>_xlfn.TEXTJOIN(" ",TRUE,Employees_Data[[#This Row],[First Name]],Employees_Data[[#This Row],[Last Name]])</f>
        <v>Fulla Alkhalid</v>
      </c>
      <c r="B408" s="21">
        <v>9</v>
      </c>
      <c r="C408" s="60" t="str">
        <f>IFERROR(IF(Significant_Overtime[[#This Row],[Overtime Hours]]&gt;100,"High Overtime","Normal"),"Not Found")</f>
        <v>Normal</v>
      </c>
    </row>
    <row r="409" spans="1:3" x14ac:dyDescent="0.35">
      <c r="A409" s="59" t="str">
        <f>_xlfn.TEXTJOIN(" ",TRUE,Employees_Data[[#This Row],[First Name]],Employees_Data[[#This Row],[Last Name]])</f>
        <v>Lujin Alaleppoy</v>
      </c>
      <c r="B409" s="21">
        <v>3</v>
      </c>
      <c r="C409" s="60" t="str">
        <f>IFERROR(IF(Significant_Overtime[[#This Row],[Overtime Hours]]&gt;100,"High Overtime","Normal"),"Not Found")</f>
        <v>Normal</v>
      </c>
    </row>
    <row r="410" spans="1:3" x14ac:dyDescent="0.35">
      <c r="A410" s="59" t="str">
        <f>_xlfn.TEXTJOIN(" ",TRUE,Employees_Data[[#This Row],[First Name]],Employees_Data[[#This Row],[Last Name]])</f>
        <v>Jihan Alqudmani</v>
      </c>
      <c r="B410" s="21">
        <v>4</v>
      </c>
      <c r="C410" s="60" t="str">
        <f>IFERROR(IF(Significant_Overtime[[#This Row],[Overtime Hours]]&gt;100,"High Overtime","Normal"),"Not Found")</f>
        <v>Normal</v>
      </c>
    </row>
    <row r="411" spans="1:3" x14ac:dyDescent="0.35">
      <c r="A411" s="59" t="str">
        <f>_xlfn.TEXTJOIN(" ",TRUE,Employees_Data[[#This Row],[First Name]],Employees_Data[[#This Row],[Last Name]])</f>
        <v>Anwar Alkhayran</v>
      </c>
      <c r="B411" s="21">
        <v>6</v>
      </c>
      <c r="C411" s="60" t="str">
        <f>IFERROR(IF(Significant_Overtime[[#This Row],[Overtime Hours]]&gt;100,"High Overtime","Normal"),"Not Found")</f>
        <v>Normal</v>
      </c>
    </row>
    <row r="412" spans="1:3" x14ac:dyDescent="0.35">
      <c r="A412" s="59" t="str">
        <f>_xlfn.TEXTJOIN(" ",TRUE,Employees_Data[[#This Row],[First Name]],Employees_Data[[#This Row],[Last Name]])</f>
        <v>Qasim Muhamad</v>
      </c>
      <c r="B412" s="21">
        <v>12</v>
      </c>
      <c r="C412" s="60" t="str">
        <f>IFERROR(IF(Significant_Overtime[[#This Row],[Overtime Hours]]&gt;100,"High Overtime","Normal"),"Not Found")</f>
        <v>Normal</v>
      </c>
    </row>
    <row r="413" spans="1:3" x14ac:dyDescent="0.35">
      <c r="A413" s="59" t="str">
        <f>_xlfn.TEXTJOIN(" ",TRUE,Employees_Data[[#This Row],[First Name]],Employees_Data[[#This Row],[Last Name]])</f>
        <v>Samir Altaynawi</v>
      </c>
      <c r="B413" s="21">
        <v>4</v>
      </c>
      <c r="C413" s="60" t="str">
        <f>IFERROR(IF(Significant_Overtime[[#This Row],[Overtime Hours]]&gt;100,"High Overtime","Normal"),"Not Found")</f>
        <v>Normal</v>
      </c>
    </row>
    <row r="414" spans="1:3" x14ac:dyDescent="0.35">
      <c r="A414" s="59" t="str">
        <f>_xlfn.TEXTJOIN(" ",TRUE,Employees_Data[[#This Row],[First Name]],Employees_Data[[#This Row],[Last Name]])</f>
        <v>Alaa Hafiz</v>
      </c>
      <c r="B414" s="21">
        <v>0</v>
      </c>
      <c r="C414" s="60" t="str">
        <f>IFERROR(IF(Significant_Overtime[[#This Row],[Overtime Hours]]&gt;100,"High Overtime","Normal"),"Not Found")</f>
        <v>Normal</v>
      </c>
    </row>
    <row r="415" spans="1:3" x14ac:dyDescent="0.35">
      <c r="A415" s="59" t="str">
        <f>_xlfn.TEXTJOIN(" ",TRUE,Employees_Data[[#This Row],[First Name]],Employees_Data[[#This Row],[Last Name]])</f>
        <v>Kamilia Sydu</v>
      </c>
      <c r="B415" s="21">
        <v>5</v>
      </c>
      <c r="C415" s="60" t="str">
        <f>IFERROR(IF(Significant_Overtime[[#This Row],[Overtime Hours]]&gt;100,"High Overtime","Normal"),"Not Found")</f>
        <v>Normal</v>
      </c>
    </row>
    <row r="416" spans="1:3" x14ac:dyDescent="0.35">
      <c r="A416" s="59" t="str">
        <f>_xlfn.TEXTJOIN(" ",TRUE,Employees_Data[[#This Row],[First Name]],Employees_Data[[#This Row],[Last Name]])</f>
        <v>Ali Marwan</v>
      </c>
      <c r="B416" s="21">
        <v>35</v>
      </c>
      <c r="C416" s="60" t="str">
        <f>IFERROR(IF(Significant_Overtime[[#This Row],[Overtime Hours]]&gt;100,"High Overtime","Normal"),"Not Found")</f>
        <v>Normal</v>
      </c>
    </row>
    <row r="417" spans="1:3" x14ac:dyDescent="0.35">
      <c r="A417" s="59" t="str">
        <f>_xlfn.TEXTJOIN(" ",TRUE,Employees_Data[[#This Row],[First Name]],Employees_Data[[#This Row],[Last Name]])</f>
        <v>Mahir Almarstani</v>
      </c>
      <c r="B417" s="21">
        <v>3</v>
      </c>
      <c r="C417" s="60" t="str">
        <f>IFERROR(IF(Significant_Overtime[[#This Row],[Overtime Hours]]&gt;100,"High Overtime","Normal"),"Not Found")</f>
        <v>Normal</v>
      </c>
    </row>
    <row r="418" spans="1:3" x14ac:dyDescent="0.35">
      <c r="A418" s="59" t="str">
        <f>_xlfn.TEXTJOIN(" ",TRUE,Employees_Data[[#This Row],[First Name]],Employees_Data[[#This Row],[Last Name]])</f>
        <v>Rwad Alddahir</v>
      </c>
      <c r="B418" s="21">
        <v>7</v>
      </c>
      <c r="C418" s="60" t="str">
        <f>IFERROR(IF(Significant_Overtime[[#This Row],[Overtime Hours]]&gt;100,"High Overtime","Normal"),"Not Found")</f>
        <v>Normal</v>
      </c>
    </row>
    <row r="419" spans="1:3" x14ac:dyDescent="0.35">
      <c r="A419" s="59" t="str">
        <f>_xlfn.TEXTJOIN(" ",TRUE,Employees_Data[[#This Row],[First Name]],Employees_Data[[#This Row],[Last Name]])</f>
        <v>Jury Eabuwd</v>
      </c>
      <c r="B419" s="21">
        <v>8</v>
      </c>
      <c r="C419" s="60" t="str">
        <f>IFERROR(IF(Significant_Overtime[[#This Row],[Overtime Hours]]&gt;100,"High Overtime","Normal"),"Not Found")</f>
        <v>Normal</v>
      </c>
    </row>
    <row r="420" spans="1:3" x14ac:dyDescent="0.35">
      <c r="A420" s="59" t="str">
        <f>_xlfn.TEXTJOIN(" ",TRUE,Employees_Data[[#This Row],[First Name]],Employees_Data[[#This Row],[Last Name]])</f>
        <v>Sayban Musur</v>
      </c>
      <c r="B420" s="21">
        <v>7</v>
      </c>
      <c r="C420" s="60" t="str">
        <f>IFERROR(IF(Significant_Overtime[[#This Row],[Overtime Hours]]&gt;100,"High Overtime","Normal"),"Not Found")</f>
        <v>Normal</v>
      </c>
    </row>
    <row r="421" spans="1:3" x14ac:dyDescent="0.35">
      <c r="A421" s="59" t="str">
        <f>_xlfn.TEXTJOIN(" ",TRUE,Employees_Data[[#This Row],[First Name]],Employees_Data[[#This Row],[Last Name]])</f>
        <v>Diana Muayid</v>
      </c>
      <c r="B421" s="21">
        <v>3</v>
      </c>
      <c r="C421" s="60" t="str">
        <f>IFERROR(IF(Significant_Overtime[[#This Row],[Overtime Hours]]&gt;100,"High Overtime","Normal"),"Not Found")</f>
        <v>Normal</v>
      </c>
    </row>
    <row r="422" spans="1:3" x14ac:dyDescent="0.35">
      <c r="A422" s="59" t="str">
        <f>_xlfn.TEXTJOIN(" ",TRUE,Employees_Data[[#This Row],[First Name]],Employees_Data[[#This Row],[Last Name]])</f>
        <v>Lbyb Fahd</v>
      </c>
      <c r="B422" s="21">
        <v>0</v>
      </c>
      <c r="C422" s="60" t="str">
        <f>IFERROR(IF(Significant_Overtime[[#This Row],[Overtime Hours]]&gt;100,"High Overtime","Normal"),"Not Found")</f>
        <v>Normal</v>
      </c>
    </row>
    <row r="423" spans="1:3" x14ac:dyDescent="0.35">
      <c r="A423" s="59" t="str">
        <f>_xlfn.TEXTJOIN(" ",TRUE,Employees_Data[[#This Row],[First Name]],Employees_Data[[#This Row],[Last Name]])</f>
        <v>Bashshar Bilul</v>
      </c>
      <c r="B423" s="21">
        <v>14</v>
      </c>
      <c r="C423" s="60" t="str">
        <f>IFERROR(IF(Significant_Overtime[[#This Row],[Overtime Hours]]&gt;100,"High Overtime","Normal"),"Not Found")</f>
        <v>Normal</v>
      </c>
    </row>
    <row r="424" spans="1:3" x14ac:dyDescent="0.35">
      <c r="A424" s="59" t="str">
        <f>_xlfn.TEXTJOIN(" ",TRUE,Employees_Data[[#This Row],[First Name]],Employees_Data[[#This Row],[Last Name]])</f>
        <v>Ali Alnuwri</v>
      </c>
      <c r="B424" s="21">
        <v>0</v>
      </c>
      <c r="C424" s="60" t="str">
        <f>IFERROR(IF(Significant_Overtime[[#This Row],[Overtime Hours]]&gt;100,"High Overtime","Normal"),"Not Found")</f>
        <v>Normal</v>
      </c>
    </row>
    <row r="425" spans="1:3" x14ac:dyDescent="0.35">
      <c r="A425" s="59" t="str">
        <f>_xlfn.TEXTJOIN(" ",TRUE,Employees_Data[[#This Row],[First Name]],Employees_Data[[#This Row],[Last Name]])</f>
        <v>Salim Aleabd</v>
      </c>
      <c r="B425" s="21">
        <v>97</v>
      </c>
      <c r="C425" s="60" t="str">
        <f>IFERROR(IF(Significant_Overtime[[#This Row],[Overtime Hours]]&gt;100,"High Overtime","Normal"),"Not Found")</f>
        <v>Normal</v>
      </c>
    </row>
    <row r="426" spans="1:3" x14ac:dyDescent="0.35">
      <c r="A426" s="59" t="str">
        <f>_xlfn.TEXTJOIN(" ",TRUE,Employees_Data[[#This Row],[First Name]],Employees_Data[[#This Row],[Last Name]])</f>
        <v>Abd Alruhmin Allaham</v>
      </c>
      <c r="B426" s="21">
        <v>4</v>
      </c>
      <c r="C426" s="60" t="str">
        <f>IFERROR(IF(Significant_Overtime[[#This Row],[Overtime Hours]]&gt;100,"High Overtime","Normal"),"Not Found")</f>
        <v>Normal</v>
      </c>
    </row>
    <row r="427" spans="1:3" x14ac:dyDescent="0.35">
      <c r="A427" s="59" t="str">
        <f>_xlfn.TEXTJOIN(" ",TRUE,Employees_Data[[#This Row],[First Name]],Employees_Data[[#This Row],[Last Name]])</f>
        <v>Muhamad Raft</v>
      </c>
      <c r="B427" s="21">
        <v>6</v>
      </c>
      <c r="C427" s="60" t="str">
        <f>IFERROR(IF(Significant_Overtime[[#This Row],[Overtime Hours]]&gt;100,"High Overtime","Normal"),"Not Found")</f>
        <v>Normal</v>
      </c>
    </row>
    <row r="428" spans="1:3" x14ac:dyDescent="0.35">
      <c r="A428" s="59" t="str">
        <f>_xlfn.TEXTJOIN(" ",TRUE,Employees_Data[[#This Row],[First Name]],Employees_Data[[#This Row],[Last Name]])</f>
        <v>Ahmad Shakir</v>
      </c>
      <c r="B428" s="21">
        <v>6</v>
      </c>
      <c r="C428" s="60" t="str">
        <f>IFERROR(IF(Significant_Overtime[[#This Row],[Overtime Hours]]&gt;100,"High Overtime","Normal"),"Not Found")</f>
        <v>Normal</v>
      </c>
    </row>
    <row r="429" spans="1:3" x14ac:dyDescent="0.35">
      <c r="A429" s="59" t="str">
        <f>_xlfn.TEXTJOIN(" ",TRUE,Employees_Data[[#This Row],[First Name]],Employees_Data[[#This Row],[Last Name]])</f>
        <v>Rasha Asead</v>
      </c>
      <c r="B429" s="21">
        <v>6</v>
      </c>
      <c r="C429" s="60" t="str">
        <f>IFERROR(IF(Significant_Overtime[[#This Row],[Overtime Hours]]&gt;100,"High Overtime","Normal"),"Not Found")</f>
        <v>Normal</v>
      </c>
    </row>
    <row r="430" spans="1:3" x14ac:dyDescent="0.35">
      <c r="A430" s="59" t="str">
        <f>_xlfn.TEXTJOIN(" ",TRUE,Employees_Data[[#This Row],[First Name]],Employees_Data[[#This Row],[Last Name]])</f>
        <v>Omar Alwurhani</v>
      </c>
      <c r="B430" s="21">
        <v>5</v>
      </c>
      <c r="C430" s="60" t="str">
        <f>IFERROR(IF(Significant_Overtime[[#This Row],[Overtime Hours]]&gt;100,"High Overtime","Normal"),"Not Found")</f>
        <v>Normal</v>
      </c>
    </row>
    <row r="431" spans="1:3" x14ac:dyDescent="0.35">
      <c r="A431" s="59" t="str">
        <f>_xlfn.TEXTJOIN(" ",TRUE,Employees_Data[[#This Row],[First Name]],Employees_Data[[#This Row],[Last Name]])</f>
        <v>Ayham Kharbutli</v>
      </c>
      <c r="B431" s="21">
        <v>3</v>
      </c>
      <c r="C431" s="60" t="str">
        <f>IFERROR(IF(Significant_Overtime[[#This Row],[Overtime Hours]]&gt;100,"High Overtime","Normal"),"Not Found")</f>
        <v>Normal</v>
      </c>
    </row>
    <row r="432" spans="1:3" x14ac:dyDescent="0.35">
      <c r="A432" s="59" t="str">
        <f>_xlfn.TEXTJOIN(" ",TRUE,Employees_Data[[#This Row],[First Name]],Employees_Data[[#This Row],[Last Name]])</f>
        <v>Sahar Jaridiun</v>
      </c>
      <c r="B432" s="21">
        <v>8</v>
      </c>
      <c r="C432" s="60" t="str">
        <f>IFERROR(IF(Significant_Overtime[[#This Row],[Overtime Hours]]&gt;100,"High Overtime","Normal"),"Not Found")</f>
        <v>Normal</v>
      </c>
    </row>
    <row r="433" spans="1:3" x14ac:dyDescent="0.35">
      <c r="A433" s="59" t="str">
        <f>_xlfn.TEXTJOIN(" ",TRUE,Employees_Data[[#This Row],[First Name]],Employees_Data[[#This Row],[Last Name]])</f>
        <v>Muhamad Tamur</v>
      </c>
      <c r="B433" s="21">
        <v>8</v>
      </c>
      <c r="C433" s="60" t="str">
        <f>IFERROR(IF(Significant_Overtime[[#This Row],[Overtime Hours]]&gt;100,"High Overtime","Normal"),"Not Found")</f>
        <v>Normal</v>
      </c>
    </row>
    <row r="434" spans="1:3" x14ac:dyDescent="0.35">
      <c r="A434" s="59" t="str">
        <f>_xlfn.TEXTJOIN(" ",TRUE,Employees_Data[[#This Row],[First Name]],Employees_Data[[#This Row],[Last Name]])</f>
        <v>Ayham Alkhlf</v>
      </c>
      <c r="B434" s="21">
        <v>10</v>
      </c>
      <c r="C434" s="60" t="str">
        <f>IFERROR(IF(Significant_Overtime[[#This Row],[Overtime Hours]]&gt;100,"High Overtime","Normal"),"Not Found")</f>
        <v>Normal</v>
      </c>
    </row>
    <row r="435" spans="1:3" x14ac:dyDescent="0.35">
      <c r="A435" s="59" t="str">
        <f>_xlfn.TEXTJOIN(" ",TRUE,Employees_Data[[#This Row],[First Name]],Employees_Data[[#This Row],[Last Name]])</f>
        <v>Emar Eisaf</v>
      </c>
      <c r="B435" s="21">
        <v>2</v>
      </c>
      <c r="C435" s="60" t="str">
        <f>IFERROR(IF(Significant_Overtime[[#This Row],[Overtime Hours]]&gt;100,"High Overtime","Normal"),"Not Found")</f>
        <v>Normal</v>
      </c>
    </row>
    <row r="436" spans="1:3" x14ac:dyDescent="0.35">
      <c r="A436" s="59" t="str">
        <f>_xlfn.TEXTJOIN(" ",TRUE,Employees_Data[[#This Row],[First Name]],Employees_Data[[#This Row],[Last Name]])</f>
        <v>Iin Bitahish</v>
      </c>
      <c r="B436" s="21">
        <v>6</v>
      </c>
      <c r="C436" s="60" t="str">
        <f>IFERROR(IF(Significant_Overtime[[#This Row],[Overtime Hours]]&gt;100,"High Overtime","Normal"),"Not Found")</f>
        <v>Normal</v>
      </c>
    </row>
    <row r="437" spans="1:3" x14ac:dyDescent="0.35">
      <c r="A437" s="59" t="str">
        <f>_xlfn.TEXTJOIN(" ",TRUE,Employees_Data[[#This Row],[First Name]],Employees_Data[[#This Row],[Last Name]])</f>
        <v>Abdalrhim Eimaruh</v>
      </c>
      <c r="B437" s="21">
        <v>6</v>
      </c>
      <c r="C437" s="60" t="str">
        <f>IFERROR(IF(Significant_Overtime[[#This Row],[Overtime Hours]]&gt;100,"High Overtime","Normal"),"Not Found")</f>
        <v>Normal</v>
      </c>
    </row>
    <row r="438" spans="1:3" x14ac:dyDescent="0.35">
      <c r="A438" s="59" t="str">
        <f>_xlfn.TEXTJOIN(" ",TRUE,Employees_Data[[#This Row],[First Name]],Employees_Data[[#This Row],[Last Name]])</f>
        <v>Bashaer Hadalah</v>
      </c>
      <c r="B438" s="21">
        <v>8</v>
      </c>
      <c r="C438" s="60" t="str">
        <f>IFERROR(IF(Significant_Overtime[[#This Row],[Overtime Hours]]&gt;100,"High Overtime","Normal"),"Not Found")</f>
        <v>Normal</v>
      </c>
    </row>
    <row r="439" spans="1:3" x14ac:dyDescent="0.35">
      <c r="A439" s="59" t="str">
        <f>_xlfn.TEXTJOIN(" ",TRUE,Employees_Data[[#This Row],[First Name]],Employees_Data[[#This Row],[Last Name]])</f>
        <v>Sana Maeruf</v>
      </c>
      <c r="B439" s="21">
        <v>61</v>
      </c>
      <c r="C439" s="60" t="str">
        <f>IFERROR(IF(Significant_Overtime[[#This Row],[Overtime Hours]]&gt;100,"High Overtime","Normal"),"Not Found")</f>
        <v>Normal</v>
      </c>
    </row>
    <row r="440" spans="1:3" x14ac:dyDescent="0.35">
      <c r="A440" s="59" t="str">
        <f>_xlfn.TEXTJOIN(" ",TRUE,Employees_Data[[#This Row],[First Name]],Employees_Data[[#This Row],[Last Name]])</f>
        <v>Amir Alnuwnu</v>
      </c>
      <c r="B440" s="21">
        <v>5</v>
      </c>
      <c r="C440" s="60" t="str">
        <f>IFERROR(IF(Significant_Overtime[[#This Row],[Overtime Hours]]&gt;100,"High Overtime","Normal"),"Not Found")</f>
        <v>Normal</v>
      </c>
    </row>
    <row r="441" spans="1:3" x14ac:dyDescent="0.35">
      <c r="A441" s="59" t="str">
        <f>_xlfn.TEXTJOIN(" ",TRUE,Employees_Data[[#This Row],[First Name]],Employees_Data[[#This Row],[Last Name]])</f>
        <v>Salim Albarghali</v>
      </c>
      <c r="B441" s="21">
        <v>7</v>
      </c>
      <c r="C441" s="60" t="str">
        <f>IFERROR(IF(Significant_Overtime[[#This Row],[Overtime Hours]]&gt;100,"High Overtime","Normal"),"Not Found")</f>
        <v>Normal</v>
      </c>
    </row>
    <row r="442" spans="1:3" x14ac:dyDescent="0.35">
      <c r="A442" s="59" t="str">
        <f>_xlfn.TEXTJOIN(" ",TRUE,Employees_Data[[#This Row],[First Name]],Employees_Data[[#This Row],[Last Name]])</f>
        <v>Iin Murad</v>
      </c>
      <c r="B442" s="21">
        <v>10</v>
      </c>
      <c r="C442" s="60" t="str">
        <f>IFERROR(IF(Significant_Overtime[[#This Row],[Overtime Hours]]&gt;100,"High Overtime","Normal"),"Not Found")</f>
        <v>Normal</v>
      </c>
    </row>
    <row r="443" spans="1:3" x14ac:dyDescent="0.35">
      <c r="A443" s="59" t="str">
        <f>_xlfn.TEXTJOIN(" ",TRUE,Employees_Data[[#This Row],[First Name]],Employees_Data[[#This Row],[Last Name]])</f>
        <v>Baha Aldiyn Marzuq</v>
      </c>
      <c r="B443" s="21">
        <v>38</v>
      </c>
      <c r="C443" s="60" t="str">
        <f>IFERROR(IF(Significant_Overtime[[#This Row],[Overtime Hours]]&gt;100,"High Overtime","Normal"),"Not Found")</f>
        <v>Normal</v>
      </c>
    </row>
    <row r="444" spans="1:3" x14ac:dyDescent="0.35">
      <c r="A444" s="59" t="str">
        <f>_xlfn.TEXTJOIN(" ",TRUE,Employees_Data[[#This Row],[First Name]],Employees_Data[[#This Row],[Last Name]])</f>
        <v>Abd Alruhmin Hamj</v>
      </c>
      <c r="B444" s="21">
        <v>6</v>
      </c>
      <c r="C444" s="60" t="str">
        <f>IFERROR(IF(Significant_Overtime[[#This Row],[Overtime Hours]]&gt;100,"High Overtime","Normal"),"Not Found")</f>
        <v>Normal</v>
      </c>
    </row>
    <row r="445" spans="1:3" x14ac:dyDescent="0.35">
      <c r="A445" s="59" t="str">
        <f>_xlfn.TEXTJOIN(" ",TRUE,Employees_Data[[#This Row],[First Name]],Employees_Data[[#This Row],[Last Name]])</f>
        <v>Ahmad Bradey</v>
      </c>
      <c r="B445" s="21">
        <v>8</v>
      </c>
      <c r="C445" s="60" t="str">
        <f>IFERROR(IF(Significant_Overtime[[#This Row],[Overtime Hours]]&gt;100,"High Overtime","Normal"),"Not Found")</f>
        <v>Normal</v>
      </c>
    </row>
    <row r="446" spans="1:3" x14ac:dyDescent="0.35">
      <c r="A446" s="59" t="str">
        <f>_xlfn.TEXTJOIN(" ",TRUE,Employees_Data[[#This Row],[First Name]],Employees_Data[[#This Row],[Last Name]])</f>
        <v>Sabah Qadish</v>
      </c>
      <c r="B446" s="21">
        <v>6</v>
      </c>
      <c r="C446" s="60" t="str">
        <f>IFERROR(IF(Significant_Overtime[[#This Row],[Overtime Hours]]&gt;100,"High Overtime","Normal"),"Not Found")</f>
        <v>Normal</v>
      </c>
    </row>
    <row r="447" spans="1:3" x14ac:dyDescent="0.35">
      <c r="A447" s="59" t="str">
        <f>_xlfn.TEXTJOIN(" ",TRUE,Employees_Data[[#This Row],[First Name]],Employees_Data[[#This Row],[Last Name]])</f>
        <v>Asra Almisri</v>
      </c>
      <c r="B447" s="21">
        <v>9</v>
      </c>
      <c r="C447" s="60" t="str">
        <f>IFERROR(IF(Significant_Overtime[[#This Row],[Overtime Hours]]&gt;100,"High Overtime","Normal"),"Not Found")</f>
        <v>Normal</v>
      </c>
    </row>
    <row r="448" spans="1:3" x14ac:dyDescent="0.35">
      <c r="A448" s="59" t="str">
        <f>_xlfn.TEXTJOIN(" ",TRUE,Employees_Data[[#This Row],[First Name]],Employees_Data[[#This Row],[Last Name]])</f>
        <v>Faras Kawaara</v>
      </c>
      <c r="B448" s="21">
        <v>7</v>
      </c>
      <c r="C448" s="60" t="str">
        <f>IFERROR(IF(Significant_Overtime[[#This Row],[Overtime Hours]]&gt;100,"High Overtime","Normal"),"Not Found")</f>
        <v>Normal</v>
      </c>
    </row>
    <row r="449" spans="1:3" x14ac:dyDescent="0.35">
      <c r="A449" s="59" t="str">
        <f>_xlfn.TEXTJOIN(" ",TRUE,Employees_Data[[#This Row],[First Name]],Employees_Data[[#This Row],[Last Name]])</f>
        <v>Muhamad Abunfis</v>
      </c>
      <c r="B449" s="21">
        <v>5</v>
      </c>
      <c r="C449" s="60" t="str">
        <f>IFERROR(IF(Significant_Overtime[[#This Row],[Overtime Hours]]&gt;100,"High Overtime","Normal"),"Not Found")</f>
        <v>Normal</v>
      </c>
    </row>
    <row r="450" spans="1:3" x14ac:dyDescent="0.35">
      <c r="A450" s="59" t="str">
        <f>_xlfn.TEXTJOIN(" ",TRUE,Employees_Data[[#This Row],[First Name]],Employees_Data[[#This Row],[Last Name]])</f>
        <v>Lawiy Shiah</v>
      </c>
      <c r="B450" s="21">
        <v>5</v>
      </c>
      <c r="C450" s="60" t="str">
        <f>IFERROR(IF(Significant_Overtime[[#This Row],[Overtime Hours]]&gt;100,"High Overtime","Normal"),"Not Found")</f>
        <v>Normal</v>
      </c>
    </row>
    <row r="451" spans="1:3" x14ac:dyDescent="0.35">
      <c r="A451" s="59" t="str">
        <f>_xlfn.TEXTJOIN(" ",TRUE,Employees_Data[[#This Row],[First Name]],Employees_Data[[#This Row],[Last Name]])</f>
        <v>Rama Alsaghir</v>
      </c>
      <c r="B451" s="21">
        <v>6</v>
      </c>
      <c r="C451" s="60" t="str">
        <f>IFERROR(IF(Significant_Overtime[[#This Row],[Overtime Hours]]&gt;100,"High Overtime","Normal"),"Not Found")</f>
        <v>Normal</v>
      </c>
    </row>
    <row r="452" spans="1:3" x14ac:dyDescent="0.35">
      <c r="A452" s="59" t="str">
        <f>_xlfn.TEXTJOIN(" ",TRUE,Employees_Data[[#This Row],[First Name]],Employees_Data[[#This Row],[Last Name]])</f>
        <v>Ahmad Qadimati</v>
      </c>
      <c r="B452" s="21">
        <v>9</v>
      </c>
      <c r="C452" s="60" t="str">
        <f>IFERROR(IF(Significant_Overtime[[#This Row],[Overtime Hours]]&gt;100,"High Overtime","Normal"),"Not Found")</f>
        <v>Normal</v>
      </c>
    </row>
    <row r="453" spans="1:3" x14ac:dyDescent="0.35">
      <c r="A453" s="59" t="str">
        <f>_xlfn.TEXTJOIN(" ",TRUE,Employees_Data[[#This Row],[First Name]],Employees_Data[[#This Row],[Last Name]])</f>
        <v>Qays Dahna</v>
      </c>
      <c r="B453" s="21">
        <v>0</v>
      </c>
      <c r="C453" s="60" t="str">
        <f>IFERROR(IF(Significant_Overtime[[#This Row],[Overtime Hours]]&gt;100,"High Overtime","Normal"),"Not Found")</f>
        <v>Normal</v>
      </c>
    </row>
    <row r="454" spans="1:3" x14ac:dyDescent="0.35">
      <c r="A454" s="59" t="str">
        <f>_xlfn.TEXTJOIN(" ",TRUE,Employees_Data[[#This Row],[First Name]],Employees_Data[[#This Row],[Last Name]])</f>
        <v>Raja Eaziza</v>
      </c>
      <c r="B454" s="21">
        <v>93</v>
      </c>
      <c r="C454" s="60" t="str">
        <f>IFERROR(IF(Significant_Overtime[[#This Row],[Overtime Hours]]&gt;100,"High Overtime","Normal"),"Not Found")</f>
        <v>Normal</v>
      </c>
    </row>
    <row r="455" spans="1:3" x14ac:dyDescent="0.35">
      <c r="A455" s="59" t="str">
        <f>_xlfn.TEXTJOIN(" ",TRUE,Employees_Data[[#This Row],[First Name]],Employees_Data[[#This Row],[Last Name]])</f>
        <v>Emar Nakaash</v>
      </c>
      <c r="B455" s="21">
        <v>4</v>
      </c>
      <c r="C455" s="60" t="str">
        <f>IFERROR(IF(Significant_Overtime[[#This Row],[Overtime Hours]]&gt;100,"High Overtime","Normal"),"Not Found")</f>
        <v>Normal</v>
      </c>
    </row>
    <row r="456" spans="1:3" x14ac:dyDescent="0.35">
      <c r="A456" s="59" t="str">
        <f>_xlfn.TEXTJOIN(" ",TRUE,Employees_Data[[#This Row],[First Name]],Employees_Data[[#This Row],[Last Name]])</f>
        <v>Ranya Khuluf</v>
      </c>
      <c r="B456" s="21">
        <v>14</v>
      </c>
      <c r="C456" s="60" t="str">
        <f>IFERROR(IF(Significant_Overtime[[#This Row],[Overtime Hours]]&gt;100,"High Overtime","Normal"),"Not Found")</f>
        <v>Normal</v>
      </c>
    </row>
    <row r="457" spans="1:3" x14ac:dyDescent="0.35">
      <c r="A457" s="59" t="str">
        <f>_xlfn.TEXTJOIN(" ",TRUE,Employees_Data[[#This Row],[First Name]],Employees_Data[[#This Row],[Last Name]])</f>
        <v>Kinda Zaki</v>
      </c>
      <c r="B457" s="21">
        <v>6</v>
      </c>
      <c r="C457" s="60" t="str">
        <f>IFERROR(IF(Significant_Overtime[[#This Row],[Overtime Hours]]&gt;100,"High Overtime","Normal"),"Not Found")</f>
        <v>Normal</v>
      </c>
    </row>
    <row r="458" spans="1:3" x14ac:dyDescent="0.35">
      <c r="A458" s="59" t="str">
        <f>_xlfn.TEXTJOIN(" ",TRUE,Employees_Data[[#This Row],[First Name]],Employees_Data[[#This Row],[Last Name]])</f>
        <v>Muhamad Asamh Tubae</v>
      </c>
      <c r="B458" s="21">
        <v>6</v>
      </c>
      <c r="C458" s="60" t="str">
        <f>IFERROR(IF(Significant_Overtime[[#This Row],[Overtime Hours]]&gt;100,"High Overtime","Normal"),"Not Found")</f>
        <v>Normal</v>
      </c>
    </row>
    <row r="459" spans="1:3" x14ac:dyDescent="0.35">
      <c r="A459" s="59" t="str">
        <f>_xlfn.TEXTJOIN(" ",TRUE,Employees_Data[[#This Row],[First Name]],Employees_Data[[#This Row],[Last Name]])</f>
        <v>Ahmad Daeas</v>
      </c>
      <c r="B459" s="21">
        <v>1</v>
      </c>
      <c r="C459" s="60" t="str">
        <f>IFERROR(IF(Significant_Overtime[[#This Row],[Overtime Hours]]&gt;100,"High Overtime","Normal"),"Not Found")</f>
        <v>Normal</v>
      </c>
    </row>
    <row r="460" spans="1:3" x14ac:dyDescent="0.35">
      <c r="A460" s="59" t="str">
        <f>_xlfn.TEXTJOIN(" ",TRUE,Employees_Data[[#This Row],[First Name]],Employees_Data[[#This Row],[Last Name]])</f>
        <v>Muhamad Shadi Alkhiat</v>
      </c>
      <c r="B460" s="21">
        <v>7</v>
      </c>
      <c r="C460" s="60" t="str">
        <f>IFERROR(IF(Significant_Overtime[[#This Row],[Overtime Hours]]&gt;100,"High Overtime","Normal"),"Not Found")</f>
        <v>Normal</v>
      </c>
    </row>
    <row r="461" spans="1:3" x14ac:dyDescent="0.35">
      <c r="A461" s="59" t="str">
        <f>_xlfn.TEXTJOIN(" ",TRUE,Employees_Data[[#This Row],[First Name]],Employees_Data[[#This Row],[Last Name]])</f>
        <v>Omaimah Tqi Aldiyn</v>
      </c>
      <c r="B461" s="21">
        <v>4</v>
      </c>
      <c r="C461" s="60" t="str">
        <f>IFERROR(IF(Significant_Overtime[[#This Row],[Overtime Hours]]&gt;100,"High Overtime","Normal"),"Not Found")</f>
        <v>Normal</v>
      </c>
    </row>
    <row r="462" spans="1:3" x14ac:dyDescent="0.35">
      <c r="A462" s="59" t="str">
        <f>_xlfn.TEXTJOIN(" ",TRUE,Employees_Data[[#This Row],[First Name]],Employees_Data[[#This Row],[Last Name]])</f>
        <v>Tahani Yasir</v>
      </c>
      <c r="B462" s="21">
        <v>9</v>
      </c>
      <c r="C462" s="60" t="str">
        <f>IFERROR(IF(Significant_Overtime[[#This Row],[Overtime Hours]]&gt;100,"High Overtime","Normal"),"Not Found")</f>
        <v>Normal</v>
      </c>
    </row>
    <row r="463" spans="1:3" x14ac:dyDescent="0.35">
      <c r="A463" s="59" t="str">
        <f>_xlfn.TEXTJOIN(" ",TRUE,Employees_Data[[#This Row],[First Name]],Employees_Data[[#This Row],[Last Name]])</f>
        <v>Hasan Alfywmi</v>
      </c>
      <c r="B463" s="21">
        <v>5</v>
      </c>
      <c r="C463" s="60" t="str">
        <f>IFERROR(IF(Significant_Overtime[[#This Row],[Overtime Hours]]&gt;100,"High Overtime","Normal"),"Not Found")</f>
        <v>Normal</v>
      </c>
    </row>
    <row r="464" spans="1:3" x14ac:dyDescent="0.35">
      <c r="A464" s="59" t="str">
        <f>_xlfn.TEXTJOIN(" ",TRUE,Employees_Data[[#This Row],[First Name]],Employees_Data[[#This Row],[Last Name]])</f>
        <v>Zahir Zarie</v>
      </c>
      <c r="B464" s="21">
        <v>1</v>
      </c>
      <c r="C464" s="60" t="str">
        <f>IFERROR(IF(Significant_Overtime[[#This Row],[Overtime Hours]]&gt;100,"High Overtime","Normal"),"Not Found")</f>
        <v>Normal</v>
      </c>
    </row>
    <row r="465" spans="1:3" x14ac:dyDescent="0.35">
      <c r="A465" s="59" t="str">
        <f>_xlfn.TEXTJOIN(" ",TRUE,Employees_Data[[#This Row],[First Name]],Employees_Data[[#This Row],[Last Name]])</f>
        <v>Muhamad Eaqad</v>
      </c>
      <c r="B465" s="21">
        <v>7</v>
      </c>
      <c r="C465" s="60" t="str">
        <f>IFERROR(IF(Significant_Overtime[[#This Row],[Overtime Hours]]&gt;100,"High Overtime","Normal"),"Not Found")</f>
        <v>Normal</v>
      </c>
    </row>
    <row r="466" spans="1:3" x14ac:dyDescent="0.35">
      <c r="A466" s="59" t="str">
        <f>_xlfn.TEXTJOIN(" ",TRUE,Employees_Data[[#This Row],[First Name]],Employees_Data[[#This Row],[Last Name]])</f>
        <v>Ahmad Hamuwd</v>
      </c>
      <c r="B466" s="21">
        <v>6</v>
      </c>
      <c r="C466" s="60" t="str">
        <f>IFERROR(IF(Significant_Overtime[[#This Row],[Overtime Hours]]&gt;100,"High Overtime","Normal"),"Not Found")</f>
        <v>Normal</v>
      </c>
    </row>
    <row r="467" spans="1:3" x14ac:dyDescent="0.35">
      <c r="A467" s="59" t="str">
        <f>_xlfn.TEXTJOIN(" ",TRUE,Employees_Data[[#This Row],[First Name]],Employees_Data[[#This Row],[Last Name]])</f>
        <v>Ismaeil Jdwe</v>
      </c>
      <c r="B467" s="21">
        <v>27</v>
      </c>
      <c r="C467" s="60" t="str">
        <f>IFERROR(IF(Significant_Overtime[[#This Row],[Overtime Hours]]&gt;100,"High Overtime","Normal"),"Not Found")</f>
        <v>Normal</v>
      </c>
    </row>
    <row r="468" spans="1:3" x14ac:dyDescent="0.35">
      <c r="A468" s="59" t="str">
        <f>_xlfn.TEXTJOIN(" ",TRUE,Employees_Data[[#This Row],[First Name]],Employees_Data[[#This Row],[Last Name]])</f>
        <v>Muhamad Saeid Alzarey</v>
      </c>
      <c r="B468" s="21">
        <v>8</v>
      </c>
      <c r="C468" s="60" t="str">
        <f>IFERROR(IF(Significant_Overtime[[#This Row],[Overtime Hours]]&gt;100,"High Overtime","Normal"),"Not Found")</f>
        <v>Normal</v>
      </c>
    </row>
    <row r="469" spans="1:3" x14ac:dyDescent="0.35">
      <c r="A469" s="59" t="str">
        <f>_xlfn.TEXTJOIN(" ",TRUE,Employees_Data[[#This Row],[First Name]],Employees_Data[[#This Row],[Last Name]])</f>
        <v>Bakr Eubdallah</v>
      </c>
      <c r="B469" s="21">
        <v>2</v>
      </c>
      <c r="C469" s="60" t="str">
        <f>IFERROR(IF(Significant_Overtime[[#This Row],[Overtime Hours]]&gt;100,"High Overtime","Normal"),"Not Found")</f>
        <v>Normal</v>
      </c>
    </row>
    <row r="470" spans="1:3" x14ac:dyDescent="0.35">
      <c r="A470" s="59" t="str">
        <f>_xlfn.TEXTJOIN(" ",TRUE,Employees_Data[[#This Row],[First Name]],Employees_Data[[#This Row],[Last Name]])</f>
        <v>Muhamad Basil</v>
      </c>
      <c r="B470" s="21">
        <v>51</v>
      </c>
      <c r="C470" s="60" t="str">
        <f>IFERROR(IF(Significant_Overtime[[#This Row],[Overtime Hours]]&gt;100,"High Overtime","Normal"),"Not Found")</f>
        <v>Normal</v>
      </c>
    </row>
    <row r="471" spans="1:3" x14ac:dyDescent="0.35">
      <c r="A471" s="59" t="str">
        <f>_xlfn.TEXTJOIN(" ",TRUE,Employees_Data[[#This Row],[First Name]],Employees_Data[[#This Row],[Last Name]])</f>
        <v>Ahmad Alnajar</v>
      </c>
      <c r="B471" s="21">
        <v>3</v>
      </c>
      <c r="C471" s="60" t="str">
        <f>IFERROR(IF(Significant_Overtime[[#This Row],[Overtime Hours]]&gt;100,"High Overtime","Normal"),"Not Found")</f>
        <v>Normal</v>
      </c>
    </row>
    <row r="472" spans="1:3" x14ac:dyDescent="0.35">
      <c r="A472" s="59" t="str">
        <f>_xlfn.TEXTJOIN(" ",TRUE,Employees_Data[[#This Row],[First Name]],Employees_Data[[#This Row],[Last Name]])</f>
        <v>Muhamad Alsaman</v>
      </c>
      <c r="B472" s="21">
        <v>13</v>
      </c>
      <c r="C472" s="60" t="str">
        <f>IFERROR(IF(Significant_Overtime[[#This Row],[Overtime Hours]]&gt;100,"High Overtime","Normal"),"Not Found")</f>
        <v>Normal</v>
      </c>
    </row>
    <row r="473" spans="1:3" x14ac:dyDescent="0.35">
      <c r="A473" s="59" t="str">
        <f>_xlfn.TEXTJOIN(" ",TRUE,Employees_Data[[#This Row],[First Name]],Employees_Data[[#This Row],[Last Name]])</f>
        <v>Lina Wayly</v>
      </c>
      <c r="B473" s="21">
        <v>6</v>
      </c>
      <c r="C473" s="60" t="str">
        <f>IFERROR(IF(Significant_Overtime[[#This Row],[Overtime Hours]]&gt;100,"High Overtime","Normal"),"Not Found")</f>
        <v>Normal</v>
      </c>
    </row>
    <row r="474" spans="1:3" x14ac:dyDescent="0.35">
      <c r="A474" s="59" t="str">
        <f>_xlfn.TEXTJOIN(" ",TRUE,Employees_Data[[#This Row],[First Name]],Employees_Data[[#This Row],[Last Name]])</f>
        <v>Raghid Hutayniun</v>
      </c>
      <c r="B474" s="21">
        <v>4</v>
      </c>
      <c r="C474" s="60" t="str">
        <f>IFERROR(IF(Significant_Overtime[[#This Row],[Overtime Hours]]&gt;100,"High Overtime","Normal"),"Not Found")</f>
        <v>Normal</v>
      </c>
    </row>
    <row r="475" spans="1:3" x14ac:dyDescent="0.35">
      <c r="A475" s="59" t="str">
        <f>_xlfn.TEXTJOIN(" ",TRUE,Employees_Data[[#This Row],[First Name]],Employees_Data[[#This Row],[Last Name]])</f>
        <v>Ruba Alsiraj</v>
      </c>
      <c r="B475" s="21">
        <v>0</v>
      </c>
      <c r="C475" s="60" t="str">
        <f>IFERROR(IF(Significant_Overtime[[#This Row],[Overtime Hours]]&gt;100,"High Overtime","Normal"),"Not Found")</f>
        <v>Normal</v>
      </c>
    </row>
    <row r="476" spans="1:3" x14ac:dyDescent="0.35">
      <c r="A476" s="59" t="str">
        <f>_xlfn.TEXTJOIN(" ",TRUE,Employees_Data[[#This Row],[First Name]],Employees_Data[[#This Row],[Last Name]])</f>
        <v>Adnan Allaadhiqanii</v>
      </c>
      <c r="B476" s="21">
        <v>8</v>
      </c>
      <c r="C476" s="60" t="str">
        <f>IFERROR(IF(Significant_Overtime[[#This Row],[Overtime Hours]]&gt;100,"High Overtime","Normal"),"Not Found")</f>
        <v>Normal</v>
      </c>
    </row>
    <row r="477" spans="1:3" x14ac:dyDescent="0.35">
      <c r="A477" s="59" t="str">
        <f>_xlfn.TEXTJOIN(" ",TRUE,Employees_Data[[#This Row],[First Name]],Employees_Data[[#This Row],[Last Name]])</f>
        <v>Muhamad Shaeban</v>
      </c>
      <c r="B477" s="21">
        <v>43</v>
      </c>
      <c r="C477" s="60" t="str">
        <f>IFERROR(IF(Significant_Overtime[[#This Row],[Overtime Hours]]&gt;100,"High Overtime","Normal"),"Not Found")</f>
        <v>Normal</v>
      </c>
    </row>
    <row r="478" spans="1:3" x14ac:dyDescent="0.35">
      <c r="A478" s="59" t="str">
        <f>_xlfn.TEXTJOIN(" ",TRUE,Employees_Data[[#This Row],[First Name]],Employees_Data[[#This Row],[Last Name]])</f>
        <v>Ghyath Abu</v>
      </c>
      <c r="B478" s="21">
        <v>3</v>
      </c>
      <c r="C478" s="60" t="str">
        <f>IFERROR(IF(Significant_Overtime[[#This Row],[Overtime Hours]]&gt;100,"High Overtime","Normal"),"Not Found")</f>
        <v>Normal</v>
      </c>
    </row>
    <row r="479" spans="1:3" x14ac:dyDescent="0.35">
      <c r="A479" s="59" t="str">
        <f>_xlfn.TEXTJOIN(" ",TRUE,Employees_Data[[#This Row],[First Name]],Employees_Data[[#This Row],[Last Name]])</f>
        <v>Basil Farahat</v>
      </c>
      <c r="B479" s="21">
        <v>7</v>
      </c>
      <c r="C479" s="60" t="str">
        <f>IFERROR(IF(Significant_Overtime[[#This Row],[Overtime Hours]]&gt;100,"High Overtime","Normal"),"Not Found")</f>
        <v>Normal</v>
      </c>
    </row>
    <row r="480" spans="1:3" x14ac:dyDescent="0.35">
      <c r="A480" s="59" t="str">
        <f>_xlfn.TEXTJOIN(" ",TRUE,Employees_Data[[#This Row],[First Name]],Employees_Data[[#This Row],[Last Name]])</f>
        <v>Khalid Siriul</v>
      </c>
      <c r="B480" s="21">
        <v>2</v>
      </c>
      <c r="C480" s="60" t="str">
        <f>IFERROR(IF(Significant_Overtime[[#This Row],[Overtime Hours]]&gt;100,"High Overtime","Normal"),"Not Found")</f>
        <v>Normal</v>
      </c>
    </row>
    <row r="481" spans="1:3" x14ac:dyDescent="0.35">
      <c r="A481" s="59" t="str">
        <f>_xlfn.TEXTJOIN(" ",TRUE,Employees_Data[[#This Row],[First Name]],Employees_Data[[#This Row],[Last Name]])</f>
        <v>Salah Aldiyn Salayk</v>
      </c>
      <c r="B481" s="21">
        <v>0</v>
      </c>
      <c r="C481" s="60" t="str">
        <f>IFERROR(IF(Significant_Overtime[[#This Row],[Overtime Hours]]&gt;100,"High Overtime","Normal"),"Not Found")</f>
        <v>Normal</v>
      </c>
    </row>
    <row r="482" spans="1:3" x14ac:dyDescent="0.35">
      <c r="A482" s="59" t="str">
        <f>_xlfn.TEXTJOIN(" ",TRUE,Employees_Data[[#This Row],[First Name]],Employees_Data[[#This Row],[Last Name]])</f>
        <v>Bilal Einziin</v>
      </c>
      <c r="B482" s="21">
        <v>9</v>
      </c>
      <c r="C482" s="60" t="str">
        <f>IFERROR(IF(Significant_Overtime[[#This Row],[Overtime Hours]]&gt;100,"High Overtime","Normal"),"Not Found")</f>
        <v>Normal</v>
      </c>
    </row>
    <row r="483" spans="1:3" x14ac:dyDescent="0.35">
      <c r="A483" s="59" t="str">
        <f>_xlfn.TEXTJOIN(" ",TRUE,Employees_Data[[#This Row],[First Name]],Employees_Data[[#This Row],[Last Name]])</f>
        <v>Abdalrhmin Aljuju</v>
      </c>
      <c r="B483" s="21">
        <v>1</v>
      </c>
      <c r="C483" s="60" t="str">
        <f>IFERROR(IF(Significant_Overtime[[#This Row],[Overtime Hours]]&gt;100,"High Overtime","Normal"),"Not Found")</f>
        <v>Normal</v>
      </c>
    </row>
    <row r="484" spans="1:3" x14ac:dyDescent="0.35">
      <c r="A484" s="59" t="str">
        <f>_xlfn.TEXTJOIN(" ",TRUE,Employees_Data[[#This Row],[First Name]],Employees_Data[[#This Row],[Last Name]])</f>
        <v>Lawy Nadaf</v>
      </c>
      <c r="B484" s="21">
        <v>6</v>
      </c>
      <c r="C484" s="60" t="str">
        <f>IFERROR(IF(Significant_Overtime[[#This Row],[Overtime Hours]]&gt;100,"High Overtime","Normal"),"Not Found")</f>
        <v>Normal</v>
      </c>
    </row>
    <row r="485" spans="1:3" x14ac:dyDescent="0.35">
      <c r="A485" s="59" t="str">
        <f>_xlfn.TEXTJOIN(" ",TRUE,Employees_Data[[#This Row],[First Name]],Employees_Data[[#This Row],[Last Name]])</f>
        <v>Ali Muhamad</v>
      </c>
      <c r="B485" s="21">
        <v>10</v>
      </c>
      <c r="C485" s="60" t="str">
        <f>IFERROR(IF(Significant_Overtime[[#This Row],[Overtime Hours]]&gt;100,"High Overtime","Normal"),"Not Found")</f>
        <v>Normal</v>
      </c>
    </row>
    <row r="486" spans="1:3" x14ac:dyDescent="0.35">
      <c r="A486" s="59" t="str">
        <f>_xlfn.TEXTJOIN(" ",TRUE,Employees_Data[[#This Row],[First Name]],Employees_Data[[#This Row],[Last Name]])</f>
        <v>Mahir Bikar</v>
      </c>
      <c r="B486" s="21">
        <v>0</v>
      </c>
      <c r="C486" s="60" t="str">
        <f>IFERROR(IF(Significant_Overtime[[#This Row],[Overtime Hours]]&gt;100,"High Overtime","Normal"),"Not Found")</f>
        <v>Normal</v>
      </c>
    </row>
    <row r="487" spans="1:3" x14ac:dyDescent="0.35">
      <c r="A487" s="59" t="str">
        <f>_xlfn.TEXTJOIN(" ",TRUE,Employees_Data[[#This Row],[First Name]],Employees_Data[[#This Row],[Last Name]])</f>
        <v>Iad Alhusayn</v>
      </c>
      <c r="B487" s="21">
        <v>7</v>
      </c>
      <c r="C487" s="60" t="str">
        <f>IFERROR(IF(Significant_Overtime[[#This Row],[Overtime Hours]]&gt;100,"High Overtime","Normal"),"Not Found")</f>
        <v>Normal</v>
      </c>
    </row>
    <row r="488" spans="1:3" x14ac:dyDescent="0.35">
      <c r="A488" s="59" t="str">
        <f>_xlfn.TEXTJOIN(" ",TRUE,Employees_Data[[#This Row],[First Name]],Employees_Data[[#This Row],[Last Name]])</f>
        <v>Husam Ziada</v>
      </c>
      <c r="B488" s="21">
        <v>14</v>
      </c>
      <c r="C488" s="60" t="str">
        <f>IFERROR(IF(Significant_Overtime[[#This Row],[Overtime Hours]]&gt;100,"High Overtime","Normal"),"Not Found")</f>
        <v>Normal</v>
      </c>
    </row>
    <row r="489" spans="1:3" x14ac:dyDescent="0.35">
      <c r="A489" s="59" t="str">
        <f>_xlfn.TEXTJOIN(" ",TRUE,Employees_Data[[#This Row],[First Name]],Employees_Data[[#This Row],[Last Name]])</f>
        <v>Ahmad Eashur</v>
      </c>
      <c r="B489" s="21">
        <v>1</v>
      </c>
      <c r="C489" s="60" t="str">
        <f>IFERROR(IF(Significant_Overtime[[#This Row],[Overtime Hours]]&gt;100,"High Overtime","Normal"),"Not Found")</f>
        <v>Normal</v>
      </c>
    </row>
    <row r="490" spans="1:3" x14ac:dyDescent="0.35">
      <c r="A490" s="59" t="str">
        <f>_xlfn.TEXTJOIN(" ",TRUE,Employees_Data[[#This Row],[First Name]],Employees_Data[[#This Row],[Last Name]])</f>
        <v>Ahmad Naqawuh</v>
      </c>
      <c r="B490" s="21">
        <v>92</v>
      </c>
      <c r="C490" s="60" t="str">
        <f>IFERROR(IF(Significant_Overtime[[#This Row],[Overtime Hours]]&gt;100,"High Overtime","Normal"),"Not Found")</f>
        <v>Normal</v>
      </c>
    </row>
    <row r="491" spans="1:3" x14ac:dyDescent="0.35">
      <c r="A491" s="59" t="str">
        <f>_xlfn.TEXTJOIN(" ",TRUE,Employees_Data[[#This Row],[First Name]],Employees_Data[[#This Row],[Last Name]])</f>
        <v>Tamadur Barghuth</v>
      </c>
      <c r="B491" s="21">
        <v>7</v>
      </c>
      <c r="C491" s="60" t="str">
        <f>IFERROR(IF(Significant_Overtime[[#This Row],[Overtime Hours]]&gt;100,"High Overtime","Normal"),"Not Found")</f>
        <v>Normal</v>
      </c>
    </row>
    <row r="492" spans="1:3" x14ac:dyDescent="0.35">
      <c r="A492" s="59" t="str">
        <f>_xlfn.TEXTJOIN(" ",TRUE,Employees_Data[[#This Row],[First Name]],Employees_Data[[#This Row],[Last Name]])</f>
        <v>Diea Jazar</v>
      </c>
      <c r="B492" s="21">
        <v>7</v>
      </c>
      <c r="C492" s="60" t="str">
        <f>IFERROR(IF(Significant_Overtime[[#This Row],[Overtime Hours]]&gt;100,"High Overtime","Normal"),"Not Found")</f>
        <v>Normal</v>
      </c>
    </row>
    <row r="493" spans="1:3" x14ac:dyDescent="0.35">
      <c r="A493" s="59" t="str">
        <f>_xlfn.TEXTJOIN(" ",TRUE,Employees_Data[[#This Row],[First Name]],Employees_Data[[#This Row],[Last Name]])</f>
        <v>Bashshar Mareiun</v>
      </c>
      <c r="B493" s="21">
        <v>95</v>
      </c>
      <c r="C493" s="60" t="str">
        <f>IFERROR(IF(Significant_Overtime[[#This Row],[Overtime Hours]]&gt;100,"High Overtime","Normal"),"Not Found")</f>
        <v>Normal</v>
      </c>
    </row>
    <row r="494" spans="1:3" x14ac:dyDescent="0.35">
      <c r="A494" s="59" t="str">
        <f>_xlfn.TEXTJOIN(" ",TRUE,Employees_Data[[#This Row],[First Name]],Employees_Data[[#This Row],[Last Name]])</f>
        <v>Abdaleziz Eiwad</v>
      </c>
      <c r="B494" s="21">
        <v>11</v>
      </c>
      <c r="C494" s="60" t="str">
        <f>IFERROR(IF(Significant_Overtime[[#This Row],[Overtime Hours]]&gt;100,"High Overtime","Normal"),"Not Found")</f>
        <v>Normal</v>
      </c>
    </row>
    <row r="495" spans="1:3" x14ac:dyDescent="0.35">
      <c r="A495" s="59" t="str">
        <f>_xlfn.TEXTJOIN(" ",TRUE,Employees_Data[[#This Row],[First Name]],Employees_Data[[#This Row],[Last Name]])</f>
        <v>Amir Alkhawam</v>
      </c>
      <c r="B495" s="21">
        <v>4</v>
      </c>
      <c r="C495" s="60" t="str">
        <f>IFERROR(IF(Significant_Overtime[[#This Row],[Overtime Hours]]&gt;100,"High Overtime","Normal"),"Not Found")</f>
        <v>Normal</v>
      </c>
    </row>
    <row r="496" spans="1:3" x14ac:dyDescent="0.35">
      <c r="A496" s="59" t="str">
        <f>_xlfn.TEXTJOIN(" ",TRUE,Employees_Data[[#This Row],[First Name]],Employees_Data[[#This Row],[Last Name]])</f>
        <v>Alia Maseud</v>
      </c>
      <c r="B496" s="21">
        <v>6</v>
      </c>
      <c r="C496" s="60" t="str">
        <f>IFERROR(IF(Significant_Overtime[[#This Row],[Overtime Hours]]&gt;100,"High Overtime","Normal"),"Not Found")</f>
        <v>Normal</v>
      </c>
    </row>
    <row r="497" spans="1:3" x14ac:dyDescent="0.35">
      <c r="A497" s="59" t="str">
        <f>_xlfn.TEXTJOIN(" ",TRUE,Employees_Data[[#This Row],[First Name]],Employees_Data[[#This Row],[Last Name]])</f>
        <v>Asra Abuhani</v>
      </c>
      <c r="B497" s="21">
        <v>9</v>
      </c>
      <c r="C497" s="60" t="str">
        <f>IFERROR(IF(Significant_Overtime[[#This Row],[Overtime Hours]]&gt;100,"High Overtime","Normal"),"Not Found")</f>
        <v>Normal</v>
      </c>
    </row>
    <row r="498" spans="1:3" x14ac:dyDescent="0.35">
      <c r="A498" s="59" t="str">
        <f>_xlfn.TEXTJOIN(" ",TRUE,Employees_Data[[#This Row],[First Name]],Employees_Data[[#This Row],[Last Name]])</f>
        <v>Ahmad Alshamy</v>
      </c>
      <c r="B498" s="21">
        <v>4</v>
      </c>
      <c r="C498" s="60" t="str">
        <f>IFERROR(IF(Significant_Overtime[[#This Row],[Overtime Hours]]&gt;100,"High Overtime","Normal"),"Not Found")</f>
        <v>Normal</v>
      </c>
    </row>
    <row r="499" spans="1:3" x14ac:dyDescent="0.35">
      <c r="A499" s="59" t="str">
        <f>_xlfn.TEXTJOIN(" ",TRUE,Employees_Data[[#This Row],[First Name]],Employees_Data[[#This Row],[Last Name]])</f>
        <v>Baha Eusqul</v>
      </c>
      <c r="B499" s="21">
        <v>10</v>
      </c>
      <c r="C499" s="60" t="str">
        <f>IFERROR(IF(Significant_Overtime[[#This Row],[Overtime Hours]]&gt;100,"High Overtime","Normal"),"Not Found")</f>
        <v>Normal</v>
      </c>
    </row>
    <row r="500" spans="1:3" x14ac:dyDescent="0.35">
      <c r="A500" s="59" t="str">
        <f>_xlfn.TEXTJOIN(" ",TRUE,Employees_Data[[#This Row],[First Name]],Employees_Data[[#This Row],[Last Name]])</f>
        <v>Muhamad Hylmyh</v>
      </c>
      <c r="B500" s="21">
        <v>2</v>
      </c>
      <c r="C500" s="60" t="str">
        <f>IFERROR(IF(Significant_Overtime[[#This Row],[Overtime Hours]]&gt;100,"High Overtime","Normal"),"Not Found")</f>
        <v>Normal</v>
      </c>
    </row>
    <row r="501" spans="1:3" x14ac:dyDescent="0.35">
      <c r="A501" s="59" t="str">
        <f>_xlfn.TEXTJOIN(" ",TRUE,Employees_Data[[#This Row],[First Name]],Employees_Data[[#This Row],[Last Name]])</f>
        <v>Khadijah Turkamani</v>
      </c>
      <c r="B501" s="21">
        <v>8</v>
      </c>
      <c r="C501" s="60" t="str">
        <f>IFERROR(IF(Significant_Overtime[[#This Row],[Overtime Hours]]&gt;100,"High Overtime","Normal"),"Not Found")</f>
        <v>Normal</v>
      </c>
    </row>
    <row r="502" spans="1:3" x14ac:dyDescent="0.35">
      <c r="A502" s="59" t="str">
        <f>_xlfn.TEXTJOIN(" ",TRUE,Employees_Data[[#This Row],[First Name]],Employees_Data[[#This Row],[Last Name]])</f>
        <v>Asra Jameah</v>
      </c>
      <c r="B502" s="21">
        <v>2</v>
      </c>
      <c r="C502" s="60" t="str">
        <f>IFERROR(IF(Significant_Overtime[[#This Row],[Overtime Hours]]&gt;100,"High Overtime","Normal"),"Not Found")</f>
        <v>Normal</v>
      </c>
    </row>
    <row r="503" spans="1:3" x14ac:dyDescent="0.35">
      <c r="A503" s="59" t="str">
        <f>_xlfn.TEXTJOIN(" ",TRUE,Employees_Data[[#This Row],[First Name]],Employees_Data[[#This Row],[Last Name]])</f>
        <v>Akram Alhulwanii</v>
      </c>
      <c r="B503" s="21">
        <v>8</v>
      </c>
      <c r="C503" s="60" t="str">
        <f>IFERROR(IF(Significant_Overtime[[#This Row],[Overtime Hours]]&gt;100,"High Overtime","Normal"),"Not Found")</f>
        <v>Normal</v>
      </c>
    </row>
    <row r="504" spans="1:3" x14ac:dyDescent="0.35">
      <c r="A504" s="59" t="str">
        <f>_xlfn.TEXTJOIN(" ",TRUE,Employees_Data[[#This Row],[First Name]],Employees_Data[[#This Row],[Last Name]])</f>
        <v>Samir Almisri</v>
      </c>
      <c r="B504" s="21">
        <v>8</v>
      </c>
      <c r="C504" s="60" t="str">
        <f>IFERROR(IF(Significant_Overtime[[#This Row],[Overtime Hours]]&gt;100,"High Overtime","Normal"),"Not Found")</f>
        <v>Normal</v>
      </c>
    </row>
    <row r="505" spans="1:3" x14ac:dyDescent="0.35">
      <c r="A505" s="59" t="str">
        <f>_xlfn.TEXTJOIN(" ",TRUE,Employees_Data[[#This Row],[First Name]],Employees_Data[[#This Row],[Last Name]])</f>
        <v>Ahmad Iidris</v>
      </c>
      <c r="B505" s="21">
        <v>10</v>
      </c>
      <c r="C505" s="60" t="str">
        <f>IFERROR(IF(Significant_Overtime[[#This Row],[Overtime Hours]]&gt;100,"High Overtime","Normal"),"Not Found")</f>
        <v>Normal</v>
      </c>
    </row>
    <row r="506" spans="1:3" x14ac:dyDescent="0.35">
      <c r="A506" s="59" t="str">
        <f>_xlfn.TEXTJOIN(" ",TRUE,Employees_Data[[#This Row],[First Name]],Employees_Data[[#This Row],[Last Name]])</f>
        <v>Khawla Dawi</v>
      </c>
      <c r="B506" s="21">
        <v>0</v>
      </c>
      <c r="C506" s="60" t="str">
        <f>IFERROR(IF(Significant_Overtime[[#This Row],[Overtime Hours]]&gt;100,"High Overtime","Normal"),"Not Found")</f>
        <v>Normal</v>
      </c>
    </row>
    <row r="507" spans="1:3" x14ac:dyDescent="0.35">
      <c r="A507" s="59" t="str">
        <f>_xlfn.TEXTJOIN(" ",TRUE,Employees_Data[[#This Row],[First Name]],Employees_Data[[#This Row],[Last Name]])</f>
        <v>Rayid Zazana</v>
      </c>
      <c r="B507" s="21">
        <v>9</v>
      </c>
      <c r="C507" s="60" t="str">
        <f>IFERROR(IF(Significant_Overtime[[#This Row],[Overtime Hours]]&gt;100,"High Overtime","Normal"),"Not Found")</f>
        <v>Normal</v>
      </c>
    </row>
    <row r="508" spans="1:3" x14ac:dyDescent="0.35">
      <c r="A508" s="59" t="str">
        <f>_xlfn.TEXTJOIN(" ",TRUE,Employees_Data[[#This Row],[First Name]],Employees_Data[[#This Row],[Last Name]])</f>
        <v>Razan Iybw</v>
      </c>
      <c r="B508" s="21">
        <v>9</v>
      </c>
      <c r="C508" s="60" t="str">
        <f>IFERROR(IF(Significant_Overtime[[#This Row],[Overtime Hours]]&gt;100,"High Overtime","Normal"),"Not Found")</f>
        <v>Normal</v>
      </c>
    </row>
    <row r="509" spans="1:3" x14ac:dyDescent="0.35">
      <c r="A509" s="59" t="str">
        <f>_xlfn.TEXTJOIN(" ",TRUE,Employees_Data[[#This Row],[First Name]],Employees_Data[[#This Row],[Last Name]])</f>
        <v>Jamil Ghabur</v>
      </c>
      <c r="B509" s="21">
        <v>9</v>
      </c>
      <c r="C509" s="60" t="str">
        <f>IFERROR(IF(Significant_Overtime[[#This Row],[Overtime Hours]]&gt;100,"High Overtime","Normal"),"Not Found")</f>
        <v>Normal</v>
      </c>
    </row>
    <row r="510" spans="1:3" x14ac:dyDescent="0.35">
      <c r="A510" s="59" t="str">
        <f>_xlfn.TEXTJOIN(" ",TRUE,Employees_Data[[#This Row],[First Name]],Employees_Data[[#This Row],[Last Name]])</f>
        <v>Alaa Sultan</v>
      </c>
      <c r="B510" s="21">
        <v>7</v>
      </c>
      <c r="C510" s="60" t="str">
        <f>IFERROR(IF(Significant_Overtime[[#This Row],[Overtime Hours]]&gt;100,"High Overtime","Normal"),"Not Found")</f>
        <v>Normal</v>
      </c>
    </row>
    <row r="511" spans="1:3" x14ac:dyDescent="0.35">
      <c r="A511" s="59" t="str">
        <f>_xlfn.TEXTJOIN(" ",TRUE,Employees_Data[[#This Row],[First Name]],Employees_Data[[#This Row],[Last Name]])</f>
        <v>Sultan Taysir</v>
      </c>
      <c r="B511" s="21">
        <v>7</v>
      </c>
      <c r="C511" s="60" t="str">
        <f>IFERROR(IF(Significant_Overtime[[#This Row],[Overtime Hours]]&gt;100,"High Overtime","Normal"),"Not Found")</f>
        <v>Normal</v>
      </c>
    </row>
    <row r="512" spans="1:3" x14ac:dyDescent="0.35">
      <c r="A512" s="59" t="str">
        <f>_xlfn.TEXTJOIN(" ",TRUE,Employees_Data[[#This Row],[First Name]],Employees_Data[[#This Row],[Last Name]])</f>
        <v>Hanan Kurdiun</v>
      </c>
      <c r="B512" s="21">
        <v>5</v>
      </c>
      <c r="C512" s="60" t="str">
        <f>IFERROR(IF(Significant_Overtime[[#This Row],[Overtime Hours]]&gt;100,"High Overtime","Normal"),"Not Found")</f>
        <v>Normal</v>
      </c>
    </row>
    <row r="513" spans="1:3" x14ac:dyDescent="0.35">
      <c r="A513" s="59" t="str">
        <f>_xlfn.TEXTJOIN(" ",TRUE,Employees_Data[[#This Row],[First Name]],Employees_Data[[#This Row],[Last Name]])</f>
        <v>Basil Salih</v>
      </c>
      <c r="B513" s="21">
        <v>11</v>
      </c>
      <c r="C513" s="60" t="str">
        <f>IFERROR(IF(Significant_Overtime[[#This Row],[Overtime Hours]]&gt;100,"High Overtime","Normal"),"Not Found")</f>
        <v>Normal</v>
      </c>
    </row>
    <row r="514" spans="1:3" x14ac:dyDescent="0.35">
      <c r="A514" s="59" t="str">
        <f>_xlfn.TEXTJOIN(" ",TRUE,Employees_Data[[#This Row],[First Name]],Employees_Data[[#This Row],[Last Name]])</f>
        <v>Rita Dib</v>
      </c>
      <c r="B514" s="21">
        <v>1</v>
      </c>
      <c r="C514" s="60" t="str">
        <f>IFERROR(IF(Significant_Overtime[[#This Row],[Overtime Hours]]&gt;100,"High Overtime","Normal"),"Not Found")</f>
        <v>Normal</v>
      </c>
    </row>
    <row r="515" spans="1:3" x14ac:dyDescent="0.35">
      <c r="A515" s="59" t="str">
        <f>_xlfn.TEXTJOIN(" ",TRUE,Employees_Data[[#This Row],[First Name]],Employees_Data[[#This Row],[Last Name]])</f>
        <v>Muhamad Alghush</v>
      </c>
      <c r="B515" s="21">
        <v>3</v>
      </c>
      <c r="C515" s="60" t="str">
        <f>IFERROR(IF(Significant_Overtime[[#This Row],[Overtime Hours]]&gt;100,"High Overtime","Normal"),"Not Found")</f>
        <v>Normal</v>
      </c>
    </row>
    <row r="516" spans="1:3" x14ac:dyDescent="0.35">
      <c r="A516" s="59" t="str">
        <f>_xlfn.TEXTJOIN(" ",TRUE,Employees_Data[[#This Row],[First Name]],Employees_Data[[#This Row],[Last Name]])</f>
        <v>Muhamad Iismaeil</v>
      </c>
      <c r="B516" s="21">
        <v>2</v>
      </c>
      <c r="C516" s="60" t="str">
        <f>IFERROR(IF(Significant_Overtime[[#This Row],[Overtime Hours]]&gt;100,"High Overtime","Normal"),"Not Found")</f>
        <v>Normal</v>
      </c>
    </row>
    <row r="517" spans="1:3" x14ac:dyDescent="0.35">
      <c r="A517" s="59" t="str">
        <f>_xlfn.TEXTJOIN(" ",TRUE,Employees_Data[[#This Row],[First Name]],Employees_Data[[#This Row],[Last Name]])</f>
        <v>Khaldun Alsaedi</v>
      </c>
      <c r="B517" s="21">
        <v>2</v>
      </c>
      <c r="C517" s="60" t="str">
        <f>IFERROR(IF(Significant_Overtime[[#This Row],[Overtime Hours]]&gt;100,"High Overtime","Normal"),"Not Found")</f>
        <v>Normal</v>
      </c>
    </row>
    <row r="518" spans="1:3" x14ac:dyDescent="0.35">
      <c r="A518" s="59" t="str">
        <f>_xlfn.TEXTJOIN(" ",TRUE,Employees_Data[[#This Row],[First Name]],Employees_Data[[#This Row],[Last Name]])</f>
        <v>Ghaliah Eibad</v>
      </c>
      <c r="B518" s="21">
        <v>7</v>
      </c>
      <c r="C518" s="60" t="str">
        <f>IFERROR(IF(Significant_Overtime[[#This Row],[Overtime Hours]]&gt;100,"High Overtime","Normal"),"Not Found")</f>
        <v>Normal</v>
      </c>
    </row>
    <row r="519" spans="1:3" x14ac:dyDescent="0.35">
      <c r="A519" s="59" t="str">
        <f>_xlfn.TEXTJOIN(" ",TRUE,Employees_Data[[#This Row],[First Name]],Employees_Data[[#This Row],[Last Name]])</f>
        <v>Muhamad Alsaedi</v>
      </c>
      <c r="B519" s="21">
        <v>0</v>
      </c>
      <c r="C519" s="60" t="str">
        <f>IFERROR(IF(Significant_Overtime[[#This Row],[Overtime Hours]]&gt;100,"High Overtime","Normal"),"Not Found")</f>
        <v>Normal</v>
      </c>
    </row>
    <row r="520" spans="1:3" x14ac:dyDescent="0.35">
      <c r="A520" s="59" t="str">
        <f>_xlfn.TEXTJOIN(" ",TRUE,Employees_Data[[#This Row],[First Name]],Employees_Data[[#This Row],[Last Name]])</f>
        <v>Eala Zaniqa</v>
      </c>
      <c r="B520" s="21">
        <v>9</v>
      </c>
      <c r="C520" s="60" t="str">
        <f>IFERROR(IF(Significant_Overtime[[#This Row],[Overtime Hours]]&gt;100,"High Overtime","Normal"),"Not Found")</f>
        <v>Normal</v>
      </c>
    </row>
    <row r="521" spans="1:3" x14ac:dyDescent="0.35">
      <c r="A521" s="59" t="str">
        <f>_xlfn.TEXTJOIN(" ",TRUE,Employees_Data[[#This Row],[First Name]],Employees_Data[[#This Row],[Last Name]])</f>
        <v>Ayham Sharfah</v>
      </c>
      <c r="B521" s="21">
        <v>4</v>
      </c>
      <c r="C521" s="60" t="str">
        <f>IFERROR(IF(Significant_Overtime[[#This Row],[Overtime Hours]]&gt;100,"High Overtime","Normal"),"Not Found")</f>
        <v>Normal</v>
      </c>
    </row>
    <row r="522" spans="1:3" x14ac:dyDescent="0.35">
      <c r="A522" s="59" t="str">
        <f>_xlfn.TEXTJOIN(" ",TRUE,Employees_Data[[#This Row],[First Name]],Employees_Data[[#This Row],[Last Name]])</f>
        <v>Ahmad Kazeur</v>
      </c>
      <c r="B522" s="21">
        <v>7</v>
      </c>
      <c r="C522" s="60" t="str">
        <f>IFERROR(IF(Significant_Overtime[[#This Row],[Overtime Hours]]&gt;100,"High Overtime","Normal"),"Not Found")</f>
        <v>Normal</v>
      </c>
    </row>
    <row r="523" spans="1:3" x14ac:dyDescent="0.35">
      <c r="A523" s="59" t="str">
        <f>_xlfn.TEXTJOIN(" ",TRUE,Employees_Data[[#This Row],[First Name]],Employees_Data[[#This Row],[Last Name]])</f>
        <v>Mujdi Kiwan</v>
      </c>
      <c r="B523" s="21">
        <v>10</v>
      </c>
      <c r="C523" s="60" t="str">
        <f>IFERROR(IF(Significant_Overtime[[#This Row],[Overtime Hours]]&gt;100,"High Overtime","Normal"),"Not Found")</f>
        <v>Normal</v>
      </c>
    </row>
    <row r="524" spans="1:3" x14ac:dyDescent="0.35">
      <c r="A524" s="59" t="str">
        <f>_xlfn.TEXTJOIN(" ",TRUE,Employees_Data[[#This Row],[First Name]],Employees_Data[[#This Row],[Last Name]])</f>
        <v>Muhamad Altynawi</v>
      </c>
      <c r="B524" s="21">
        <v>1</v>
      </c>
      <c r="C524" s="60" t="str">
        <f>IFERROR(IF(Significant_Overtime[[#This Row],[Overtime Hours]]&gt;100,"High Overtime","Normal"),"Not Found")</f>
        <v>Normal</v>
      </c>
    </row>
    <row r="525" spans="1:3" x14ac:dyDescent="0.35">
      <c r="A525" s="59" t="str">
        <f>_xlfn.TEXTJOIN(" ",TRUE,Employees_Data[[#This Row],[First Name]],Employees_Data[[#This Row],[Last Name]])</f>
        <v>Lama Alhasan</v>
      </c>
      <c r="B525" s="21">
        <v>8</v>
      </c>
      <c r="C525" s="60" t="str">
        <f>IFERROR(IF(Significant_Overtime[[#This Row],[Overtime Hours]]&gt;100,"High Overtime","Normal"),"Not Found")</f>
        <v>Normal</v>
      </c>
    </row>
    <row r="526" spans="1:3" x14ac:dyDescent="0.35">
      <c r="A526" s="59" t="str">
        <f>_xlfn.TEXTJOIN(" ",TRUE,Employees_Data[[#This Row],[First Name]],Employees_Data[[#This Row],[Last Name]])</f>
        <v>Lama Almisri</v>
      </c>
      <c r="B526" s="21">
        <v>8</v>
      </c>
      <c r="C526" s="60" t="str">
        <f>IFERROR(IF(Significant_Overtime[[#This Row],[Overtime Hours]]&gt;100,"High Overtime","Normal"),"Not Found")</f>
        <v>Normal</v>
      </c>
    </row>
    <row r="527" spans="1:3" x14ac:dyDescent="0.35">
      <c r="A527" s="59" t="str">
        <f>_xlfn.TEXTJOIN(" ",TRUE,Employees_Data[[#This Row],[First Name]],Employees_Data[[#This Row],[Last Name]])</f>
        <v>Thayir Hamuwda</v>
      </c>
      <c r="B527" s="21">
        <v>9</v>
      </c>
      <c r="C527" s="60" t="str">
        <f>IFERROR(IF(Significant_Overtime[[#This Row],[Overtime Hours]]&gt;100,"High Overtime","Normal"),"Not Found")</f>
        <v>Normal</v>
      </c>
    </row>
    <row r="528" spans="1:3" x14ac:dyDescent="0.35">
      <c r="A528" s="59" t="str">
        <f>_xlfn.TEXTJOIN(" ",TRUE,Employees_Data[[#This Row],[First Name]],Employees_Data[[#This Row],[Last Name]])</f>
        <v>Abdallah Zakariaa</v>
      </c>
      <c r="B528" s="21">
        <v>3</v>
      </c>
      <c r="C528" s="60" t="str">
        <f>IFERROR(IF(Significant_Overtime[[#This Row],[Overtime Hours]]&gt;100,"High Overtime","Normal"),"Not Found")</f>
        <v>Normal</v>
      </c>
    </row>
    <row r="529" spans="1:3" x14ac:dyDescent="0.35">
      <c r="A529" s="59" t="str">
        <f>_xlfn.TEXTJOIN(" ",TRUE,Employees_Data[[#This Row],[First Name]],Employees_Data[[#This Row],[Last Name]])</f>
        <v>Ikhlas Alhasan</v>
      </c>
      <c r="B529" s="21">
        <v>10</v>
      </c>
      <c r="C529" s="60" t="str">
        <f>IFERROR(IF(Significant_Overtime[[#This Row],[Overtime Hours]]&gt;100,"High Overtime","Normal"),"Not Found")</f>
        <v>Normal</v>
      </c>
    </row>
    <row r="530" spans="1:3" x14ac:dyDescent="0.35">
      <c r="A530" s="59" t="str">
        <f>_xlfn.TEXTJOIN(" ",TRUE,Employees_Data[[#This Row],[First Name]],Employees_Data[[#This Row],[Last Name]])</f>
        <v>Muhamad Jzayrly</v>
      </c>
      <c r="B530" s="21">
        <v>8</v>
      </c>
      <c r="C530" s="60" t="str">
        <f>IFERROR(IF(Significant_Overtime[[#This Row],[Overtime Hours]]&gt;100,"High Overtime","Normal"),"Not Found")</f>
        <v>Normal</v>
      </c>
    </row>
    <row r="531" spans="1:3" x14ac:dyDescent="0.35">
      <c r="A531" s="59" t="str">
        <f>_xlfn.TEXTJOIN(" ",TRUE,Employees_Data[[#This Row],[First Name]],Employees_Data[[#This Row],[Last Name]])</f>
        <v>Husam Badr</v>
      </c>
      <c r="B531" s="21">
        <v>40</v>
      </c>
      <c r="C531" s="60" t="str">
        <f>IFERROR(IF(Significant_Overtime[[#This Row],[Overtime Hours]]&gt;100,"High Overtime","Normal"),"Not Found")</f>
        <v>Normal</v>
      </c>
    </row>
    <row r="532" spans="1:3" x14ac:dyDescent="0.35">
      <c r="A532" s="59" t="str">
        <f>_xlfn.TEXTJOIN(" ",TRUE,Employees_Data[[#This Row],[First Name]],Employees_Data[[#This Row],[Last Name]])</f>
        <v>Rami Hunun</v>
      </c>
      <c r="B532" s="21">
        <v>1</v>
      </c>
      <c r="C532" s="60" t="str">
        <f>IFERROR(IF(Significant_Overtime[[#This Row],[Overtime Hours]]&gt;100,"High Overtime","Normal"),"Not Found")</f>
        <v>Normal</v>
      </c>
    </row>
    <row r="533" spans="1:3" x14ac:dyDescent="0.35">
      <c r="A533" s="59" t="str">
        <f>_xlfn.TEXTJOIN(" ",TRUE,Employees_Data[[#This Row],[First Name]],Employees_Data[[#This Row],[Last Name]])</f>
        <v>Alia Abu</v>
      </c>
      <c r="B533" s="21">
        <v>4</v>
      </c>
      <c r="C533" s="60" t="str">
        <f>IFERROR(IF(Significant_Overtime[[#This Row],[Overtime Hours]]&gt;100,"High Overtime","Normal"),"Not Found")</f>
        <v>Normal</v>
      </c>
    </row>
    <row r="534" spans="1:3" x14ac:dyDescent="0.35">
      <c r="A534" s="59" t="str">
        <f>_xlfn.TEXTJOIN(" ",TRUE,Employees_Data[[#This Row],[First Name]],Employees_Data[[#This Row],[Last Name]])</f>
        <v>Samir Sariji</v>
      </c>
      <c r="B534" s="21">
        <v>5</v>
      </c>
      <c r="C534" s="60" t="str">
        <f>IFERROR(IF(Significant_Overtime[[#This Row],[Overtime Hours]]&gt;100,"High Overtime","Normal"),"Not Found")</f>
        <v>Normal</v>
      </c>
    </row>
    <row r="535" spans="1:3" x14ac:dyDescent="0.35">
      <c r="A535" s="59" t="str">
        <f>_xlfn.TEXTJOIN(" ",TRUE,Employees_Data[[#This Row],[First Name]],Employees_Data[[#This Row],[Last Name]])</f>
        <v>Muhamad Albieli</v>
      </c>
      <c r="B535" s="21">
        <v>10</v>
      </c>
      <c r="C535" s="60" t="str">
        <f>IFERROR(IF(Significant_Overtime[[#This Row],[Overtime Hours]]&gt;100,"High Overtime","Normal"),"Not Found")</f>
        <v>Normal</v>
      </c>
    </row>
    <row r="536" spans="1:3" x14ac:dyDescent="0.35">
      <c r="A536" s="59" t="str">
        <f>_xlfn.TEXTJOIN(" ",TRUE,Employees_Data[[#This Row],[First Name]],Employees_Data[[#This Row],[Last Name]])</f>
        <v>Ahmad Eyd Bndqjy</v>
      </c>
      <c r="B536" s="21">
        <v>3</v>
      </c>
      <c r="C536" s="60" t="str">
        <f>IFERROR(IF(Significant_Overtime[[#This Row],[Overtime Hours]]&gt;100,"High Overtime","Normal"),"Not Found")</f>
        <v>Normal</v>
      </c>
    </row>
    <row r="537" spans="1:3" x14ac:dyDescent="0.35">
      <c r="A537" s="59" t="str">
        <f>_xlfn.TEXTJOIN(" ",TRUE,Employees_Data[[#This Row],[First Name]],Employees_Data[[#This Row],[Last Name]])</f>
        <v>Maria Lulu</v>
      </c>
      <c r="B537" s="21">
        <v>94</v>
      </c>
      <c r="C537" s="60" t="str">
        <f>IFERROR(IF(Significant_Overtime[[#This Row],[Overtime Hours]]&gt;100,"High Overtime","Normal"),"Not Found")</f>
        <v>Normal</v>
      </c>
    </row>
    <row r="538" spans="1:3" x14ac:dyDescent="0.35">
      <c r="A538" s="59" t="str">
        <f>_xlfn.TEXTJOIN(" ",TRUE,Employees_Data[[#This Row],[First Name]],Employees_Data[[#This Row],[Last Name]])</f>
        <v>Muhamad Shhybr</v>
      </c>
      <c r="B538" s="21">
        <v>2</v>
      </c>
      <c r="C538" s="60" t="str">
        <f>IFERROR(IF(Significant_Overtime[[#This Row],[Overtime Hours]]&gt;100,"High Overtime","Normal"),"Not Found")</f>
        <v>Normal</v>
      </c>
    </row>
    <row r="539" spans="1:3" x14ac:dyDescent="0.35">
      <c r="A539" s="59" t="str">
        <f>_xlfn.TEXTJOIN(" ",TRUE,Employees_Data[[#This Row],[First Name]],Employees_Data[[#This Row],[Last Name]])</f>
        <v>Abdalbasit Aljazayiriu</v>
      </c>
      <c r="B539" s="21">
        <v>2</v>
      </c>
      <c r="C539" s="60" t="str">
        <f>IFERROR(IF(Significant_Overtime[[#This Row],[Overtime Hours]]&gt;100,"High Overtime","Normal"),"Not Found")</f>
        <v>Normal</v>
      </c>
    </row>
    <row r="540" spans="1:3" x14ac:dyDescent="0.35">
      <c r="A540" s="59" t="str">
        <f>_xlfn.TEXTJOIN(" ",TRUE,Employees_Data[[#This Row],[First Name]],Employees_Data[[#This Row],[Last Name]])</f>
        <v>Bilal Aywbi</v>
      </c>
      <c r="B540" s="21">
        <v>0</v>
      </c>
      <c r="C540" s="60" t="str">
        <f>IFERROR(IF(Significant_Overtime[[#This Row],[Overtime Hours]]&gt;100,"High Overtime","Normal"),"Not Found")</f>
        <v>Normal</v>
      </c>
    </row>
    <row r="541" spans="1:3" x14ac:dyDescent="0.35">
      <c r="A541" s="59" t="str">
        <f>_xlfn.TEXTJOIN(" ",TRUE,Employees_Data[[#This Row],[First Name]],Employees_Data[[#This Row],[Last Name]])</f>
        <v>Ahmad Dabana</v>
      </c>
      <c r="B541" s="21">
        <v>1</v>
      </c>
      <c r="C541" s="60" t="str">
        <f>IFERROR(IF(Significant_Overtime[[#This Row],[Overtime Hours]]&gt;100,"High Overtime","Normal"),"Not Found")</f>
        <v>Normal</v>
      </c>
    </row>
    <row r="542" spans="1:3" x14ac:dyDescent="0.35">
      <c r="A542" s="59" t="str">
        <f>_xlfn.TEXTJOIN(" ",TRUE,Employees_Data[[#This Row],[First Name]],Employees_Data[[#This Row],[Last Name]])</f>
        <v>Fawaz Ghazal</v>
      </c>
      <c r="B542" s="21">
        <v>15</v>
      </c>
      <c r="C542" s="60" t="str">
        <f>IFERROR(IF(Significant_Overtime[[#This Row],[Overtime Hours]]&gt;100,"High Overtime","Normal"),"Not Found")</f>
        <v>Normal</v>
      </c>
    </row>
    <row r="543" spans="1:3" x14ac:dyDescent="0.35">
      <c r="A543" s="59" t="str">
        <f>_xlfn.TEXTJOIN(" ",TRUE,Employees_Data[[#This Row],[First Name]],Employees_Data[[#This Row],[Last Name]])</f>
        <v>Bisam Altahhan</v>
      </c>
      <c r="B543" s="21">
        <v>11</v>
      </c>
      <c r="C543" s="60" t="str">
        <f>IFERROR(IF(Significant_Overtime[[#This Row],[Overtime Hours]]&gt;100,"High Overtime","Normal"),"Not Found")</f>
        <v>Normal</v>
      </c>
    </row>
    <row r="544" spans="1:3" x14ac:dyDescent="0.35">
      <c r="A544" s="59" t="str">
        <f>_xlfn.TEXTJOIN(" ",TRUE,Employees_Data[[#This Row],[First Name]],Employees_Data[[#This Row],[Last Name]])</f>
        <v>Muhamad Amir</v>
      </c>
      <c r="B544" s="21">
        <v>14</v>
      </c>
      <c r="C544" s="60" t="str">
        <f>IFERROR(IF(Significant_Overtime[[#This Row],[Overtime Hours]]&gt;100,"High Overtime","Normal"),"Not Found")</f>
        <v>Normal</v>
      </c>
    </row>
    <row r="545" spans="1:3" x14ac:dyDescent="0.35">
      <c r="A545" s="59" t="str">
        <f>_xlfn.TEXTJOIN(" ",TRUE,Employees_Data[[#This Row],[First Name]],Employees_Data[[#This Row],[Last Name]])</f>
        <v>Lilas Nafae</v>
      </c>
      <c r="B545" s="21">
        <v>81</v>
      </c>
      <c r="C545" s="60" t="str">
        <f>IFERROR(IF(Significant_Overtime[[#This Row],[Overtime Hours]]&gt;100,"High Overtime","Normal"),"Not Found")</f>
        <v>Normal</v>
      </c>
    </row>
    <row r="546" spans="1:3" x14ac:dyDescent="0.35">
      <c r="A546" s="59" t="str">
        <f>_xlfn.TEXTJOIN(" ",TRUE,Employees_Data[[#This Row],[First Name]],Employees_Data[[#This Row],[Last Name]])</f>
        <v>Muhamad Ayman</v>
      </c>
      <c r="B546" s="21">
        <v>7</v>
      </c>
      <c r="C546" s="60" t="str">
        <f>IFERROR(IF(Significant_Overtime[[#This Row],[Overtime Hours]]&gt;100,"High Overtime","Normal"),"Not Found")</f>
        <v>Normal</v>
      </c>
    </row>
    <row r="547" spans="1:3" x14ac:dyDescent="0.35">
      <c r="A547" s="59" t="str">
        <f>_xlfn.TEXTJOIN(" ",TRUE,Employees_Data[[#This Row],[First Name]],Employees_Data[[#This Row],[Last Name]])</f>
        <v>Ranim Earabi</v>
      </c>
      <c r="B547" s="21">
        <v>5</v>
      </c>
      <c r="C547" s="60" t="str">
        <f>IFERROR(IF(Significant_Overtime[[#This Row],[Overtime Hours]]&gt;100,"High Overtime","Normal"),"Not Found")</f>
        <v>Normal</v>
      </c>
    </row>
    <row r="548" spans="1:3" x14ac:dyDescent="0.35">
      <c r="A548" s="59" t="str">
        <f>_xlfn.TEXTJOIN(" ",TRUE,Employees_Data[[#This Row],[First Name]],Employees_Data[[#This Row],[Last Name]])</f>
        <v>Amani Altujjar</v>
      </c>
      <c r="B548" s="21">
        <v>7</v>
      </c>
      <c r="C548" s="60" t="str">
        <f>IFERROR(IF(Significant_Overtime[[#This Row],[Overtime Hours]]&gt;100,"High Overtime","Normal"),"Not Found")</f>
        <v>Normal</v>
      </c>
    </row>
    <row r="549" spans="1:3" x14ac:dyDescent="0.35">
      <c r="A549" s="59" t="str">
        <f>_xlfn.TEXTJOIN(" ",TRUE,Employees_Data[[#This Row],[First Name]],Employees_Data[[#This Row],[Last Name]])</f>
        <v>Muhamad Rashid</v>
      </c>
      <c r="B549" s="21">
        <v>5</v>
      </c>
      <c r="C549" s="60" t="str">
        <f>IFERROR(IF(Significant_Overtime[[#This Row],[Overtime Hours]]&gt;100,"High Overtime","Normal"),"Not Found")</f>
        <v>Normal</v>
      </c>
    </row>
    <row r="550" spans="1:3" x14ac:dyDescent="0.35">
      <c r="A550" s="59" t="str">
        <f>_xlfn.TEXTJOIN(" ",TRUE,Employees_Data[[#This Row],[First Name]],Employees_Data[[#This Row],[Last Name]])</f>
        <v>Amin Hamid</v>
      </c>
      <c r="B550" s="21">
        <v>11</v>
      </c>
      <c r="C550" s="60" t="str">
        <f>IFERROR(IF(Significant_Overtime[[#This Row],[Overtime Hours]]&gt;100,"High Overtime","Normal"),"Not Found")</f>
        <v>Normal</v>
      </c>
    </row>
    <row r="551" spans="1:3" x14ac:dyDescent="0.35">
      <c r="A551" s="59" t="str">
        <f>_xlfn.TEXTJOIN(" ",TRUE,Employees_Data[[#This Row],[First Name]],Employees_Data[[#This Row],[Last Name]])</f>
        <v>Khalid Jameah</v>
      </c>
      <c r="B551" s="21">
        <v>10</v>
      </c>
      <c r="C551" s="60" t="str">
        <f>IFERROR(IF(Significant_Overtime[[#This Row],[Overtime Hours]]&gt;100,"High Overtime","Normal"),"Not Found")</f>
        <v>Normal</v>
      </c>
    </row>
    <row r="552" spans="1:3" x14ac:dyDescent="0.35">
      <c r="A552" s="59" t="str">
        <f>_xlfn.TEXTJOIN(" ",TRUE,Employees_Data[[#This Row],[First Name]],Employees_Data[[#This Row],[Last Name]])</f>
        <v>Fahd Shaykh</v>
      </c>
      <c r="B552" s="21">
        <v>1</v>
      </c>
      <c r="C552" s="60" t="str">
        <f>IFERROR(IF(Significant_Overtime[[#This Row],[Overtime Hours]]&gt;100,"High Overtime","Normal"),"Not Found")</f>
        <v>Normal</v>
      </c>
    </row>
    <row r="553" spans="1:3" x14ac:dyDescent="0.35">
      <c r="A553" s="59" t="str">
        <f>_xlfn.TEXTJOIN(" ",TRUE,Employees_Data[[#This Row],[First Name]],Employees_Data[[#This Row],[Last Name]])</f>
        <v>Lilas Kashik</v>
      </c>
      <c r="B553" s="21">
        <v>6</v>
      </c>
      <c r="C553" s="60" t="str">
        <f>IFERROR(IF(Significant_Overtime[[#This Row],[Overtime Hours]]&gt;100,"High Overtime","Normal"),"Not Found")</f>
        <v>Normal</v>
      </c>
    </row>
    <row r="554" spans="1:3" x14ac:dyDescent="0.35">
      <c r="A554" s="59" t="str">
        <f>_xlfn.TEXTJOIN(" ",TRUE,Employees_Data[[#This Row],[First Name]],Employees_Data[[#This Row],[Last Name]])</f>
        <v>Fatima Hasan</v>
      </c>
      <c r="B554" s="21">
        <v>10</v>
      </c>
      <c r="C554" s="60" t="str">
        <f>IFERROR(IF(Significant_Overtime[[#This Row],[Overtime Hours]]&gt;100,"High Overtime","Normal"),"Not Found")</f>
        <v>Normal</v>
      </c>
    </row>
    <row r="555" spans="1:3" x14ac:dyDescent="0.35">
      <c r="A555" s="59" t="str">
        <f>_xlfn.TEXTJOIN(" ",TRUE,Employees_Data[[#This Row],[First Name]],Employees_Data[[#This Row],[Last Name]])</f>
        <v>Diea Dakhal</v>
      </c>
      <c r="B555" s="21">
        <v>5</v>
      </c>
      <c r="C555" s="60" t="str">
        <f>IFERROR(IF(Significant_Overtime[[#This Row],[Overtime Hours]]&gt;100,"High Overtime","Normal"),"Not Found")</f>
        <v>Normal</v>
      </c>
    </row>
    <row r="556" spans="1:3" x14ac:dyDescent="0.35">
      <c r="A556" s="59" t="str">
        <f>_xlfn.TEXTJOIN(" ",TRUE,Employees_Data[[#This Row],[First Name]],Employees_Data[[#This Row],[Last Name]])</f>
        <v>Amir Karishati</v>
      </c>
      <c r="B556" s="21">
        <v>61</v>
      </c>
      <c r="C556" s="60" t="str">
        <f>IFERROR(IF(Significant_Overtime[[#This Row],[Overtime Hours]]&gt;100,"High Overtime","Normal"),"Not Found")</f>
        <v>Normal</v>
      </c>
    </row>
    <row r="557" spans="1:3" x14ac:dyDescent="0.35">
      <c r="A557" s="59" t="str">
        <f>_xlfn.TEXTJOIN(" ",TRUE,Employees_Data[[#This Row],[First Name]],Employees_Data[[#This Row],[Last Name]])</f>
        <v>Madlin Alsaed</v>
      </c>
      <c r="B557" s="21">
        <v>1</v>
      </c>
      <c r="C557" s="60" t="str">
        <f>IFERROR(IF(Significant_Overtime[[#This Row],[Overtime Hours]]&gt;100,"High Overtime","Normal"),"Not Found")</f>
        <v>Normal</v>
      </c>
    </row>
    <row r="558" spans="1:3" x14ac:dyDescent="0.35">
      <c r="A558" s="59" t="str">
        <f>_xlfn.TEXTJOIN(" ",TRUE,Employees_Data[[#This Row],[First Name]],Employees_Data[[#This Row],[Last Name]])</f>
        <v>Adnan Aleaqla</v>
      </c>
      <c r="B558" s="21">
        <v>10</v>
      </c>
      <c r="C558" s="60" t="str">
        <f>IFERROR(IF(Significant_Overtime[[#This Row],[Overtime Hours]]&gt;100,"High Overtime","Normal"),"Not Found")</f>
        <v>Normal</v>
      </c>
    </row>
    <row r="559" spans="1:3" x14ac:dyDescent="0.35">
      <c r="A559" s="59" t="str">
        <f>_xlfn.TEXTJOIN(" ",TRUE,Employees_Data[[#This Row],[First Name]],Employees_Data[[#This Row],[Last Name]])</f>
        <v>Muhamad Eursaly</v>
      </c>
      <c r="B559" s="21">
        <v>11</v>
      </c>
      <c r="C559" s="60" t="str">
        <f>IFERROR(IF(Significant_Overtime[[#This Row],[Overtime Hours]]&gt;100,"High Overtime","Normal"),"Not Found")</f>
        <v>Normal</v>
      </c>
    </row>
    <row r="560" spans="1:3" x14ac:dyDescent="0.35">
      <c r="A560" s="59" t="str">
        <f>_xlfn.TEXTJOIN(" ",TRUE,Employees_Data[[#This Row],[First Name]],Employees_Data[[#This Row],[Last Name]])</f>
        <v>Ranya Alaishhab</v>
      </c>
      <c r="B560" s="21">
        <v>10</v>
      </c>
      <c r="C560" s="60" t="str">
        <f>IFERROR(IF(Significant_Overtime[[#This Row],[Overtime Hours]]&gt;100,"High Overtime","Normal"),"Not Found")</f>
        <v>Normal</v>
      </c>
    </row>
    <row r="561" spans="1:3" x14ac:dyDescent="0.35">
      <c r="A561" s="59" t="str">
        <f>_xlfn.TEXTJOIN(" ",TRUE,Employees_Data[[#This Row],[First Name]],Employees_Data[[#This Row],[Last Name]])</f>
        <v>Rulaa Shannar</v>
      </c>
      <c r="B561" s="21">
        <v>1</v>
      </c>
      <c r="C561" s="60" t="str">
        <f>IFERROR(IF(Significant_Overtime[[#This Row],[Overtime Hours]]&gt;100,"High Overtime","Normal"),"Not Found")</f>
        <v>Normal</v>
      </c>
    </row>
    <row r="562" spans="1:3" x14ac:dyDescent="0.35">
      <c r="A562" s="59" t="str">
        <f>_xlfn.TEXTJOIN(" ",TRUE,Employees_Data[[#This Row],[First Name]],Employees_Data[[#This Row],[Last Name]])</f>
        <v>Aynas Alhiwat</v>
      </c>
      <c r="B562" s="21">
        <v>4</v>
      </c>
      <c r="C562" s="60" t="str">
        <f>IFERROR(IF(Significant_Overtime[[#This Row],[Overtime Hours]]&gt;100,"High Overtime","Normal"),"Not Found")</f>
        <v>Normal</v>
      </c>
    </row>
    <row r="563" spans="1:3" x14ac:dyDescent="0.35">
      <c r="A563" s="59" t="str">
        <f>_xlfn.TEXTJOIN(" ",TRUE,Employees_Data[[#This Row],[First Name]],Employees_Data[[#This Row],[Last Name]])</f>
        <v>Sara Tabanaj</v>
      </c>
      <c r="B563" s="21">
        <v>8</v>
      </c>
      <c r="C563" s="60" t="str">
        <f>IFERROR(IF(Significant_Overtime[[#This Row],[Overtime Hours]]&gt;100,"High Overtime","Normal"),"Not Found")</f>
        <v>Normal</v>
      </c>
    </row>
    <row r="564" spans="1:3" x14ac:dyDescent="0.35">
      <c r="A564" s="59" t="str">
        <f>_xlfn.TEXTJOIN(" ",TRUE,Employees_Data[[#This Row],[First Name]],Employees_Data[[#This Row],[Last Name]])</f>
        <v>Abd Allah Aldahan</v>
      </c>
      <c r="B564" s="21">
        <v>48</v>
      </c>
      <c r="C564" s="60" t="str">
        <f>IFERROR(IF(Significant_Overtime[[#This Row],[Overtime Hours]]&gt;100,"High Overtime","Normal"),"Not Found")</f>
        <v>Normal</v>
      </c>
    </row>
    <row r="565" spans="1:3" x14ac:dyDescent="0.35">
      <c r="A565" s="59" t="str">
        <f>_xlfn.TEXTJOIN(" ",TRUE,Employees_Data[[#This Row],[First Name]],Employees_Data[[#This Row],[Last Name]])</f>
        <v>Muhamad Ramzi</v>
      </c>
      <c r="B565" s="21">
        <v>78</v>
      </c>
      <c r="C565" s="60" t="str">
        <f>IFERROR(IF(Significant_Overtime[[#This Row],[Overtime Hours]]&gt;100,"High Overtime","Normal"),"Not Found")</f>
        <v>Normal</v>
      </c>
    </row>
    <row r="566" spans="1:3" x14ac:dyDescent="0.35">
      <c r="A566" s="59" t="str">
        <f>_xlfn.TEXTJOIN(" ",TRUE,Employees_Data[[#This Row],[First Name]],Employees_Data[[#This Row],[Last Name]])</f>
        <v>Jan Mikayiylian</v>
      </c>
      <c r="B566" s="21">
        <v>0</v>
      </c>
      <c r="C566" s="60" t="str">
        <f>IFERROR(IF(Significant_Overtime[[#This Row],[Overtime Hours]]&gt;100,"High Overtime","Normal"),"Not Found")</f>
        <v>Normal</v>
      </c>
    </row>
    <row r="567" spans="1:3" x14ac:dyDescent="0.35">
      <c r="A567" s="59" t="str">
        <f>_xlfn.TEXTJOIN(" ",TRUE,Employees_Data[[#This Row],[First Name]],Employees_Data[[#This Row],[Last Name]])</f>
        <v>Almuthanaa Alsaediu</v>
      </c>
      <c r="B567" s="21">
        <v>28</v>
      </c>
      <c r="C567" s="60" t="str">
        <f>IFERROR(IF(Significant_Overtime[[#This Row],[Overtime Hours]]&gt;100,"High Overtime","Normal"),"Not Found")</f>
        <v>Normal</v>
      </c>
    </row>
    <row r="568" spans="1:3" x14ac:dyDescent="0.35">
      <c r="A568" s="59" t="str">
        <f>_xlfn.TEXTJOIN(" ",TRUE,Employees_Data[[#This Row],[First Name]],Employees_Data[[#This Row],[Last Name]])</f>
        <v>Emad Dulul</v>
      </c>
      <c r="B568" s="21">
        <v>7</v>
      </c>
      <c r="C568" s="60" t="str">
        <f>IFERROR(IF(Significant_Overtime[[#This Row],[Overtime Hours]]&gt;100,"High Overtime","Normal"),"Not Found")</f>
        <v>Normal</v>
      </c>
    </row>
    <row r="569" spans="1:3" x14ac:dyDescent="0.35">
      <c r="A569" s="59" t="str">
        <f>_xlfn.TEXTJOIN(" ",TRUE,Employees_Data[[#This Row],[First Name]],Employees_Data[[#This Row],[Last Name]])</f>
        <v>Sarah Haydar</v>
      </c>
      <c r="B569" s="21">
        <v>10</v>
      </c>
      <c r="C569" s="60" t="str">
        <f>IFERROR(IF(Significant_Overtime[[#This Row],[Overtime Hours]]&gt;100,"High Overtime","Normal"),"Not Found")</f>
        <v>Normal</v>
      </c>
    </row>
    <row r="570" spans="1:3" x14ac:dyDescent="0.35">
      <c r="A570" s="59" t="str">
        <f>_xlfn.TEXTJOIN(" ",TRUE,Employees_Data[[#This Row],[First Name]],Employees_Data[[#This Row],[Last Name]])</f>
        <v>Abdalkarim Shueayb</v>
      </c>
      <c r="B570" s="21">
        <v>10</v>
      </c>
      <c r="C570" s="60" t="str">
        <f>IFERROR(IF(Significant_Overtime[[#This Row],[Overtime Hours]]&gt;100,"High Overtime","Normal"),"Not Found")</f>
        <v>Normal</v>
      </c>
    </row>
    <row r="571" spans="1:3" x14ac:dyDescent="0.35">
      <c r="A571" s="59" t="str">
        <f>_xlfn.TEXTJOIN(" ",TRUE,Employees_Data[[#This Row],[First Name]],Employees_Data[[#This Row],[Last Name]])</f>
        <v>Muhamad Khayr</v>
      </c>
      <c r="B571" s="21">
        <v>78</v>
      </c>
      <c r="C571" s="60" t="str">
        <f>IFERROR(IF(Significant_Overtime[[#This Row],[Overtime Hours]]&gt;100,"High Overtime","Normal"),"Not Found")</f>
        <v>Normal</v>
      </c>
    </row>
    <row r="572" spans="1:3" x14ac:dyDescent="0.35">
      <c r="A572" s="59" t="str">
        <f>_xlfn.TEXTJOIN(" ",TRUE,Employees_Data[[#This Row],[First Name]],Employees_Data[[#This Row],[Last Name]])</f>
        <v>Shadi Qitan</v>
      </c>
      <c r="B572" s="21">
        <v>5</v>
      </c>
      <c r="C572" s="60" t="str">
        <f>IFERROR(IF(Significant_Overtime[[#This Row],[Overtime Hours]]&gt;100,"High Overtime","Normal"),"Not Found")</f>
        <v>Normal</v>
      </c>
    </row>
    <row r="573" spans="1:3" x14ac:dyDescent="0.35">
      <c r="A573" s="59" t="str">
        <f>_xlfn.TEXTJOIN(" ",TRUE,Employees_Data[[#This Row],[First Name]],Employees_Data[[#This Row],[Last Name]])</f>
        <v>Muhamad Rajab</v>
      </c>
      <c r="B573" s="21">
        <v>9</v>
      </c>
      <c r="C573" s="60" t="str">
        <f>IFERROR(IF(Significant_Overtime[[#This Row],[Overtime Hours]]&gt;100,"High Overtime","Normal"),"Not Found")</f>
        <v>Normal</v>
      </c>
    </row>
    <row r="574" spans="1:3" x14ac:dyDescent="0.35">
      <c r="A574" s="59" t="str">
        <f>_xlfn.TEXTJOIN(" ",TRUE,Employees_Data[[#This Row],[First Name]],Employees_Data[[#This Row],[Last Name]])</f>
        <v>Khalid Alkhawam</v>
      </c>
      <c r="B574" s="21">
        <v>1</v>
      </c>
      <c r="C574" s="60" t="str">
        <f>IFERROR(IF(Significant_Overtime[[#This Row],[Overtime Hours]]&gt;100,"High Overtime","Normal"),"Not Found")</f>
        <v>Normal</v>
      </c>
    </row>
    <row r="575" spans="1:3" x14ac:dyDescent="0.35">
      <c r="A575" s="59" t="str">
        <f>_xlfn.TEXTJOIN(" ",TRUE,Employees_Data[[#This Row],[First Name]],Employees_Data[[#This Row],[Last Name]])</f>
        <v>Muhamad Asamh</v>
      </c>
      <c r="B575" s="21">
        <v>10</v>
      </c>
      <c r="C575" s="60" t="str">
        <f>IFERROR(IF(Significant_Overtime[[#This Row],[Overtime Hours]]&gt;100,"High Overtime","Normal"),"Not Found")</f>
        <v>Normal</v>
      </c>
    </row>
    <row r="576" spans="1:3" x14ac:dyDescent="0.35">
      <c r="A576" s="59" t="str">
        <f>_xlfn.TEXTJOIN(" ",TRUE,Employees_Data[[#This Row],[First Name]],Employees_Data[[#This Row],[Last Name]])</f>
        <v>Alaa Alyusif</v>
      </c>
      <c r="B576" s="21">
        <v>15</v>
      </c>
      <c r="C576" s="60" t="str">
        <f>IFERROR(IF(Significant_Overtime[[#This Row],[Overtime Hours]]&gt;100,"High Overtime","Normal"),"Not Found")</f>
        <v>Normal</v>
      </c>
    </row>
    <row r="577" spans="1:3" x14ac:dyDescent="0.35">
      <c r="A577" s="59" t="str">
        <f>_xlfn.TEXTJOIN(" ",TRUE,Employees_Data[[#This Row],[First Name]],Employees_Data[[#This Row],[Last Name]])</f>
        <v>Asym Aleaqqad</v>
      </c>
      <c r="B577" s="21">
        <v>6</v>
      </c>
      <c r="C577" s="60" t="str">
        <f>IFERROR(IF(Significant_Overtime[[#This Row],[Overtime Hours]]&gt;100,"High Overtime","Normal"),"Not Found")</f>
        <v>Normal</v>
      </c>
    </row>
    <row r="578" spans="1:3" x14ac:dyDescent="0.35">
      <c r="A578" s="59" t="str">
        <f>_xlfn.TEXTJOIN(" ",TRUE,Employees_Data[[#This Row],[First Name]],Employees_Data[[#This Row],[Last Name]])</f>
        <v>Ahmad Dahman</v>
      </c>
      <c r="B578" s="21">
        <v>2</v>
      </c>
      <c r="C578" s="60" t="str">
        <f>IFERROR(IF(Significant_Overtime[[#This Row],[Overtime Hours]]&gt;100,"High Overtime","Normal"),"Not Found")</f>
        <v>Normal</v>
      </c>
    </row>
    <row r="579" spans="1:3" x14ac:dyDescent="0.35">
      <c r="A579" s="59" t="str">
        <f>_xlfn.TEXTJOIN(" ",TRUE,Employees_Data[[#This Row],[First Name]],Employees_Data[[#This Row],[Last Name]])</f>
        <v>Oqba Alqintar</v>
      </c>
      <c r="B579" s="21">
        <v>8</v>
      </c>
      <c r="C579" s="60" t="str">
        <f>IFERROR(IF(Significant_Overtime[[#This Row],[Overtime Hours]]&gt;100,"High Overtime","Normal"),"Not Found")</f>
        <v>Normal</v>
      </c>
    </row>
    <row r="580" spans="1:3" x14ac:dyDescent="0.35">
      <c r="A580" s="59" t="str">
        <f>_xlfn.TEXTJOIN(" ",TRUE,Employees_Data[[#This Row],[First Name]],Employees_Data[[#This Row],[Last Name]])</f>
        <v>Rahaf Laylanaan</v>
      </c>
      <c r="B580" s="21">
        <v>15</v>
      </c>
      <c r="C580" s="60" t="str">
        <f>IFERROR(IF(Significant_Overtime[[#This Row],[Overtime Hours]]&gt;100,"High Overtime","Normal"),"Not Found")</f>
        <v>Normal</v>
      </c>
    </row>
    <row r="581" spans="1:3" x14ac:dyDescent="0.35">
      <c r="A581" s="59" t="str">
        <f>_xlfn.TEXTJOIN(" ",TRUE,Employees_Data[[#This Row],[First Name]],Employees_Data[[#This Row],[Last Name]])</f>
        <v>Muhamad Rajab</v>
      </c>
      <c r="B581" s="21">
        <v>10</v>
      </c>
      <c r="C581" s="60" t="str">
        <f>IFERROR(IF(Significant_Overtime[[#This Row],[Overtime Hours]]&gt;100,"High Overtime","Normal"),"Not Found")</f>
        <v>Normal</v>
      </c>
    </row>
    <row r="582" spans="1:3" x14ac:dyDescent="0.35">
      <c r="A582" s="59" t="str">
        <f>_xlfn.TEXTJOIN(" ",TRUE,Employees_Data[[#This Row],[First Name]],Employees_Data[[#This Row],[Last Name]])</f>
        <v>Ramadan Muhii Aldiyn</v>
      </c>
      <c r="B582" s="21">
        <v>2</v>
      </c>
      <c r="C582" s="60" t="str">
        <f>IFERROR(IF(Significant_Overtime[[#This Row],[Overtime Hours]]&gt;100,"High Overtime","Normal"),"Not Found")</f>
        <v>Normal</v>
      </c>
    </row>
    <row r="583" spans="1:3" x14ac:dyDescent="0.35">
      <c r="A583" s="59" t="str">
        <f>_xlfn.TEXTJOIN(" ",TRUE,Employees_Data[[#This Row],[First Name]],Employees_Data[[#This Row],[Last Name]])</f>
        <v>Zaynab Eirat</v>
      </c>
      <c r="B583" s="21">
        <v>7</v>
      </c>
      <c r="C583" s="60" t="str">
        <f>IFERROR(IF(Significant_Overtime[[#This Row],[Overtime Hours]]&gt;100,"High Overtime","Normal"),"Not Found")</f>
        <v>Normal</v>
      </c>
    </row>
    <row r="584" spans="1:3" x14ac:dyDescent="0.35">
      <c r="A584" s="59" t="str">
        <f>_xlfn.TEXTJOIN(" ",TRUE,Employees_Data[[#This Row],[First Name]],Employees_Data[[#This Row],[Last Name]])</f>
        <v>Salah Aldiyn Altibae</v>
      </c>
      <c r="B584" s="21">
        <v>8</v>
      </c>
      <c r="C584" s="60" t="str">
        <f>IFERROR(IF(Significant_Overtime[[#This Row],[Overtime Hours]]&gt;100,"High Overtime","Normal"),"Not Found")</f>
        <v>Normal</v>
      </c>
    </row>
    <row r="585" spans="1:3" x14ac:dyDescent="0.35">
      <c r="A585" s="59" t="str">
        <f>_xlfn.TEXTJOIN(" ",TRUE,Employees_Data[[#This Row],[First Name]],Employees_Data[[#This Row],[Last Name]])</f>
        <v>Faras Alghandur</v>
      </c>
      <c r="B585" s="21">
        <v>6</v>
      </c>
      <c r="C585" s="60" t="str">
        <f>IFERROR(IF(Significant_Overtime[[#This Row],[Overtime Hours]]&gt;100,"High Overtime","Normal"),"Not Found")</f>
        <v>Normal</v>
      </c>
    </row>
    <row r="586" spans="1:3" x14ac:dyDescent="0.35">
      <c r="A586" s="59" t="str">
        <f>_xlfn.TEXTJOIN(" ",TRUE,Employees_Data[[#This Row],[First Name]],Employees_Data[[#This Row],[Last Name]])</f>
        <v>Husam Tamim</v>
      </c>
      <c r="B586" s="21">
        <v>4</v>
      </c>
      <c r="C586" s="60" t="str">
        <f>IFERROR(IF(Significant_Overtime[[#This Row],[Overtime Hours]]&gt;100,"High Overtime","Normal"),"Not Found")</f>
        <v>Normal</v>
      </c>
    </row>
    <row r="587" spans="1:3" x14ac:dyDescent="0.35">
      <c r="A587" s="59" t="str">
        <f>_xlfn.TEXTJOIN(" ",TRUE,Employees_Data[[#This Row],[First Name]],Employees_Data[[#This Row],[Last Name]])</f>
        <v>Ayat Byd</v>
      </c>
      <c r="B587" s="21">
        <v>2</v>
      </c>
      <c r="C587" s="60" t="str">
        <f>IFERROR(IF(Significant_Overtime[[#This Row],[Overtime Hours]]&gt;100,"High Overtime","Normal"),"Not Found")</f>
        <v>Normal</v>
      </c>
    </row>
    <row r="588" spans="1:3" x14ac:dyDescent="0.35">
      <c r="A588" s="59" t="str">
        <f>_xlfn.TEXTJOIN(" ",TRUE,Employees_Data[[#This Row],[First Name]],Employees_Data[[#This Row],[Last Name]])</f>
        <v>Rima Daly</v>
      </c>
      <c r="B588" s="21">
        <v>8</v>
      </c>
      <c r="C588" s="60" t="str">
        <f>IFERROR(IF(Significant_Overtime[[#This Row],[Overtime Hours]]&gt;100,"High Overtime","Normal"),"Not Found")</f>
        <v>Normal</v>
      </c>
    </row>
    <row r="589" spans="1:3" x14ac:dyDescent="0.35">
      <c r="A589" s="59" t="str">
        <f>_xlfn.TEXTJOIN(" ",TRUE,Employees_Data[[#This Row],[First Name]],Employees_Data[[#This Row],[Last Name]])</f>
        <v>Muhamad Almunajid</v>
      </c>
      <c r="B589" s="21">
        <v>1</v>
      </c>
      <c r="C589" s="60" t="str">
        <f>IFERROR(IF(Significant_Overtime[[#This Row],[Overtime Hours]]&gt;100,"High Overtime","Normal"),"Not Found")</f>
        <v>Normal</v>
      </c>
    </row>
    <row r="590" spans="1:3" x14ac:dyDescent="0.35">
      <c r="A590" s="59" t="str">
        <f>_xlfn.TEXTJOIN(" ",TRUE,Employees_Data[[#This Row],[First Name]],Employees_Data[[#This Row],[Last Name]])</f>
        <v>Eynas Muhamad</v>
      </c>
      <c r="B590" s="21">
        <v>6</v>
      </c>
      <c r="C590" s="60" t="str">
        <f>IFERROR(IF(Significant_Overtime[[#This Row],[Overtime Hours]]&gt;100,"High Overtime","Normal"),"Not Found")</f>
        <v>Normal</v>
      </c>
    </row>
    <row r="591" spans="1:3" x14ac:dyDescent="0.35">
      <c r="A591" s="59" t="str">
        <f>_xlfn.TEXTJOIN(" ",TRUE,Employees_Data[[#This Row],[First Name]],Employees_Data[[#This Row],[Last Name]])</f>
        <v>Ahmad Ahmid</v>
      </c>
      <c r="B591" s="21">
        <v>3</v>
      </c>
      <c r="C591" s="60" t="str">
        <f>IFERROR(IF(Significant_Overtime[[#This Row],[Overtime Hours]]&gt;100,"High Overtime","Normal"),"Not Found")</f>
        <v>Normal</v>
      </c>
    </row>
    <row r="592" spans="1:3" x14ac:dyDescent="0.35">
      <c r="A592" s="59" t="str">
        <f>_xlfn.TEXTJOIN(" ",TRUE,Employees_Data[[#This Row],[First Name]],Employees_Data[[#This Row],[Last Name]])</f>
        <v>Madlin Aljabaei</v>
      </c>
      <c r="B592" s="21">
        <v>6</v>
      </c>
      <c r="C592" s="60" t="str">
        <f>IFERROR(IF(Significant_Overtime[[#This Row],[Overtime Hours]]&gt;100,"High Overtime","Normal"),"Not Found")</f>
        <v>Normal</v>
      </c>
    </row>
    <row r="593" spans="1:3" x14ac:dyDescent="0.35">
      <c r="A593" s="59" t="str">
        <f>_xlfn.TEXTJOIN(" ",TRUE,Employees_Data[[#This Row],[First Name]],Employees_Data[[#This Row],[Last Name]])</f>
        <v>Ali Alqadri</v>
      </c>
      <c r="B593" s="21">
        <v>4</v>
      </c>
      <c r="C593" s="60" t="str">
        <f>IFERROR(IF(Significant_Overtime[[#This Row],[Overtime Hours]]&gt;100,"High Overtime","Normal"),"Not Found")</f>
        <v>Normal</v>
      </c>
    </row>
    <row r="594" spans="1:3" x14ac:dyDescent="0.35">
      <c r="A594" s="59" t="str">
        <f>_xlfn.TEXTJOIN(" ",TRUE,Employees_Data[[#This Row],[First Name]],Employees_Data[[#This Row],[Last Name]])</f>
        <v>Muhamad Dib</v>
      </c>
      <c r="B594" s="21">
        <v>6</v>
      </c>
      <c r="C594" s="60" t="str">
        <f>IFERROR(IF(Significant_Overtime[[#This Row],[Overtime Hours]]&gt;100,"High Overtime","Normal"),"Not Found")</f>
        <v>Normal</v>
      </c>
    </row>
    <row r="595" spans="1:3" x14ac:dyDescent="0.35">
      <c r="A595" s="59" t="str">
        <f>_xlfn.TEXTJOIN(" ",TRUE,Employees_Data[[#This Row],[First Name]],Employees_Data[[#This Row],[Last Name]])</f>
        <v>Hanan Bradiei</v>
      </c>
      <c r="B595" s="21">
        <v>8</v>
      </c>
      <c r="C595" s="60" t="str">
        <f>IFERROR(IF(Significant_Overtime[[#This Row],[Overtime Hours]]&gt;100,"High Overtime","Normal"),"Not Found")</f>
        <v>Normal</v>
      </c>
    </row>
    <row r="596" spans="1:3" x14ac:dyDescent="0.35">
      <c r="A596" s="59" t="str">
        <f>_xlfn.TEXTJOIN(" ",TRUE,Employees_Data[[#This Row],[First Name]],Employees_Data[[#This Row],[Last Name]])</f>
        <v>Danah Suirkili</v>
      </c>
      <c r="B596" s="21">
        <v>5</v>
      </c>
      <c r="C596" s="60" t="str">
        <f>IFERROR(IF(Significant_Overtime[[#This Row],[Overtime Hours]]&gt;100,"High Overtime","Normal"),"Not Found")</f>
        <v>Normal</v>
      </c>
    </row>
    <row r="597" spans="1:3" x14ac:dyDescent="0.35">
      <c r="A597" s="59" t="str">
        <f>_xlfn.TEXTJOIN(" ",TRUE,Employees_Data[[#This Row],[First Name]],Employees_Data[[#This Row],[Last Name]])</f>
        <v>Ghada Darakal</v>
      </c>
      <c r="B597" s="21">
        <v>2</v>
      </c>
      <c r="C597" s="60" t="str">
        <f>IFERROR(IF(Significant_Overtime[[#This Row],[Overtime Hours]]&gt;100,"High Overtime","Normal"),"Not Found")</f>
        <v>Normal</v>
      </c>
    </row>
    <row r="598" spans="1:3" x14ac:dyDescent="0.35">
      <c r="A598" s="59" t="str">
        <f>_xlfn.TEXTJOIN(" ",TRUE,Employees_Data[[#This Row],[First Name]],Employees_Data[[#This Row],[Last Name]])</f>
        <v>Mazin Bihtiti</v>
      </c>
      <c r="B598" s="21">
        <v>7</v>
      </c>
      <c r="C598" s="60" t="str">
        <f>IFERROR(IF(Significant_Overtime[[#This Row],[Overtime Hours]]&gt;100,"High Overtime","Normal"),"Not Found")</f>
        <v>Normal</v>
      </c>
    </row>
    <row r="599" spans="1:3" x14ac:dyDescent="0.35">
      <c r="A599" s="59" t="str">
        <f>_xlfn.TEXTJOIN(" ",TRUE,Employees_Data[[#This Row],[First Name]],Employees_Data[[#This Row],[Last Name]])</f>
        <v>Ridwan Alshulyan</v>
      </c>
      <c r="B599" s="21">
        <v>8</v>
      </c>
      <c r="C599" s="60" t="str">
        <f>IFERROR(IF(Significant_Overtime[[#This Row],[Overtime Hours]]&gt;100,"High Overtime","Normal"),"Not Found")</f>
        <v>Normal</v>
      </c>
    </row>
    <row r="600" spans="1:3" x14ac:dyDescent="0.35">
      <c r="A600" s="59" t="str">
        <f>_xlfn.TEXTJOIN(" ",TRUE,Employees_Data[[#This Row],[First Name]],Employees_Data[[#This Row],[Last Name]])</f>
        <v>Ali Barghaly</v>
      </c>
      <c r="B600" s="21">
        <v>6</v>
      </c>
      <c r="C600" s="60" t="str">
        <f>IFERROR(IF(Significant_Overtime[[#This Row],[Overtime Hours]]&gt;100,"High Overtime","Normal"),"Not Found")</f>
        <v>Normal</v>
      </c>
    </row>
    <row r="601" spans="1:3" x14ac:dyDescent="0.35">
      <c r="A601" s="59" t="str">
        <f>_xlfn.TEXTJOIN(" ",TRUE,Employees_Data[[#This Row],[First Name]],Employees_Data[[#This Row],[Last Name]])</f>
        <v>Iad Badran</v>
      </c>
      <c r="B601" s="21">
        <v>8</v>
      </c>
      <c r="C601" s="60" t="str">
        <f>IFERROR(IF(Significant_Overtime[[#This Row],[Overtime Hours]]&gt;100,"High Overtime","Normal"),"Not Found")</f>
        <v>Normal</v>
      </c>
    </row>
    <row r="602" spans="1:3" x14ac:dyDescent="0.35">
      <c r="A602" s="59" t="str">
        <f>_xlfn.TEXTJOIN(" ",TRUE,Employees_Data[[#This Row],[First Name]],Employees_Data[[#This Row],[Last Name]])</f>
        <v>Abdalrhmin Shwk</v>
      </c>
      <c r="B602" s="21">
        <v>0</v>
      </c>
      <c r="C602" s="60" t="str">
        <f>IFERROR(IF(Significant_Overtime[[#This Row],[Overtime Hours]]&gt;100,"High Overtime","Normal"),"Not Found")</f>
        <v>Normal</v>
      </c>
    </row>
    <row r="603" spans="1:3" x14ac:dyDescent="0.35">
      <c r="A603" s="59" t="str">
        <f>_xlfn.TEXTJOIN(" ",TRUE,Employees_Data[[#This Row],[First Name]],Employees_Data[[#This Row],[Last Name]])</f>
        <v>Husam Aldiyn</v>
      </c>
      <c r="B603" s="21">
        <v>3</v>
      </c>
      <c r="C603" s="60" t="str">
        <f>IFERROR(IF(Significant_Overtime[[#This Row],[Overtime Hours]]&gt;100,"High Overtime","Normal"),"Not Found")</f>
        <v>Normal</v>
      </c>
    </row>
    <row r="604" spans="1:3" x14ac:dyDescent="0.35">
      <c r="A604" s="59" t="str">
        <f>_xlfn.TEXTJOIN(" ",TRUE,Employees_Data[[#This Row],[First Name]],Employees_Data[[#This Row],[Last Name]])</f>
        <v>Ahmad Hamuwdatan</v>
      </c>
      <c r="B604" s="21">
        <v>2</v>
      </c>
      <c r="C604" s="60" t="str">
        <f>IFERROR(IF(Significant_Overtime[[#This Row],[Overtime Hours]]&gt;100,"High Overtime","Normal"),"Not Found")</f>
        <v>Normal</v>
      </c>
    </row>
    <row r="605" spans="1:3" x14ac:dyDescent="0.35">
      <c r="A605" s="59" t="str">
        <f>_xlfn.TEXTJOIN(" ",TRUE,Employees_Data[[#This Row],[First Name]],Employees_Data[[#This Row],[Last Name]])</f>
        <v>Ahmad Laylana</v>
      </c>
      <c r="B605" s="21">
        <v>6</v>
      </c>
      <c r="C605" s="60" t="str">
        <f>IFERROR(IF(Significant_Overtime[[#This Row],[Overtime Hours]]&gt;100,"High Overtime","Normal"),"Not Found")</f>
        <v>Normal</v>
      </c>
    </row>
    <row r="606" spans="1:3" x14ac:dyDescent="0.35">
      <c r="A606" s="59" t="str">
        <f>_xlfn.TEXTJOIN(" ",TRUE,Employees_Data[[#This Row],[First Name]],Employees_Data[[#This Row],[Last Name]])</f>
        <v>Shuruq Aljuju</v>
      </c>
      <c r="B606" s="21">
        <v>3</v>
      </c>
      <c r="C606" s="60" t="str">
        <f>IFERROR(IF(Significant_Overtime[[#This Row],[Overtime Hours]]&gt;100,"High Overtime","Normal"),"Not Found")</f>
        <v>Normal</v>
      </c>
    </row>
    <row r="607" spans="1:3" x14ac:dyDescent="0.35">
      <c r="A607" s="59" t="str">
        <f>_xlfn.TEXTJOIN(" ",TRUE,Employees_Data[[#This Row],[First Name]],Employees_Data[[#This Row],[Last Name]])</f>
        <v>Muhamad Alshahrur</v>
      </c>
      <c r="B607" s="21">
        <v>1</v>
      </c>
      <c r="C607" s="60" t="str">
        <f>IFERROR(IF(Significant_Overtime[[#This Row],[Overtime Hours]]&gt;100,"High Overtime","Normal"),"Not Found")</f>
        <v>Normal</v>
      </c>
    </row>
    <row r="608" spans="1:3" x14ac:dyDescent="0.35">
      <c r="A608" s="59" t="str">
        <f>_xlfn.TEXTJOIN(" ",TRUE,Employees_Data[[#This Row],[First Name]],Employees_Data[[#This Row],[Last Name]])</f>
        <v>Rafif Khalf</v>
      </c>
      <c r="B608" s="21">
        <v>8</v>
      </c>
      <c r="C608" s="60" t="str">
        <f>IFERROR(IF(Significant_Overtime[[#This Row],[Overtime Hours]]&gt;100,"High Overtime","Normal"),"Not Found")</f>
        <v>Normal</v>
      </c>
    </row>
    <row r="609" spans="1:3" x14ac:dyDescent="0.35">
      <c r="A609" s="59" t="str">
        <f>_xlfn.TEXTJOIN(" ",TRUE,Employees_Data[[#This Row],[First Name]],Employees_Data[[#This Row],[Last Name]])</f>
        <v>Muhamad Alkhatib</v>
      </c>
      <c r="B609" s="21">
        <v>6</v>
      </c>
      <c r="C609" s="60" t="str">
        <f>IFERROR(IF(Significant_Overtime[[#This Row],[Overtime Hours]]&gt;100,"High Overtime","Normal"),"Not Found")</f>
        <v>Normal</v>
      </c>
    </row>
    <row r="610" spans="1:3" x14ac:dyDescent="0.35">
      <c r="A610" s="59" t="str">
        <f>_xlfn.TEXTJOIN(" ",TRUE,Employees_Data[[#This Row],[First Name]],Employees_Data[[#This Row],[Last Name]])</f>
        <v>Muhamad Albarnawi</v>
      </c>
      <c r="B610" s="21">
        <v>10</v>
      </c>
      <c r="C610" s="60" t="str">
        <f>IFERROR(IF(Significant_Overtime[[#This Row],[Overtime Hours]]&gt;100,"High Overtime","Normal"),"Not Found")</f>
        <v>Normal</v>
      </c>
    </row>
    <row r="611" spans="1:3" x14ac:dyDescent="0.35">
      <c r="A611" s="59" t="str">
        <f>_xlfn.TEXTJOIN(" ",TRUE,Employees_Data[[#This Row],[First Name]],Employees_Data[[#This Row],[Last Name]])</f>
        <v>Ali Almiqdad</v>
      </c>
      <c r="B611" s="21">
        <v>7</v>
      </c>
      <c r="C611" s="60" t="str">
        <f>IFERROR(IF(Significant_Overtime[[#This Row],[Overtime Hours]]&gt;100,"High Overtime","Normal"),"Not Found")</f>
        <v>Normal</v>
      </c>
    </row>
    <row r="612" spans="1:3" x14ac:dyDescent="0.35">
      <c r="A612" s="59" t="str">
        <f>_xlfn.TEXTJOIN(" ",TRUE,Employees_Data[[#This Row],[First Name]],Employees_Data[[#This Row],[Last Name]])</f>
        <v>Ranya Faris</v>
      </c>
      <c r="B612" s="21">
        <v>6</v>
      </c>
      <c r="C612" s="60" t="str">
        <f>IFERROR(IF(Significant_Overtime[[#This Row],[Overtime Hours]]&gt;100,"High Overtime","Normal"),"Not Found")</f>
        <v>Normal</v>
      </c>
    </row>
    <row r="613" spans="1:3" x14ac:dyDescent="0.35">
      <c r="A613" s="59" t="str">
        <f>_xlfn.TEXTJOIN(" ",TRUE,Employees_Data[[#This Row],[First Name]],Employees_Data[[#This Row],[Last Name]])</f>
        <v>Ali Alshaykh</v>
      </c>
      <c r="B613" s="21">
        <v>7</v>
      </c>
      <c r="C613" s="60" t="str">
        <f>IFERROR(IF(Significant_Overtime[[#This Row],[Overtime Hours]]&gt;100,"High Overtime","Normal"),"Not Found")</f>
        <v>Normal</v>
      </c>
    </row>
    <row r="614" spans="1:3" x14ac:dyDescent="0.35">
      <c r="A614" s="59" t="str">
        <f>_xlfn.TEXTJOIN(" ",TRUE,Employees_Data[[#This Row],[First Name]],Employees_Data[[#This Row],[Last Name]])</f>
        <v>Iin Kafa</v>
      </c>
      <c r="B614" s="21">
        <v>4</v>
      </c>
      <c r="C614" s="60" t="str">
        <f>IFERROR(IF(Significant_Overtime[[#This Row],[Overtime Hours]]&gt;100,"High Overtime","Normal"),"Not Found")</f>
        <v>Normal</v>
      </c>
    </row>
    <row r="615" spans="1:3" x14ac:dyDescent="0.35">
      <c r="A615" s="59" t="str">
        <f>_xlfn.TEXTJOIN(" ",TRUE,Employees_Data[[#This Row],[First Name]],Employees_Data[[#This Row],[Last Name]])</f>
        <v>Muhamad Almaghribi</v>
      </c>
      <c r="B615" s="21">
        <v>6</v>
      </c>
      <c r="C615" s="60" t="str">
        <f>IFERROR(IF(Significant_Overtime[[#This Row],[Overtime Hours]]&gt;100,"High Overtime","Normal"),"Not Found")</f>
        <v>Normal</v>
      </c>
    </row>
    <row r="616" spans="1:3" x14ac:dyDescent="0.35">
      <c r="A616" s="59" t="str">
        <f>_xlfn.TEXTJOIN(" ",TRUE,Employees_Data[[#This Row],[First Name]],Employees_Data[[#This Row],[Last Name]])</f>
        <v>Sami Aldrwysh</v>
      </c>
      <c r="B616" s="21">
        <v>4</v>
      </c>
      <c r="C616" s="60" t="str">
        <f>IFERROR(IF(Significant_Overtime[[#This Row],[Overtime Hours]]&gt;100,"High Overtime","Normal"),"Not Found")</f>
        <v>Normal</v>
      </c>
    </row>
    <row r="617" spans="1:3" x14ac:dyDescent="0.35">
      <c r="A617" s="59" t="str">
        <f>_xlfn.TEXTJOIN(" ",TRUE,Employees_Data[[#This Row],[First Name]],Employees_Data[[#This Row],[Last Name]])</f>
        <v>Samah Alkhatib</v>
      </c>
      <c r="B617" s="21">
        <v>8</v>
      </c>
      <c r="C617" s="60" t="str">
        <f>IFERROR(IF(Significant_Overtime[[#This Row],[Overtime Hours]]&gt;100,"High Overtime","Normal"),"Not Found")</f>
        <v>Normal</v>
      </c>
    </row>
    <row r="618" spans="1:3" x14ac:dyDescent="0.35">
      <c r="A618" s="59" t="str">
        <f>_xlfn.TEXTJOIN(" ",TRUE,Employees_Data[[#This Row],[First Name]],Employees_Data[[#This Row],[Last Name]])</f>
        <v>Eala Hatim</v>
      </c>
      <c r="B618" s="21">
        <v>1</v>
      </c>
      <c r="C618" s="60" t="str">
        <f>IFERROR(IF(Significant_Overtime[[#This Row],[Overtime Hours]]&gt;100,"High Overtime","Normal"),"Not Found")</f>
        <v>Normal</v>
      </c>
    </row>
    <row r="619" spans="1:3" x14ac:dyDescent="0.35">
      <c r="A619" s="59" t="str">
        <f>_xlfn.TEXTJOIN(" ",TRUE,Employees_Data[[#This Row],[First Name]],Employees_Data[[#This Row],[Last Name]])</f>
        <v>Dalia Nahlawi</v>
      </c>
      <c r="B619" s="21">
        <v>3</v>
      </c>
      <c r="C619" s="60" t="str">
        <f>IFERROR(IF(Significant_Overtime[[#This Row],[Overtime Hours]]&gt;100,"High Overtime","Normal"),"Not Found")</f>
        <v>Normal</v>
      </c>
    </row>
    <row r="620" spans="1:3" x14ac:dyDescent="0.35">
      <c r="A620" s="59" t="str">
        <f>_xlfn.TEXTJOIN(" ",TRUE,Employees_Data[[#This Row],[First Name]],Employees_Data[[#This Row],[Last Name]])</f>
        <v>Rabye' Alzrqawy</v>
      </c>
      <c r="B620" s="21">
        <v>0</v>
      </c>
      <c r="C620" s="60" t="str">
        <f>IFERROR(IF(Significant_Overtime[[#This Row],[Overtime Hours]]&gt;100,"High Overtime","Normal"),"Not Found")</f>
        <v>Normal</v>
      </c>
    </row>
    <row r="621" spans="1:3" x14ac:dyDescent="0.35">
      <c r="A621" s="59" t="str">
        <f>_xlfn.TEXTJOIN(" ",TRUE,Employees_Data[[#This Row],[First Name]],Employees_Data[[#This Row],[Last Name]])</f>
        <v>Kholoud Huquq</v>
      </c>
      <c r="B621" s="21">
        <v>7</v>
      </c>
      <c r="C621" s="60" t="str">
        <f>IFERROR(IF(Significant_Overtime[[#This Row],[Overtime Hours]]&gt;100,"High Overtime","Normal"),"Not Found")</f>
        <v>Normal</v>
      </c>
    </row>
    <row r="622" spans="1:3" x14ac:dyDescent="0.35">
      <c r="A622" s="59" t="str">
        <f>_xlfn.TEXTJOIN(" ",TRUE,Employees_Data[[#This Row],[First Name]],Employees_Data[[#This Row],[Last Name]])</f>
        <v>Ibrahim Alqatish</v>
      </c>
      <c r="B622" s="21">
        <v>1</v>
      </c>
      <c r="C622" s="60" t="str">
        <f>IFERROR(IF(Significant_Overtime[[#This Row],[Overtime Hours]]&gt;100,"High Overtime","Normal"),"Not Found")</f>
        <v>Normal</v>
      </c>
    </row>
    <row r="623" spans="1:3" x14ac:dyDescent="0.35">
      <c r="A623" s="59" t="str">
        <f>_xlfn.TEXTJOIN(" ",TRUE,Employees_Data[[#This Row],[First Name]],Employees_Data[[#This Row],[Last Name]])</f>
        <v>Salih Altawil</v>
      </c>
      <c r="B623" s="21">
        <v>10</v>
      </c>
      <c r="C623" s="60" t="str">
        <f>IFERROR(IF(Significant_Overtime[[#This Row],[Overtime Hours]]&gt;100,"High Overtime","Normal"),"Not Found")</f>
        <v>Normal</v>
      </c>
    </row>
    <row r="624" spans="1:3" x14ac:dyDescent="0.35">
      <c r="A624" s="59" t="str">
        <f>_xlfn.TEXTJOIN(" ",TRUE,Employees_Data[[#This Row],[First Name]],Employees_Data[[#This Row],[Last Name]])</f>
        <v>Sami Alsyd Ahmad</v>
      </c>
      <c r="B624" s="21">
        <v>50</v>
      </c>
      <c r="C624" s="60" t="str">
        <f>IFERROR(IF(Significant_Overtime[[#This Row],[Overtime Hours]]&gt;100,"High Overtime","Normal"),"Not Found")</f>
        <v>Normal</v>
      </c>
    </row>
    <row r="625" spans="1:3" x14ac:dyDescent="0.35">
      <c r="A625" s="59" t="str">
        <f>_xlfn.TEXTJOIN(" ",TRUE,Employees_Data[[#This Row],[First Name]],Employees_Data[[#This Row],[Last Name]])</f>
        <v>Zahir Aleitar</v>
      </c>
      <c r="B625" s="21">
        <v>1</v>
      </c>
      <c r="C625" s="60" t="str">
        <f>IFERROR(IF(Significant_Overtime[[#This Row],[Overtime Hours]]&gt;100,"High Overtime","Normal"),"Not Found")</f>
        <v>Normal</v>
      </c>
    </row>
    <row r="626" spans="1:3" x14ac:dyDescent="0.35">
      <c r="A626" s="59" t="str">
        <f>_xlfn.TEXTJOIN(" ",TRUE,Employees_Data[[#This Row],[First Name]],Employees_Data[[#This Row],[Last Name]])</f>
        <v>Fatir Alealiu</v>
      </c>
      <c r="B626" s="21">
        <v>4</v>
      </c>
      <c r="C626" s="60" t="str">
        <f>IFERROR(IF(Significant_Overtime[[#This Row],[Overtime Hours]]&gt;100,"High Overtime","Normal"),"Not Found")</f>
        <v>Normal</v>
      </c>
    </row>
    <row r="627" spans="1:3" x14ac:dyDescent="0.35">
      <c r="A627" s="59" t="str">
        <f>_xlfn.TEXTJOIN(" ",TRUE,Employees_Data[[#This Row],[First Name]],Employees_Data[[#This Row],[Last Name]])</f>
        <v>Samir Alealiu</v>
      </c>
      <c r="B627" s="21">
        <v>14</v>
      </c>
      <c r="C627" s="60" t="str">
        <f>IFERROR(IF(Significant_Overtime[[#This Row],[Overtime Hours]]&gt;100,"High Overtime","Normal"),"Not Found")</f>
        <v>Normal</v>
      </c>
    </row>
    <row r="628" spans="1:3" x14ac:dyDescent="0.35">
      <c r="A628" s="59" t="str">
        <f>_xlfn.TEXTJOIN(" ",TRUE,Employees_Data[[#This Row],[First Name]],Employees_Data[[#This Row],[Last Name]])</f>
        <v>Muhamad Sulayman</v>
      </c>
      <c r="B628" s="21">
        <v>5</v>
      </c>
      <c r="C628" s="60" t="str">
        <f>IFERROR(IF(Significant_Overtime[[#This Row],[Overtime Hours]]&gt;100,"High Overtime","Normal"),"Not Found")</f>
        <v>Normal</v>
      </c>
    </row>
    <row r="629" spans="1:3" x14ac:dyDescent="0.35">
      <c r="A629" s="59" t="str">
        <f>_xlfn.TEXTJOIN(" ",TRUE,Employees_Data[[#This Row],[First Name]],Employees_Data[[#This Row],[Last Name]])</f>
        <v>Muhamad Suqabani</v>
      </c>
      <c r="B629" s="21">
        <v>2</v>
      </c>
      <c r="C629" s="60" t="str">
        <f>IFERROR(IF(Significant_Overtime[[#This Row],[Overtime Hours]]&gt;100,"High Overtime","Normal"),"Not Found")</f>
        <v>Normal</v>
      </c>
    </row>
    <row r="630" spans="1:3" x14ac:dyDescent="0.35">
      <c r="A630" s="59" t="str">
        <f>_xlfn.TEXTJOIN(" ",TRUE,Employees_Data[[#This Row],[First Name]],Employees_Data[[#This Row],[Last Name]])</f>
        <v>Muhamad Aldubbas</v>
      </c>
      <c r="B630" s="21">
        <v>7</v>
      </c>
      <c r="C630" s="60" t="str">
        <f>IFERROR(IF(Significant_Overtime[[#This Row],[Overtime Hours]]&gt;100,"High Overtime","Normal"),"Not Found")</f>
        <v>Normal</v>
      </c>
    </row>
    <row r="631" spans="1:3" x14ac:dyDescent="0.35">
      <c r="A631" s="59" t="str">
        <f>_xlfn.TEXTJOIN(" ",TRUE,Employees_Data[[#This Row],[First Name]],Employees_Data[[#This Row],[Last Name]])</f>
        <v>Hamzaa Astitih</v>
      </c>
      <c r="B631" s="21">
        <v>7</v>
      </c>
      <c r="C631" s="60" t="str">
        <f>IFERROR(IF(Significant_Overtime[[#This Row],[Overtime Hours]]&gt;100,"High Overtime","Normal"),"Not Found")</f>
        <v>Normal</v>
      </c>
    </row>
    <row r="632" spans="1:3" x14ac:dyDescent="0.35">
      <c r="A632" s="59" t="str">
        <f>_xlfn.TEXTJOIN(" ",TRUE,Employees_Data[[#This Row],[First Name]],Employees_Data[[#This Row],[Last Name]])</f>
        <v>Sulayman Zinu</v>
      </c>
      <c r="B632" s="21">
        <v>5</v>
      </c>
      <c r="C632" s="60" t="str">
        <f>IFERROR(IF(Significant_Overtime[[#This Row],[Overtime Hours]]&gt;100,"High Overtime","Normal"),"Not Found")</f>
        <v>Normal</v>
      </c>
    </row>
    <row r="633" spans="1:3" x14ac:dyDescent="0.35">
      <c r="A633" s="59" t="str">
        <f>_xlfn.TEXTJOIN(" ",TRUE,Employees_Data[[#This Row],[First Name]],Employees_Data[[#This Row],[Last Name]])</f>
        <v>Alaa Alrifaei</v>
      </c>
      <c r="B633" s="21">
        <v>2</v>
      </c>
      <c r="C633" s="60" t="str">
        <f>IFERROR(IF(Significant_Overtime[[#This Row],[Overtime Hours]]&gt;100,"High Overtime","Normal"),"Not Found")</f>
        <v>Normal</v>
      </c>
    </row>
    <row r="634" spans="1:3" x14ac:dyDescent="0.35">
      <c r="A634" s="59" t="str">
        <f>_xlfn.TEXTJOIN(" ",TRUE,Employees_Data[[#This Row],[First Name]],Employees_Data[[#This Row],[Last Name]])</f>
        <v>Rasha Alrifaei</v>
      </c>
      <c r="B634" s="21">
        <v>9</v>
      </c>
      <c r="C634" s="60" t="str">
        <f>IFERROR(IF(Significant_Overtime[[#This Row],[Overtime Hours]]&gt;100,"High Overtime","Normal"),"Not Found")</f>
        <v>Normal</v>
      </c>
    </row>
    <row r="635" spans="1:3" x14ac:dyDescent="0.35">
      <c r="A635" s="59" t="str">
        <f>_xlfn.TEXTJOIN(" ",TRUE,Employees_Data[[#This Row],[First Name]],Employees_Data[[#This Row],[Last Name]])</f>
        <v>Bayan Darbika</v>
      </c>
      <c r="B635" s="21">
        <v>5</v>
      </c>
      <c r="C635" s="60" t="str">
        <f>IFERROR(IF(Significant_Overtime[[#This Row],[Overtime Hours]]&gt;100,"High Overtime","Normal"),"Not Found")</f>
        <v>Normal</v>
      </c>
    </row>
    <row r="636" spans="1:3" x14ac:dyDescent="0.35">
      <c r="A636" s="59" t="str">
        <f>_xlfn.TEXTJOIN(" ",TRUE,Employees_Data[[#This Row],[First Name]],Employees_Data[[#This Row],[Last Name]])</f>
        <v>Iin Almunzilijiu</v>
      </c>
      <c r="B636" s="21">
        <v>8</v>
      </c>
      <c r="C636" s="60" t="str">
        <f>IFERROR(IF(Significant_Overtime[[#This Row],[Overtime Hours]]&gt;100,"High Overtime","Normal"),"Not Found")</f>
        <v>Normal</v>
      </c>
    </row>
    <row r="637" spans="1:3" x14ac:dyDescent="0.35">
      <c r="A637" s="59" t="str">
        <f>_xlfn.TEXTJOIN(" ",TRUE,Employees_Data[[#This Row],[First Name]],Employees_Data[[#This Row],[Last Name]])</f>
        <v>Abd Alwahhab Aldhiyab</v>
      </c>
      <c r="B637" s="21">
        <v>2</v>
      </c>
      <c r="C637" s="60" t="str">
        <f>IFERROR(IF(Significant_Overtime[[#This Row],[Overtime Hours]]&gt;100,"High Overtime","Normal"),"Not Found")</f>
        <v>Normal</v>
      </c>
    </row>
    <row r="638" spans="1:3" x14ac:dyDescent="0.35">
      <c r="A638" s="59" t="str">
        <f>_xlfn.TEXTJOIN(" ",TRUE,Employees_Data[[#This Row],[First Name]],Employees_Data[[#This Row],[Last Name]])</f>
        <v>Hanan Salahi</v>
      </c>
      <c r="B638" s="21">
        <v>0</v>
      </c>
      <c r="C638" s="60" t="str">
        <f>IFERROR(IF(Significant_Overtime[[#This Row],[Overtime Hours]]&gt;100,"High Overtime","Normal"),"Not Found")</f>
        <v>Normal</v>
      </c>
    </row>
    <row r="639" spans="1:3" x14ac:dyDescent="0.35">
      <c r="A639" s="59" t="str">
        <f>_xlfn.TEXTJOIN(" ",TRUE,Employees_Data[[#This Row],[First Name]],Employees_Data[[#This Row],[Last Name]])</f>
        <v>Mari Ayuwb</v>
      </c>
      <c r="B639" s="21">
        <v>7</v>
      </c>
      <c r="C639" s="60" t="str">
        <f>IFERROR(IF(Significant_Overtime[[#This Row],[Overtime Hours]]&gt;100,"High Overtime","Normal"),"Not Found")</f>
        <v>Normal</v>
      </c>
    </row>
    <row r="640" spans="1:3" x14ac:dyDescent="0.35">
      <c r="A640" s="59" t="str">
        <f>_xlfn.TEXTJOIN(" ",TRUE,Employees_Data[[#This Row],[First Name]],Employees_Data[[#This Row],[Last Name]])</f>
        <v>Omar Shawqi</v>
      </c>
      <c r="B640" s="21">
        <v>3</v>
      </c>
      <c r="C640" s="60" t="str">
        <f>IFERROR(IF(Significant_Overtime[[#This Row],[Overtime Hours]]&gt;100,"High Overtime","Normal"),"Not Found")</f>
        <v>Normal</v>
      </c>
    </row>
    <row r="641" spans="1:3" x14ac:dyDescent="0.35">
      <c r="A641" s="59" t="str">
        <f>_xlfn.TEXTJOIN(" ",TRUE,Employees_Data[[#This Row],[First Name]],Employees_Data[[#This Row],[Last Name]])</f>
        <v>Tariq Aldhahabi</v>
      </c>
      <c r="B641" s="21">
        <v>4</v>
      </c>
      <c r="C641" s="60" t="str">
        <f>IFERROR(IF(Significant_Overtime[[#This Row],[Overtime Hours]]&gt;100,"High Overtime","Normal"),"Not Found")</f>
        <v>Normal</v>
      </c>
    </row>
    <row r="642" spans="1:3" x14ac:dyDescent="0.35">
      <c r="A642" s="59" t="str">
        <f>_xlfn.TEXTJOIN(" ",TRUE,Employees_Data[[#This Row],[First Name]],Employees_Data[[#This Row],[Last Name]])</f>
        <v>Rama Asead</v>
      </c>
      <c r="B642" s="21">
        <v>10</v>
      </c>
      <c r="C642" s="60" t="str">
        <f>IFERROR(IF(Significant_Overtime[[#This Row],[Overtime Hours]]&gt;100,"High Overtime","Normal"),"Not Found")</f>
        <v>Normal</v>
      </c>
    </row>
    <row r="643" spans="1:3" x14ac:dyDescent="0.35">
      <c r="A643" s="59" t="str">
        <f>_xlfn.TEXTJOIN(" ",TRUE,Employees_Data[[#This Row],[First Name]],Employees_Data[[#This Row],[Last Name]])</f>
        <v>Ghayth Eali</v>
      </c>
      <c r="B643" s="21">
        <v>3</v>
      </c>
      <c r="C643" s="60" t="str">
        <f>IFERROR(IF(Significant_Overtime[[#This Row],[Overtime Hours]]&gt;100,"High Overtime","Normal"),"Not Found")</f>
        <v>Normal</v>
      </c>
    </row>
    <row r="644" spans="1:3" x14ac:dyDescent="0.35">
      <c r="A644" s="59" t="str">
        <f>_xlfn.TEXTJOIN(" ",TRUE,Employees_Data[[#This Row],[First Name]],Employees_Data[[#This Row],[Last Name]])</f>
        <v>Mahir Eabuwd</v>
      </c>
      <c r="B644" s="21">
        <v>10</v>
      </c>
      <c r="C644" s="60" t="str">
        <f>IFERROR(IF(Significant_Overtime[[#This Row],[Overtime Hours]]&gt;100,"High Overtime","Normal"),"Not Found")</f>
        <v>Normal</v>
      </c>
    </row>
    <row r="645" spans="1:3" x14ac:dyDescent="0.35">
      <c r="A645" s="59" t="str">
        <f>_xlfn.TEXTJOIN(" ",TRUE,Employees_Data[[#This Row],[First Name]],Employees_Data[[#This Row],[Last Name]])</f>
        <v>Muwmin Almujahid</v>
      </c>
      <c r="B645" s="21">
        <v>8</v>
      </c>
      <c r="C645" s="60" t="str">
        <f>IFERROR(IF(Significant_Overtime[[#This Row],[Overtime Hours]]&gt;100,"High Overtime","Normal"),"Not Found")</f>
        <v>Normal</v>
      </c>
    </row>
    <row r="646" spans="1:3" x14ac:dyDescent="0.35">
      <c r="A646" s="59" t="str">
        <f>_xlfn.TEXTJOIN(" ",TRUE,Employees_Data[[#This Row],[First Name]],Employees_Data[[#This Row],[Last Name]])</f>
        <v>Dima Drwysh</v>
      </c>
      <c r="B646" s="21">
        <v>10</v>
      </c>
      <c r="C646" s="60" t="str">
        <f>IFERROR(IF(Significant_Overtime[[#This Row],[Overtime Hours]]&gt;100,"High Overtime","Normal"),"Not Found")</f>
        <v>Normal</v>
      </c>
    </row>
    <row r="647" spans="1:3" x14ac:dyDescent="0.35">
      <c r="A647" s="59" t="str">
        <f>_xlfn.TEXTJOIN(" ",TRUE,Employees_Data[[#This Row],[First Name]],Employees_Data[[#This Row],[Last Name]])</f>
        <v>Muhamad Khalid</v>
      </c>
      <c r="B647" s="21">
        <v>7</v>
      </c>
      <c r="C647" s="60" t="str">
        <f>IFERROR(IF(Significant_Overtime[[#This Row],[Overtime Hours]]&gt;100,"High Overtime","Normal"),"Not Found")</f>
        <v>Normal</v>
      </c>
    </row>
    <row r="648" spans="1:3" x14ac:dyDescent="0.35">
      <c r="A648" s="59" t="str">
        <f>_xlfn.TEXTJOIN(" ",TRUE,Employees_Data[[#This Row],[First Name]],Employees_Data[[#This Row],[Last Name]])</f>
        <v>Diea Filyun</v>
      </c>
      <c r="B648" s="21">
        <v>100</v>
      </c>
      <c r="C648" s="60" t="str">
        <f>IFERROR(IF(Significant_Overtime[[#This Row],[Overtime Hours]]&gt;100,"High Overtime","Normal"),"Not Found")</f>
        <v>Normal</v>
      </c>
    </row>
    <row r="649" spans="1:3" x14ac:dyDescent="0.35">
      <c r="A649" s="59" t="str">
        <f>_xlfn.TEXTJOIN(" ",TRUE,Employees_Data[[#This Row],[First Name]],Employees_Data[[#This Row],[Last Name]])</f>
        <v>Muhamad Tasbihji</v>
      </c>
      <c r="B649" s="21">
        <v>10</v>
      </c>
      <c r="C649" s="60" t="str">
        <f>IFERROR(IF(Significant_Overtime[[#This Row],[Overtime Hours]]&gt;100,"High Overtime","Normal"),"Not Found")</f>
        <v>Normal</v>
      </c>
    </row>
    <row r="650" spans="1:3" x14ac:dyDescent="0.35">
      <c r="A650" s="59" t="str">
        <f>_xlfn.TEXTJOIN(" ",TRUE,Employees_Data[[#This Row],[First Name]],Employees_Data[[#This Row],[Last Name]])</f>
        <v>Mazin Shumut</v>
      </c>
      <c r="B650" s="21">
        <v>6</v>
      </c>
      <c r="C650" s="60" t="str">
        <f>IFERROR(IF(Significant_Overtime[[#This Row],[Overtime Hours]]&gt;100,"High Overtime","Normal"),"Not Found")</f>
        <v>Normal</v>
      </c>
    </row>
    <row r="651" spans="1:3" x14ac:dyDescent="0.35">
      <c r="A651" s="59" t="str">
        <f>_xlfn.TEXTJOIN(" ",TRUE,Employees_Data[[#This Row],[First Name]],Employees_Data[[#This Row],[Last Name]])</f>
        <v>Omar Zaqzuq</v>
      </c>
      <c r="B651" s="21">
        <v>7</v>
      </c>
      <c r="C651" s="60" t="str">
        <f>IFERROR(IF(Significant_Overtime[[#This Row],[Overtime Hours]]&gt;100,"High Overtime","Normal"),"Not Found")</f>
        <v>Normal</v>
      </c>
    </row>
    <row r="652" spans="1:3" x14ac:dyDescent="0.35">
      <c r="A652" s="59" t="str">
        <f>_xlfn.TEXTJOIN(" ",TRUE,Employees_Data[[#This Row],[First Name]],Employees_Data[[#This Row],[Last Name]])</f>
        <v>Yasmin Eamir</v>
      </c>
      <c r="B652" s="21">
        <v>1</v>
      </c>
      <c r="C652" s="60" t="str">
        <f>IFERROR(IF(Significant_Overtime[[#This Row],[Overtime Hours]]&gt;100,"High Overtime","Normal"),"Not Found")</f>
        <v>Normal</v>
      </c>
    </row>
    <row r="653" spans="1:3" x14ac:dyDescent="0.35">
      <c r="A653" s="59" t="str">
        <f>_xlfn.TEXTJOIN(" ",TRUE,Employees_Data[[#This Row],[First Name]],Employees_Data[[#This Row],[Last Name]])</f>
        <v>Muhamad Haydar</v>
      </c>
      <c r="B653" s="21">
        <v>6</v>
      </c>
      <c r="C653" s="60" t="str">
        <f>IFERROR(IF(Significant_Overtime[[#This Row],[Overtime Hours]]&gt;100,"High Overtime","Normal"),"Not Found")</f>
        <v>Normal</v>
      </c>
    </row>
    <row r="654" spans="1:3" x14ac:dyDescent="0.35">
      <c r="A654" s="59" t="str">
        <f>_xlfn.TEXTJOIN(" ",TRUE,Employees_Data[[#This Row],[First Name]],Employees_Data[[#This Row],[Last Name]])</f>
        <v>Muhamad Ratib</v>
      </c>
      <c r="B654" s="21">
        <v>57</v>
      </c>
      <c r="C654" s="60" t="str">
        <f>IFERROR(IF(Significant_Overtime[[#This Row],[Overtime Hours]]&gt;100,"High Overtime","Normal"),"Not Found")</f>
        <v>Normal</v>
      </c>
    </row>
    <row r="655" spans="1:3" x14ac:dyDescent="0.35">
      <c r="A655" s="59" t="str">
        <f>_xlfn.TEXTJOIN(" ",TRUE,Employees_Data[[#This Row],[First Name]],Employees_Data[[#This Row],[Last Name]])</f>
        <v>Muayid Siedih</v>
      </c>
      <c r="B655" s="21">
        <v>10</v>
      </c>
      <c r="C655" s="60" t="str">
        <f>IFERROR(IF(Significant_Overtime[[#This Row],[Overtime Hours]]&gt;100,"High Overtime","Normal"),"Not Found")</f>
        <v>Normal</v>
      </c>
    </row>
    <row r="656" spans="1:3" x14ac:dyDescent="0.35">
      <c r="A656" s="59" t="str">
        <f>_xlfn.TEXTJOIN(" ",TRUE,Employees_Data[[#This Row],[First Name]],Employees_Data[[#This Row],[Last Name]])</f>
        <v>Husam Alhamd</v>
      </c>
      <c r="B656" s="21">
        <v>10</v>
      </c>
      <c r="C656" s="60" t="str">
        <f>IFERROR(IF(Significant_Overtime[[#This Row],[Overtime Hours]]&gt;100,"High Overtime","Normal"),"Not Found")</f>
        <v>Normal</v>
      </c>
    </row>
    <row r="657" spans="1:3" x14ac:dyDescent="0.35">
      <c r="A657" s="59" t="str">
        <f>_xlfn.TEXTJOIN(" ",TRUE,Employees_Data[[#This Row],[First Name]],Employees_Data[[#This Row],[Last Name]])</f>
        <v>Abdalkrim Fadal</v>
      </c>
      <c r="B657" s="21">
        <v>7</v>
      </c>
      <c r="C657" s="60" t="str">
        <f>IFERROR(IF(Significant_Overtime[[#This Row],[Overtime Hours]]&gt;100,"High Overtime","Normal"),"Not Found")</f>
        <v>Normal</v>
      </c>
    </row>
    <row r="658" spans="1:3" x14ac:dyDescent="0.35">
      <c r="A658" s="59" t="str">
        <f>_xlfn.TEXTJOIN(" ",TRUE,Employees_Data[[#This Row],[First Name]],Employees_Data[[#This Row],[Last Name]])</f>
        <v>Bayan Eurnus</v>
      </c>
      <c r="B658" s="21">
        <v>6</v>
      </c>
      <c r="C658" s="60" t="str">
        <f>IFERROR(IF(Significant_Overtime[[#This Row],[Overtime Hours]]&gt;100,"High Overtime","Normal"),"Not Found")</f>
        <v>Normal</v>
      </c>
    </row>
    <row r="659" spans="1:3" x14ac:dyDescent="0.35">
      <c r="A659" s="59" t="str">
        <f>_xlfn.TEXTJOIN(" ",TRUE,Employees_Data[[#This Row],[First Name]],Employees_Data[[#This Row],[Last Name]])</f>
        <v>Abd Almueiyn Eitaya</v>
      </c>
      <c r="B659" s="21">
        <v>9</v>
      </c>
      <c r="C659" s="60" t="str">
        <f>IFERROR(IF(Significant_Overtime[[#This Row],[Overtime Hours]]&gt;100,"High Overtime","Normal"),"Not Found")</f>
        <v>Normal</v>
      </c>
    </row>
    <row r="660" spans="1:3" x14ac:dyDescent="0.35">
      <c r="A660" s="59" t="str">
        <f>_xlfn.TEXTJOIN(" ",TRUE,Employees_Data[[#This Row],[First Name]],Employees_Data[[#This Row],[Last Name]])</f>
        <v>Sahar Qisam</v>
      </c>
      <c r="B660" s="21">
        <v>8</v>
      </c>
      <c r="C660" s="60" t="str">
        <f>IFERROR(IF(Significant_Overtime[[#This Row],[Overtime Hours]]&gt;100,"High Overtime","Normal"),"Not Found")</f>
        <v>Normal</v>
      </c>
    </row>
    <row r="661" spans="1:3" x14ac:dyDescent="0.35">
      <c r="A661" s="59" t="str">
        <f>_xlfn.TEXTJOIN(" ",TRUE,Employees_Data[[#This Row],[First Name]],Employees_Data[[#This Row],[Last Name]])</f>
        <v>Rafat Musaa</v>
      </c>
      <c r="B661" s="21">
        <v>9</v>
      </c>
      <c r="C661" s="60" t="str">
        <f>IFERROR(IF(Significant_Overtime[[#This Row],[Overtime Hours]]&gt;100,"High Overtime","Normal"),"Not Found")</f>
        <v>Normal</v>
      </c>
    </row>
    <row r="662" spans="1:3" x14ac:dyDescent="0.35">
      <c r="A662" s="59" t="str">
        <f>_xlfn.TEXTJOIN(" ",TRUE,Employees_Data[[#This Row],[First Name]],Employees_Data[[#This Row],[Last Name]])</f>
        <v>Shafiq Almalih</v>
      </c>
      <c r="B662" s="21">
        <v>6</v>
      </c>
      <c r="C662" s="60" t="str">
        <f>IFERROR(IF(Significant_Overtime[[#This Row],[Overtime Hours]]&gt;100,"High Overtime","Normal"),"Not Found")</f>
        <v>Normal</v>
      </c>
    </row>
    <row r="663" spans="1:3" x14ac:dyDescent="0.35">
      <c r="A663" s="59" t="str">
        <f>_xlfn.TEXTJOIN(" ",TRUE,Employees_Data[[#This Row],[First Name]],Employees_Data[[#This Row],[Last Name]])</f>
        <v>Raghad Aghasi</v>
      </c>
      <c r="B663" s="21">
        <v>8</v>
      </c>
      <c r="C663" s="60" t="str">
        <f>IFERROR(IF(Significant_Overtime[[#This Row],[Overtime Hours]]&gt;100,"High Overtime","Normal"),"Not Found")</f>
        <v>Normal</v>
      </c>
    </row>
    <row r="664" spans="1:3" x14ac:dyDescent="0.35">
      <c r="A664" s="59" t="str">
        <f>_xlfn.TEXTJOIN(" ",TRUE,Employees_Data[[#This Row],[First Name]],Employees_Data[[#This Row],[Last Name]])</f>
        <v>Ruba Alhumwi</v>
      </c>
      <c r="B664" s="21">
        <v>4</v>
      </c>
      <c r="C664" s="60" t="str">
        <f>IFERROR(IF(Significant_Overtime[[#This Row],[Overtime Hours]]&gt;100,"High Overtime","Normal"),"Not Found")</f>
        <v>Normal</v>
      </c>
    </row>
    <row r="665" spans="1:3" x14ac:dyDescent="0.35">
      <c r="A665" s="59" t="str">
        <f>_xlfn.TEXTJOIN(" ",TRUE,Employees_Data[[#This Row],[First Name]],Employees_Data[[#This Row],[Last Name]])</f>
        <v>Bilal Alqalish</v>
      </c>
      <c r="B665" s="21">
        <v>1</v>
      </c>
      <c r="C665" s="60" t="str">
        <f>IFERROR(IF(Significant_Overtime[[#This Row],[Overtime Hours]]&gt;100,"High Overtime","Normal"),"Not Found")</f>
        <v>Normal</v>
      </c>
    </row>
    <row r="666" spans="1:3" x14ac:dyDescent="0.35">
      <c r="A666" s="59" t="str">
        <f>_xlfn.TEXTJOIN(" ",TRUE,Employees_Data[[#This Row],[First Name]],Employees_Data[[#This Row],[Last Name]])</f>
        <v>Muhamad Almisri</v>
      </c>
      <c r="B666" s="21">
        <v>7</v>
      </c>
      <c r="C666" s="60" t="str">
        <f>IFERROR(IF(Significant_Overtime[[#This Row],[Overtime Hours]]&gt;100,"High Overtime","Normal"),"Not Found")</f>
        <v>Normal</v>
      </c>
    </row>
    <row r="667" spans="1:3" x14ac:dyDescent="0.35">
      <c r="A667" s="59" t="str">
        <f>_xlfn.TEXTJOIN(" ",TRUE,Employees_Data[[#This Row],[First Name]],Employees_Data[[#This Row],[Last Name]])</f>
        <v>Husayn Hawria</v>
      </c>
      <c r="B667" s="21">
        <v>2</v>
      </c>
      <c r="C667" s="60" t="str">
        <f>IFERROR(IF(Significant_Overtime[[#This Row],[Overtime Hours]]&gt;100,"High Overtime","Normal"),"Not Found")</f>
        <v>Normal</v>
      </c>
    </row>
    <row r="668" spans="1:3" x14ac:dyDescent="0.35">
      <c r="A668" s="59" t="str">
        <f>_xlfn.TEXTJOIN(" ",TRUE,Employees_Data[[#This Row],[First Name]],Employees_Data[[#This Row],[Last Name]])</f>
        <v>Safa Alshahadat</v>
      </c>
      <c r="B668" s="21">
        <v>9</v>
      </c>
      <c r="C668" s="60" t="str">
        <f>IFERROR(IF(Significant_Overtime[[#This Row],[Overtime Hours]]&gt;100,"High Overtime","Normal"),"Not Found")</f>
        <v>Normal</v>
      </c>
    </row>
    <row r="669" spans="1:3" x14ac:dyDescent="0.35">
      <c r="A669" s="59" t="str">
        <f>_xlfn.TEXTJOIN(" ",TRUE,Employees_Data[[#This Row],[First Name]],Employees_Data[[#This Row],[Last Name]])</f>
        <v>Ahmad Aldiyk</v>
      </c>
      <c r="B669" s="21">
        <v>8</v>
      </c>
      <c r="C669" s="60" t="str">
        <f>IFERROR(IF(Significant_Overtime[[#This Row],[Overtime Hours]]&gt;100,"High Overtime","Normal"),"Not Found")</f>
        <v>Normal</v>
      </c>
    </row>
    <row r="670" spans="1:3" x14ac:dyDescent="0.35">
      <c r="A670" s="59" t="str">
        <f>_xlfn.TEXTJOIN(" ",TRUE,Employees_Data[[#This Row],[First Name]],Employees_Data[[#This Row],[Last Name]])</f>
        <v>Hind Almueasaeas</v>
      </c>
      <c r="B670" s="21">
        <v>7</v>
      </c>
      <c r="C670" s="60" t="str">
        <f>IFERROR(IF(Significant_Overtime[[#This Row],[Overtime Hours]]&gt;100,"High Overtime","Normal"),"Not Found")</f>
        <v>Normal</v>
      </c>
    </row>
    <row r="671" spans="1:3" x14ac:dyDescent="0.35">
      <c r="A671" s="59" t="str">
        <f>_xlfn.TEXTJOIN(" ",TRUE,Employees_Data[[#This Row],[First Name]],Employees_Data[[#This Row],[Last Name]])</f>
        <v>Dania Earmush</v>
      </c>
      <c r="B671" s="21">
        <v>1</v>
      </c>
      <c r="C671" s="60" t="str">
        <f>IFERROR(IF(Significant_Overtime[[#This Row],[Overtime Hours]]&gt;100,"High Overtime","Normal"),"Not Found")</f>
        <v>Normal</v>
      </c>
    </row>
    <row r="672" spans="1:3" x14ac:dyDescent="0.35">
      <c r="A672" s="59" t="str">
        <f>_xlfn.TEXTJOIN(" ",TRUE,Employees_Data[[#This Row],[First Name]],Employees_Data[[#This Row],[Last Name]])</f>
        <v>Ayly Bahriin</v>
      </c>
      <c r="B672" s="21">
        <v>10</v>
      </c>
      <c r="C672" s="60" t="str">
        <f>IFERROR(IF(Significant_Overtime[[#This Row],[Overtime Hours]]&gt;100,"High Overtime","Normal"),"Not Found")</f>
        <v>Normal</v>
      </c>
    </row>
    <row r="673" spans="1:3" x14ac:dyDescent="0.35">
      <c r="A673" s="59" t="str">
        <f>_xlfn.TEXTJOIN(" ",TRUE,Employees_Data[[#This Row],[First Name]],Employees_Data[[#This Row],[Last Name]])</f>
        <v>Jihan Nadir</v>
      </c>
      <c r="B673" s="21">
        <v>4</v>
      </c>
      <c r="C673" s="60" t="str">
        <f>IFERROR(IF(Significant_Overtime[[#This Row],[Overtime Hours]]&gt;100,"High Overtime","Normal"),"Not Found")</f>
        <v>Normal</v>
      </c>
    </row>
    <row r="674" spans="1:3" x14ac:dyDescent="0.35">
      <c r="A674" s="59" t="str">
        <f>_xlfn.TEXTJOIN(" ",TRUE,Employees_Data[[#This Row],[First Name]],Employees_Data[[#This Row],[Last Name]])</f>
        <v>Muhamad Sharif Aldaghly</v>
      </c>
      <c r="B674" s="21">
        <v>6</v>
      </c>
      <c r="C674" s="60" t="str">
        <f>IFERROR(IF(Significant_Overtime[[#This Row],[Overtime Hours]]&gt;100,"High Overtime","Normal"),"Not Found")</f>
        <v>Normal</v>
      </c>
    </row>
    <row r="675" spans="1:3" x14ac:dyDescent="0.35">
      <c r="A675" s="59" t="str">
        <f>_xlfn.TEXTJOIN(" ",TRUE,Employees_Data[[#This Row],[First Name]],Employees_Data[[#This Row],[Last Name]])</f>
        <v>Emara bwalsibae</v>
      </c>
      <c r="B675" s="21">
        <v>1</v>
      </c>
      <c r="C675" s="60" t="str">
        <f>IFERROR(IF(Significant_Overtime[[#This Row],[Overtime Hours]]&gt;100,"High Overtime","Normal"),"Not Found")</f>
        <v>Normal</v>
      </c>
    </row>
    <row r="676" spans="1:3" x14ac:dyDescent="0.35">
      <c r="A676" s="59" t="str">
        <f>_xlfn.TEXTJOIN(" ",TRUE,Employees_Data[[#This Row],[First Name]],Employees_Data[[#This Row],[Last Name]])</f>
        <v>Razzan Alhusayni</v>
      </c>
      <c r="B676" s="21">
        <v>2</v>
      </c>
      <c r="C676" s="60" t="str">
        <f>IFERROR(IF(Significant_Overtime[[#This Row],[Overtime Hours]]&gt;100,"High Overtime","Normal"),"Not Found")</f>
        <v>Normal</v>
      </c>
    </row>
    <row r="677" spans="1:3" x14ac:dyDescent="0.35">
      <c r="A677" s="59" t="str">
        <f>_xlfn.TEXTJOIN(" ",TRUE,Employees_Data[[#This Row],[First Name]],Employees_Data[[#This Row],[Last Name]])</f>
        <v>Ghassan Aljamal</v>
      </c>
      <c r="B677" s="21">
        <v>20</v>
      </c>
      <c r="C677" s="60" t="str">
        <f>IFERROR(IF(Significant_Overtime[[#This Row],[Overtime Hours]]&gt;100,"High Overtime","Normal"),"Not Found")</f>
        <v>Normal</v>
      </c>
    </row>
    <row r="678" spans="1:3" x14ac:dyDescent="0.35">
      <c r="A678" s="59" t="str">
        <f>_xlfn.TEXTJOIN(" ",TRUE,Employees_Data[[#This Row],[First Name]],Employees_Data[[#This Row],[Last Name]])</f>
        <v>Omar Kahulus</v>
      </c>
      <c r="B678" s="21">
        <v>5</v>
      </c>
      <c r="C678" s="60" t="str">
        <f>IFERROR(IF(Significant_Overtime[[#This Row],[Overtime Hours]]&gt;100,"High Overtime","Normal"),"Not Found")</f>
        <v>Normal</v>
      </c>
    </row>
    <row r="679" spans="1:3" x14ac:dyDescent="0.35">
      <c r="A679" s="59" t="str">
        <f>_xlfn.TEXTJOIN(" ",TRUE,Employees_Data[[#This Row],[First Name]],Employees_Data[[#This Row],[Last Name]])</f>
        <v>Amjad Nasir</v>
      </c>
      <c r="B679" s="21">
        <v>2</v>
      </c>
      <c r="C679" s="60" t="str">
        <f>IFERROR(IF(Significant_Overtime[[#This Row],[Overtime Hours]]&gt;100,"High Overtime","Normal"),"Not Found")</f>
        <v>Normal</v>
      </c>
    </row>
    <row r="680" spans="1:3" x14ac:dyDescent="0.35">
      <c r="A680" s="59" t="str">
        <f>_xlfn.TEXTJOIN(" ",TRUE,Employees_Data[[#This Row],[First Name]],Employees_Data[[#This Row],[Last Name]])</f>
        <v>Iman Ghrz Aldiyn</v>
      </c>
      <c r="B680" s="21">
        <v>14</v>
      </c>
      <c r="C680" s="60" t="str">
        <f>IFERROR(IF(Significant_Overtime[[#This Row],[Overtime Hours]]&gt;100,"High Overtime","Normal"),"Not Found")</f>
        <v>Normal</v>
      </c>
    </row>
    <row r="681" spans="1:3" x14ac:dyDescent="0.35">
      <c r="A681" s="59" t="str">
        <f>_xlfn.TEXTJOIN(" ",TRUE,Employees_Data[[#This Row],[First Name]],Employees_Data[[#This Row],[Last Name]])</f>
        <v>Alysia Alyaghshiu</v>
      </c>
      <c r="B681" s="21">
        <v>4</v>
      </c>
      <c r="C681" s="60" t="str">
        <f>IFERROR(IF(Significant_Overtime[[#This Row],[Overtime Hours]]&gt;100,"High Overtime","Normal"),"Not Found")</f>
        <v>Normal</v>
      </c>
    </row>
    <row r="682" spans="1:3" x14ac:dyDescent="0.35">
      <c r="A682" s="59" t="str">
        <f>_xlfn.TEXTJOIN(" ",TRUE,Employees_Data[[#This Row],[First Name]],Employees_Data[[#This Row],[Last Name]])</f>
        <v>Ayham Alqadi</v>
      </c>
      <c r="B682" s="21">
        <v>4</v>
      </c>
      <c r="C682" s="60" t="str">
        <f>IFERROR(IF(Significant_Overtime[[#This Row],[Overtime Hours]]&gt;100,"High Overtime","Normal"),"Not Found")</f>
        <v>Normal</v>
      </c>
    </row>
    <row r="683" spans="1:3" x14ac:dyDescent="0.35">
      <c r="A683" s="59" t="str">
        <f>_xlfn.TEXTJOIN(" ",TRUE,Employees_Data[[#This Row],[First Name]],Employees_Data[[#This Row],[Last Name]])</f>
        <v>Diea Shuelan</v>
      </c>
      <c r="B683" s="21">
        <v>7</v>
      </c>
      <c r="C683" s="60" t="str">
        <f>IFERROR(IF(Significant_Overtime[[#This Row],[Overtime Hours]]&gt;100,"High Overtime","Normal"),"Not Found")</f>
        <v>Normal</v>
      </c>
    </row>
    <row r="684" spans="1:3" x14ac:dyDescent="0.35">
      <c r="A684" s="59" t="str">
        <f>_xlfn.TEXTJOIN(" ",TRUE,Employees_Data[[#This Row],[First Name]],Employees_Data[[#This Row],[Last Name]])</f>
        <v>Husam Alsaed</v>
      </c>
      <c r="B684" s="21">
        <v>2</v>
      </c>
      <c r="C684" s="60" t="str">
        <f>IFERROR(IF(Significant_Overtime[[#This Row],[Overtime Hours]]&gt;100,"High Overtime","Normal"),"Not Found")</f>
        <v>Normal</v>
      </c>
    </row>
    <row r="685" spans="1:3" x14ac:dyDescent="0.35">
      <c r="A685" s="59" t="str">
        <f>_xlfn.TEXTJOIN(" ",TRUE,Employees_Data[[#This Row],[First Name]],Employees_Data[[#This Row],[Last Name]])</f>
        <v>Asd Bwfaeur</v>
      </c>
      <c r="B685" s="21">
        <v>2</v>
      </c>
      <c r="C685" s="60" t="str">
        <f>IFERROR(IF(Significant_Overtime[[#This Row],[Overtime Hours]]&gt;100,"High Overtime","Normal"),"Not Found")</f>
        <v>Normal</v>
      </c>
    </row>
    <row r="686" spans="1:3" x14ac:dyDescent="0.35">
      <c r="A686" s="59" t="str">
        <f>_xlfn.TEXTJOIN(" ",TRUE,Employees_Data[[#This Row],[First Name]],Employees_Data[[#This Row],[Last Name]])</f>
        <v>Sari Hanna</v>
      </c>
      <c r="B686" s="21">
        <v>1</v>
      </c>
      <c r="C686" s="60" t="str">
        <f>IFERROR(IF(Significant_Overtime[[#This Row],[Overtime Hours]]&gt;100,"High Overtime","Normal"),"Not Found")</f>
        <v>Normal</v>
      </c>
    </row>
    <row r="687" spans="1:3" x14ac:dyDescent="0.35">
      <c r="A687" s="59" t="str">
        <f>_xlfn.TEXTJOIN(" ",TRUE,Employees_Data[[#This Row],[First Name]],Employees_Data[[#This Row],[Last Name]])</f>
        <v>Eubayda Kayd</v>
      </c>
      <c r="B687" s="21">
        <v>4</v>
      </c>
      <c r="C687" s="60" t="str">
        <f>IFERROR(IF(Significant_Overtime[[#This Row],[Overtime Hours]]&gt;100,"High Overtime","Normal"),"Not Found")</f>
        <v>Normal</v>
      </c>
    </row>
    <row r="688" spans="1:3" x14ac:dyDescent="0.35">
      <c r="A688" s="59" t="str">
        <f>_xlfn.TEXTJOIN(" ",TRUE,Employees_Data[[#This Row],[First Name]],Employees_Data[[#This Row],[Last Name]])</f>
        <v>Khalil Alkalu</v>
      </c>
      <c r="B688" s="21">
        <v>0</v>
      </c>
      <c r="C688" s="60" t="str">
        <f>IFERROR(IF(Significant_Overtime[[#This Row],[Overtime Hours]]&gt;100,"High Overtime","Normal"),"Not Found")</f>
        <v>Normal</v>
      </c>
    </row>
    <row r="689" spans="1:3" x14ac:dyDescent="0.35">
      <c r="A689" s="59" t="str">
        <f>_xlfn.TEXTJOIN(" ",TRUE,Employees_Data[[#This Row],[First Name]],Employees_Data[[#This Row],[Last Name]])</f>
        <v>Muhamad Shrbjy</v>
      </c>
      <c r="B689" s="21">
        <v>10</v>
      </c>
      <c r="C689" s="60" t="str">
        <f>IFERROR(IF(Significant_Overtime[[#This Row],[Overtime Hours]]&gt;100,"High Overtime","Normal"),"Not Found")</f>
        <v>Normal</v>
      </c>
    </row>
    <row r="690" spans="1:3" x14ac:dyDescent="0.35">
      <c r="A690" s="61" t="str">
        <f>_xlfn.TEXTJOIN(" ",TRUE,Employees_Data[[#This Row],[First Name]],Employees_Data[[#This Row],[Last Name]])</f>
        <v>Abd Albasit AlAhmar</v>
      </c>
      <c r="B690" s="27">
        <v>0</v>
      </c>
      <c r="C690" s="62" t="str">
        <f>IFERROR(IF(Significant_Overtime[[#This Row],[Overtime Hours]]&gt;100,"High Overtime","Normal"),"Not Found")</f>
        <v>Normal</v>
      </c>
    </row>
  </sheetData>
  <conditionalFormatting sqref="A2:A690">
    <cfRule type="containsBlanks" dxfId="30" priority="5">
      <formula>LEN(TRIM(A2))=0</formula>
    </cfRule>
  </conditionalFormatting>
  <conditionalFormatting sqref="B2:B690">
    <cfRule type="containsBlanks" dxfId="29" priority="4">
      <formula>LEN(TRIM(B2))=0</formula>
    </cfRule>
  </conditionalFormatting>
  <conditionalFormatting sqref="C1:C690">
    <cfRule type="containsText" dxfId="28" priority="1" operator="containsText" text="Normal">
      <formula>NOT(ISERROR(SEARCH("Normal",C1)))</formula>
    </cfRule>
    <cfRule type="containsText" dxfId="27" priority="3" operator="containsText" text="High Overtime">
      <formula>NOT(ISERROR(SEARCH("High Overtime",C1)))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14387-2E8A-4376-8435-D08CB61BF257}">
  <dimension ref="A1:C690"/>
  <sheetViews>
    <sheetView tabSelected="1" workbookViewId="0">
      <selection activeCell="C2" sqref="C2"/>
    </sheetView>
  </sheetViews>
  <sheetFormatPr defaultRowHeight="15.5" x14ac:dyDescent="0.35"/>
  <cols>
    <col min="1" max="1" width="22.33203125" bestFit="1" customWidth="1"/>
    <col min="2" max="2" width="15.08203125" customWidth="1"/>
    <col min="3" max="3" width="14.58203125" bestFit="1" customWidth="1"/>
  </cols>
  <sheetData>
    <row r="1" spans="1:3" x14ac:dyDescent="0.35">
      <c r="A1" s="32" t="s">
        <v>24</v>
      </c>
      <c r="B1" s="51" t="s">
        <v>15</v>
      </c>
      <c r="C1" s="52" t="s">
        <v>919</v>
      </c>
    </row>
    <row r="2" spans="1:3" x14ac:dyDescent="0.35">
      <c r="A2" s="36" t="str">
        <f>_xlfn.TEXTJOIN(" ",TRUE,Employees_Data[[#This Row],[First Name]],Employees_Data[[#This Row],[Last Name]])</f>
        <v>Ghadir Hmshw</v>
      </c>
      <c r="B2" s="53">
        <v>1560</v>
      </c>
      <c r="C2" s="54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3" spans="1:3" x14ac:dyDescent="0.35">
      <c r="A3" s="40" t="str">
        <f>_xlfn.TEXTJOIN(" ",TRUE,Employees_Data[[#This Row],[First Name]],Employees_Data[[#This Row],[Last Name]])</f>
        <v>Omar Hishan</v>
      </c>
      <c r="B3" s="55">
        <v>3247</v>
      </c>
      <c r="C3" s="56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4" spans="1:3" x14ac:dyDescent="0.35">
      <c r="A4" s="36" t="str">
        <f>_xlfn.TEXTJOIN(" ",TRUE,Employees_Data[[#This Row],[First Name]],Employees_Data[[#This Row],[Last Name]])</f>
        <v>Ailya Sharaf</v>
      </c>
      <c r="B4" s="53">
        <v>2506</v>
      </c>
      <c r="C4" s="54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5" spans="1:3" x14ac:dyDescent="0.35">
      <c r="A5" s="40" t="str">
        <f>_xlfn.TEXTJOIN(" ",TRUE,Employees_Data[[#This Row],[First Name]],Employees_Data[[#This Row],[Last Name]])</f>
        <v>Lwiy Qbany</v>
      </c>
      <c r="B5" s="55">
        <v>1828</v>
      </c>
      <c r="C5" s="56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6" spans="1:3" x14ac:dyDescent="0.35">
      <c r="A6" s="36" t="str">
        <f>_xlfn.TEXTJOIN(" ",TRUE,Employees_Data[[#This Row],[First Name]],Employees_Data[[#This Row],[Last Name]])</f>
        <v>Ahmad Bikri</v>
      </c>
      <c r="B6" s="53">
        <v>970</v>
      </c>
      <c r="C6" s="54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7" spans="1:3" x14ac:dyDescent="0.35">
      <c r="A7" s="40" t="str">
        <f>_xlfn.TEXTJOIN(" ",TRUE,Employees_Data[[#This Row],[First Name]],Employees_Data[[#This Row],[Last Name]])</f>
        <v>Muhamad Zueitr</v>
      </c>
      <c r="B7" s="55">
        <v>2332</v>
      </c>
      <c r="C7" s="56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8" spans="1:3" x14ac:dyDescent="0.35">
      <c r="A8" s="36" t="str">
        <f>_xlfn.TEXTJOIN(" ",TRUE,Employees_Data[[#This Row],[First Name]],Employees_Data[[#This Row],[Last Name]])</f>
        <v>Iin Alhalaliu</v>
      </c>
      <c r="B8" s="53">
        <v>1959</v>
      </c>
      <c r="C8" s="54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9" spans="1:3" x14ac:dyDescent="0.35">
      <c r="A9" s="40" t="str">
        <f>_xlfn.TEXTJOIN(" ",TRUE,Employees_Data[[#This Row],[First Name]],Employees_Data[[#This Row],[Last Name]])</f>
        <v>Muhamad Alaya</v>
      </c>
      <c r="B9" s="55">
        <v>3394</v>
      </c>
      <c r="C9" s="56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10" spans="1:3" x14ac:dyDescent="0.35">
      <c r="A10" s="36" t="str">
        <f>_xlfn.TEXTJOIN(" ",TRUE,Employees_Data[[#This Row],[First Name]],Employees_Data[[#This Row],[Last Name]])</f>
        <v>Susin Almilat</v>
      </c>
      <c r="B10" s="53">
        <v>1479</v>
      </c>
      <c r="C10" s="54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11" spans="1:3" x14ac:dyDescent="0.35">
      <c r="A11" s="40" t="str">
        <f>_xlfn.TEXTJOIN(" ",TRUE,Employees_Data[[#This Row],[First Name]],Employees_Data[[#This Row],[Last Name]])</f>
        <v>Muhamad Alrifaei</v>
      </c>
      <c r="B11" s="55">
        <v>1186</v>
      </c>
      <c r="C11" s="56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12" spans="1:3" x14ac:dyDescent="0.35">
      <c r="A12" s="36" t="str">
        <f>_xlfn.TEXTJOIN(" ",TRUE,Employees_Data[[#This Row],[First Name]],Employees_Data[[#This Row],[Last Name]])</f>
        <v>Muhamad Alqadah</v>
      </c>
      <c r="B12" s="53">
        <v>1485</v>
      </c>
      <c r="C12" s="54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13" spans="1:3" x14ac:dyDescent="0.35">
      <c r="A13" s="40" t="str">
        <f>_xlfn.TEXTJOIN(" ",TRUE,Employees_Data[[#This Row],[First Name]],Employees_Data[[#This Row],[Last Name]])</f>
        <v>Muhamad Iad</v>
      </c>
      <c r="B13" s="55">
        <v>2016</v>
      </c>
      <c r="C13" s="56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14" spans="1:3" x14ac:dyDescent="0.35">
      <c r="A14" s="36" t="str">
        <f>_xlfn.TEXTJOIN(" ",TRUE,Employees_Data[[#This Row],[First Name]],Employees_Data[[#This Row],[Last Name]])</f>
        <v>Razaan Nasif</v>
      </c>
      <c r="B14" s="53">
        <v>1999</v>
      </c>
      <c r="C14" s="54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15" spans="1:3" x14ac:dyDescent="0.35">
      <c r="A15" s="40" t="str">
        <f>_xlfn.TEXTJOIN(" ",TRUE,Employees_Data[[#This Row],[First Name]],Employees_Data[[#This Row],[Last Name]])</f>
        <v>Iilian Dbs</v>
      </c>
      <c r="B15" s="55">
        <v>3404</v>
      </c>
      <c r="C15" s="56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16" spans="1:3" x14ac:dyDescent="0.35">
      <c r="A16" s="36" t="str">
        <f>_xlfn.TEXTJOIN(" ",TRUE,Employees_Data[[#This Row],[First Name]],Employees_Data[[#This Row],[Last Name]])</f>
        <v>Bayan Qdw</v>
      </c>
      <c r="B16" s="53">
        <v>889</v>
      </c>
      <c r="C16" s="54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17" spans="1:3" x14ac:dyDescent="0.35">
      <c r="A17" s="40" t="str">
        <f>_xlfn.TEXTJOIN(" ",TRUE,Employees_Data[[#This Row],[First Name]],Employees_Data[[#This Row],[Last Name]])</f>
        <v>Alaa Muhamad</v>
      </c>
      <c r="B17" s="55">
        <v>930</v>
      </c>
      <c r="C17" s="56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18" spans="1:3" x14ac:dyDescent="0.35">
      <c r="A18" s="36" t="str">
        <f>_xlfn.TEXTJOIN(" ",TRUE,Employees_Data[[#This Row],[First Name]],Employees_Data[[#This Row],[Last Name]])</f>
        <v>Sandra Aljurmqaniu</v>
      </c>
      <c r="B18" s="53">
        <v>3149</v>
      </c>
      <c r="C18" s="54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19" spans="1:3" x14ac:dyDescent="0.35">
      <c r="A19" s="40" t="str">
        <f>_xlfn.TEXTJOIN(" ",TRUE,Employees_Data[[#This Row],[First Name]],Employees_Data[[#This Row],[Last Name]])</f>
        <v>Farahad Husayn</v>
      </c>
      <c r="B19" s="55">
        <v>1295</v>
      </c>
      <c r="C19" s="56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20" spans="1:3" x14ac:dyDescent="0.35">
      <c r="A20" s="36" t="str">
        <f>_xlfn.TEXTJOIN(" ",TRUE,Employees_Data[[#This Row],[First Name]],Employees_Data[[#This Row],[Last Name]])</f>
        <v>Ahed Salim</v>
      </c>
      <c r="B20" s="53">
        <v>2162</v>
      </c>
      <c r="C20" s="54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21" spans="1:3" x14ac:dyDescent="0.35">
      <c r="A21" s="40" t="str">
        <f>_xlfn.TEXTJOIN(" ",TRUE,Employees_Data[[#This Row],[First Name]],Employees_Data[[#This Row],[Last Name]])</f>
        <v>Ayham Tutwnji</v>
      </c>
      <c r="B21" s="55">
        <v>2180</v>
      </c>
      <c r="C21" s="56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22" spans="1:3" x14ac:dyDescent="0.35">
      <c r="A22" s="36" t="str">
        <f>_xlfn.TEXTJOIN(" ",TRUE,Employees_Data[[#This Row],[First Name]],Employees_Data[[#This Row],[Last Name]])</f>
        <v>Samir Alsafdi</v>
      </c>
      <c r="B22" s="53">
        <v>1475</v>
      </c>
      <c r="C22" s="54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23" spans="1:3" x14ac:dyDescent="0.35">
      <c r="A23" s="40" t="str">
        <f>_xlfn.TEXTJOIN(" ",TRUE,Employees_Data[[#This Row],[First Name]],Employees_Data[[#This Row],[Last Name]])</f>
        <v>Bilal Jalal</v>
      </c>
      <c r="B23" s="55">
        <v>1290</v>
      </c>
      <c r="C23" s="56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24" spans="1:3" x14ac:dyDescent="0.35">
      <c r="A24" s="36" t="str">
        <f>_xlfn.TEXTJOIN(" ",TRUE,Employees_Data[[#This Row],[First Name]],Employees_Data[[#This Row],[Last Name]])</f>
        <v>Riad Sahalul</v>
      </c>
      <c r="B24" s="53">
        <v>1764</v>
      </c>
      <c r="C24" s="54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25" spans="1:3" x14ac:dyDescent="0.35">
      <c r="A25" s="40" t="str">
        <f>_xlfn.TEXTJOIN(" ",TRUE,Employees_Data[[#This Row],[First Name]],Employees_Data[[#This Row],[Last Name]])</f>
        <v>Ahmad Ahmad</v>
      </c>
      <c r="B25" s="55">
        <v>2682</v>
      </c>
      <c r="C25" s="56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26" spans="1:3" x14ac:dyDescent="0.35">
      <c r="A26" s="36" t="str">
        <f>_xlfn.TEXTJOIN(" ",TRUE,Employees_Data[[#This Row],[First Name]],Employees_Data[[#This Row],[Last Name]])</f>
        <v>Muhamad Altarah</v>
      </c>
      <c r="B26" s="53">
        <v>3044</v>
      </c>
      <c r="C26" s="54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27" spans="1:3" x14ac:dyDescent="0.35">
      <c r="A27" s="40" t="str">
        <f>_xlfn.TEXTJOIN(" ",TRUE,Employees_Data[[#This Row],[First Name]],Employees_Data[[#This Row],[Last Name]])</f>
        <v>Lwna Abu</v>
      </c>
      <c r="B27" s="55">
        <v>890</v>
      </c>
      <c r="C27" s="56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28" spans="1:3" x14ac:dyDescent="0.35">
      <c r="A28" s="36" t="str">
        <f>_xlfn.TEXTJOIN(" ",TRUE,Employees_Data[[#This Row],[First Name]],Employees_Data[[#This Row],[Last Name]])</f>
        <v>Jalal Almuluhi</v>
      </c>
      <c r="B28" s="53">
        <v>2207</v>
      </c>
      <c r="C28" s="54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29" spans="1:3" x14ac:dyDescent="0.35">
      <c r="A29" s="40" t="str">
        <f>_xlfn.TEXTJOIN(" ",TRUE,Employees_Data[[#This Row],[First Name]],Employees_Data[[#This Row],[Last Name]])</f>
        <v>Rana Mius</v>
      </c>
      <c r="B29" s="55">
        <v>2136</v>
      </c>
      <c r="C29" s="56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30" spans="1:3" x14ac:dyDescent="0.35">
      <c r="A30" s="36" t="str">
        <f>_xlfn.TEXTJOIN(" ",TRUE,Employees_Data[[#This Row],[First Name]],Employees_Data[[#This Row],[Last Name]])</f>
        <v>Lina Aljabaan</v>
      </c>
      <c r="B30" s="53">
        <v>1161</v>
      </c>
      <c r="C30" s="54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31" spans="1:3" x14ac:dyDescent="0.35">
      <c r="A31" s="40" t="str">
        <f>_xlfn.TEXTJOIN(" ",TRUE,Employees_Data[[#This Row],[First Name]],Employees_Data[[#This Row],[Last Name]])</f>
        <v>Rami Shanan</v>
      </c>
      <c r="B31" s="55">
        <v>830</v>
      </c>
      <c r="C31" s="56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32" spans="1:3" x14ac:dyDescent="0.35">
      <c r="A32" s="36" t="str">
        <f>_xlfn.TEXTJOIN(" ",TRUE,Employees_Data[[#This Row],[First Name]],Employees_Data[[#This Row],[Last Name]])</f>
        <v>Eala Alhaj</v>
      </c>
      <c r="B32" s="53">
        <v>2977</v>
      </c>
      <c r="C32" s="54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33" spans="1:3" x14ac:dyDescent="0.35">
      <c r="A33" s="40" t="str">
        <f>_xlfn.TEXTJOIN(" ",TRUE,Employees_Data[[#This Row],[First Name]],Employees_Data[[#This Row],[Last Name]])</f>
        <v>Ghalib Zakianiin</v>
      </c>
      <c r="B33" s="55">
        <v>3151</v>
      </c>
      <c r="C33" s="56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34" spans="1:3" x14ac:dyDescent="0.35">
      <c r="A34" s="36" t="str">
        <f>_xlfn.TEXTJOIN(" ",TRUE,Employees_Data[[#This Row],[First Name]],Employees_Data[[#This Row],[Last Name]])</f>
        <v>Muhamad Eurul</v>
      </c>
      <c r="B34" s="53">
        <v>1551</v>
      </c>
      <c r="C34" s="54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35" spans="1:3" x14ac:dyDescent="0.35">
      <c r="A35" s="40" t="str">
        <f>_xlfn.TEXTJOIN(" ",TRUE,Employees_Data[[#This Row],[First Name]],Employees_Data[[#This Row],[Last Name]])</f>
        <v>Eizat Ghanim</v>
      </c>
      <c r="B35" s="55">
        <v>2099</v>
      </c>
      <c r="C35" s="56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36" spans="1:3" x14ac:dyDescent="0.35">
      <c r="A36" s="36" t="str">
        <f>_xlfn.TEXTJOIN(" ",TRUE,Employees_Data[[#This Row],[First Name]],Employees_Data[[#This Row],[Last Name]])</f>
        <v>Ahmad Swyd</v>
      </c>
      <c r="B36" s="53">
        <v>808</v>
      </c>
      <c r="C36" s="54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37" spans="1:3" x14ac:dyDescent="0.35">
      <c r="A37" s="40" t="str">
        <f>_xlfn.TEXTJOIN(" ",TRUE,Employees_Data[[#This Row],[First Name]],Employees_Data[[#This Row],[Last Name]])</f>
        <v>Muhamad Aleass</v>
      </c>
      <c r="B37" s="55">
        <v>984</v>
      </c>
      <c r="C37" s="56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38" spans="1:3" x14ac:dyDescent="0.35">
      <c r="A38" s="36" t="str">
        <f>_xlfn.TEXTJOIN(" ",TRUE,Employees_Data[[#This Row],[First Name]],Employees_Data[[#This Row],[Last Name]])</f>
        <v>Rima AlAsfar</v>
      </c>
      <c r="B38" s="53">
        <v>1011</v>
      </c>
      <c r="C38" s="54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39" spans="1:3" x14ac:dyDescent="0.35">
      <c r="A39" s="40" t="str">
        <f>_xlfn.TEXTJOIN(" ",TRUE,Employees_Data[[#This Row],[First Name]],Employees_Data[[#This Row],[Last Name]])</f>
        <v>Zayn Aleabdyn Zaetar</v>
      </c>
      <c r="B39" s="55">
        <v>2026</v>
      </c>
      <c r="C39" s="56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40" spans="1:3" x14ac:dyDescent="0.35">
      <c r="A40" s="36" t="str">
        <f>_xlfn.TEXTJOIN(" ",TRUE,Employees_Data[[#This Row],[First Name]],Employees_Data[[#This Row],[Last Name]])</f>
        <v>Hazim Alshshatim</v>
      </c>
      <c r="B40" s="53">
        <v>2801</v>
      </c>
      <c r="C40" s="54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41" spans="1:3" x14ac:dyDescent="0.35">
      <c r="A41" s="40" t="str">
        <f>_xlfn.TEXTJOIN(" ",TRUE,Employees_Data[[#This Row],[First Name]],Employees_Data[[#This Row],[Last Name]])</f>
        <v>Dia Alshahf</v>
      </c>
      <c r="B41" s="55">
        <v>3208</v>
      </c>
      <c r="C41" s="56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42" spans="1:3" x14ac:dyDescent="0.35">
      <c r="A42" s="36" t="str">
        <f>_xlfn.TEXTJOIN(" ",TRUE,Employees_Data[[#This Row],[First Name]],Employees_Data[[#This Row],[Last Name]])</f>
        <v>Ayham Almusaa</v>
      </c>
      <c r="B42" s="53">
        <v>2129</v>
      </c>
      <c r="C42" s="54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43" spans="1:3" x14ac:dyDescent="0.35">
      <c r="A43" s="40" t="str">
        <f>_xlfn.TEXTJOIN(" ",TRUE,Employees_Data[[#This Row],[First Name]],Employees_Data[[#This Row],[Last Name]])</f>
        <v>Abd Allatif Mabrukh</v>
      </c>
      <c r="B43" s="55">
        <v>3344</v>
      </c>
      <c r="C43" s="56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44" spans="1:3" x14ac:dyDescent="0.35">
      <c r="A44" s="36" t="str">
        <f>_xlfn.TEXTJOIN(" ",TRUE,Employees_Data[[#This Row],[First Name]],Employees_Data[[#This Row],[Last Name]])</f>
        <v>Salim Abumaeun</v>
      </c>
      <c r="B44" s="53">
        <v>2836</v>
      </c>
      <c r="C44" s="54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45" spans="1:3" x14ac:dyDescent="0.35">
      <c r="A45" s="40" t="str">
        <f>_xlfn.TEXTJOIN(" ",TRUE,Employees_Data[[#This Row],[First Name]],Employees_Data[[#This Row],[Last Name]])</f>
        <v>Rafat Hamza</v>
      </c>
      <c r="B45" s="55">
        <v>1960</v>
      </c>
      <c r="C45" s="56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46" spans="1:3" x14ac:dyDescent="0.35">
      <c r="A46" s="36" t="str">
        <f>_xlfn.TEXTJOIN(" ",TRUE,Employees_Data[[#This Row],[First Name]],Employees_Data[[#This Row],[Last Name]])</f>
        <v>Ahmad Laylana</v>
      </c>
      <c r="B46" s="53">
        <v>1478</v>
      </c>
      <c r="C46" s="54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47" spans="1:3" x14ac:dyDescent="0.35">
      <c r="A47" s="40" t="str">
        <f>_xlfn.TEXTJOIN(" ",TRUE,Employees_Data[[#This Row],[First Name]],Employees_Data[[#This Row],[Last Name]])</f>
        <v>Lobnaa Khalifih</v>
      </c>
      <c r="B47" s="55">
        <v>1981</v>
      </c>
      <c r="C47" s="56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48" spans="1:3" x14ac:dyDescent="0.35">
      <c r="A48" s="36" t="str">
        <f>_xlfn.TEXTJOIN(" ",TRUE,Employees_Data[[#This Row],[First Name]],Employees_Data[[#This Row],[Last Name]])</f>
        <v>Sami Alkhujih</v>
      </c>
      <c r="B48" s="53">
        <v>2064</v>
      </c>
      <c r="C48" s="54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49" spans="1:3" x14ac:dyDescent="0.35">
      <c r="A49" s="40" t="str">
        <f>_xlfn.TEXTJOIN(" ",TRUE,Employees_Data[[#This Row],[First Name]],Employees_Data[[#This Row],[Last Name]])</f>
        <v>Salam Alealbi</v>
      </c>
      <c r="B49" s="55">
        <v>1045</v>
      </c>
      <c r="C49" s="56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50" spans="1:3" x14ac:dyDescent="0.35">
      <c r="A50" s="36" t="str">
        <f>_xlfn.TEXTJOIN(" ",TRUE,Employees_Data[[#This Row],[First Name]],Employees_Data[[#This Row],[Last Name]])</f>
        <v>Rim Almusaa</v>
      </c>
      <c r="B50" s="53">
        <v>2022</v>
      </c>
      <c r="C50" s="54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51" spans="1:3" x14ac:dyDescent="0.35">
      <c r="A51" s="40" t="str">
        <f>_xlfn.TEXTJOIN(" ",TRUE,Employees_Data[[#This Row],[First Name]],Employees_Data[[#This Row],[Last Name]])</f>
        <v>Ghada Aleasimii</v>
      </c>
      <c r="B51" s="55">
        <v>2383</v>
      </c>
      <c r="C51" s="56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52" spans="1:3" x14ac:dyDescent="0.35">
      <c r="A52" s="36" t="str">
        <f>_xlfn.TEXTJOIN(" ",TRUE,Employees_Data[[#This Row],[First Name]],Employees_Data[[#This Row],[Last Name]])</f>
        <v>Abd Alwahhab Muhamad</v>
      </c>
      <c r="B52" s="53">
        <v>1563</v>
      </c>
      <c r="C52" s="54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53" spans="1:3" x14ac:dyDescent="0.35">
      <c r="A53" s="40" t="str">
        <f>_xlfn.TEXTJOIN(" ",TRUE,Employees_Data[[#This Row],[First Name]],Employees_Data[[#This Row],[Last Name]])</f>
        <v>Ayman Eubayd</v>
      </c>
      <c r="B53" s="55">
        <v>919</v>
      </c>
      <c r="C53" s="56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54" spans="1:3" x14ac:dyDescent="0.35">
      <c r="A54" s="36" t="str">
        <f>_xlfn.TEXTJOIN(" ",TRUE,Employees_Data[[#This Row],[First Name]],Employees_Data[[#This Row],[Last Name]])</f>
        <v>Faras Karim</v>
      </c>
      <c r="B54" s="53">
        <v>988</v>
      </c>
      <c r="C54" s="54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55" spans="1:3" x14ac:dyDescent="0.35">
      <c r="A55" s="40" t="str">
        <f>_xlfn.TEXTJOIN(" ",TRUE,Employees_Data[[#This Row],[First Name]],Employees_Data[[#This Row],[Last Name]])</f>
        <v>Shadi Salayk</v>
      </c>
      <c r="B55" s="55">
        <v>2631</v>
      </c>
      <c r="C55" s="56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56" spans="1:3" x14ac:dyDescent="0.35">
      <c r="A56" s="36" t="str">
        <f>_xlfn.TEXTJOIN(" ",TRUE,Employees_Data[[#This Row],[First Name]],Employees_Data[[#This Row],[Last Name]])</f>
        <v>Eubay Alttahir</v>
      </c>
      <c r="B56" s="53">
        <v>2368</v>
      </c>
      <c r="C56" s="54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57" spans="1:3" x14ac:dyDescent="0.35">
      <c r="A57" s="40" t="str">
        <f>_xlfn.TEXTJOIN(" ",TRUE,Employees_Data[[#This Row],[First Name]],Employees_Data[[#This Row],[Last Name]])</f>
        <v>Abd Alhadi Alzzahir</v>
      </c>
      <c r="B57" s="55">
        <v>2679</v>
      </c>
      <c r="C57" s="56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58" spans="1:3" x14ac:dyDescent="0.35">
      <c r="A58" s="36" t="str">
        <f>_xlfn.TEXTJOIN(" ",TRUE,Employees_Data[[#This Row],[First Name]],Employees_Data[[#This Row],[Last Name]])</f>
        <v>Majdulin Ashbrh</v>
      </c>
      <c r="B58" s="53">
        <v>2423</v>
      </c>
      <c r="C58" s="54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59" spans="1:3" x14ac:dyDescent="0.35">
      <c r="A59" s="40" t="str">
        <f>_xlfn.TEXTJOIN(" ",TRUE,Employees_Data[[#This Row],[First Name]],Employees_Data[[#This Row],[Last Name]])</f>
        <v>Aylyn Dahadal</v>
      </c>
      <c r="B59" s="55">
        <v>2115</v>
      </c>
      <c r="C59" s="56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60" spans="1:3" x14ac:dyDescent="0.35">
      <c r="A60" s="36" t="str">
        <f>_xlfn.TEXTJOIN(" ",TRUE,Employees_Data[[#This Row],[First Name]],Employees_Data[[#This Row],[Last Name]])</f>
        <v>Tala Tuish</v>
      </c>
      <c r="B60" s="53">
        <v>2969</v>
      </c>
      <c r="C60" s="54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61" spans="1:3" x14ac:dyDescent="0.35">
      <c r="A61" s="40" t="str">
        <f>_xlfn.TEXTJOIN(" ",TRUE,Employees_Data[[#This Row],[First Name]],Employees_Data[[#This Row],[Last Name]])</f>
        <v>Muhamad Qarh</v>
      </c>
      <c r="B61" s="55">
        <v>2467</v>
      </c>
      <c r="C61" s="56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62" spans="1:3" x14ac:dyDescent="0.35">
      <c r="A62" s="36" t="str">
        <f>_xlfn.TEXTJOIN(" ",TRUE,Employees_Data[[#This Row],[First Name]],Employees_Data[[#This Row],[Last Name]])</f>
        <v>Eala Almisri</v>
      </c>
      <c r="B62" s="53">
        <v>3244</v>
      </c>
      <c r="C62" s="54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63" spans="1:3" x14ac:dyDescent="0.35">
      <c r="A63" s="40" t="str">
        <f>_xlfn.TEXTJOIN(" ",TRUE,Employees_Data[[#This Row],[First Name]],Employees_Data[[#This Row],[Last Name]])</f>
        <v>Muhamad Alzaybq</v>
      </c>
      <c r="B63" s="55">
        <v>2132</v>
      </c>
      <c r="C63" s="56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64" spans="1:3" x14ac:dyDescent="0.35">
      <c r="A64" s="36" t="str">
        <f>_xlfn.TEXTJOIN(" ",TRUE,Employees_Data[[#This Row],[First Name]],Employees_Data[[#This Row],[Last Name]])</f>
        <v>Muhamad Asamy</v>
      </c>
      <c r="B64" s="53">
        <v>994</v>
      </c>
      <c r="C64" s="54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65" spans="1:3" x14ac:dyDescent="0.35">
      <c r="A65" s="40" t="str">
        <f>_xlfn.TEXTJOIN(" ",TRUE,Employees_Data[[#This Row],[First Name]],Employees_Data[[#This Row],[Last Name]])</f>
        <v>Ahmad Alealbi</v>
      </c>
      <c r="B65" s="55">
        <v>2304</v>
      </c>
      <c r="C65" s="56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66" spans="1:3" x14ac:dyDescent="0.35">
      <c r="A66" s="36" t="str">
        <f>_xlfn.TEXTJOIN(" ",TRUE,Employees_Data[[#This Row],[First Name]],Employees_Data[[#This Row],[Last Name]])</f>
        <v>Ibrahim Almasri</v>
      </c>
      <c r="B66" s="53">
        <v>1207</v>
      </c>
      <c r="C66" s="54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67" spans="1:3" x14ac:dyDescent="0.35">
      <c r="A67" s="40" t="str">
        <f>_xlfn.TEXTJOIN(" ",TRUE,Employees_Data[[#This Row],[First Name]],Employees_Data[[#This Row],[Last Name]])</f>
        <v>Hamdah Alkhalifa</v>
      </c>
      <c r="B67" s="55">
        <v>802</v>
      </c>
      <c r="C67" s="56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68" spans="1:3" x14ac:dyDescent="0.35">
      <c r="A68" s="36" t="str">
        <f>_xlfn.TEXTJOIN(" ",TRUE,Employees_Data[[#This Row],[First Name]],Employees_Data[[#This Row],[Last Name]])</f>
        <v>Muhamad Jawish</v>
      </c>
      <c r="B68" s="53">
        <v>2065</v>
      </c>
      <c r="C68" s="54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69" spans="1:3" x14ac:dyDescent="0.35">
      <c r="A69" s="40" t="str">
        <f>_xlfn.TEXTJOIN(" ",TRUE,Employees_Data[[#This Row],[First Name]],Employees_Data[[#This Row],[Last Name]])</f>
        <v>Muwmin Almudhin</v>
      </c>
      <c r="B69" s="55">
        <v>2882</v>
      </c>
      <c r="C69" s="56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70" spans="1:3" x14ac:dyDescent="0.35">
      <c r="A70" s="36" t="str">
        <f>_xlfn.TEXTJOIN(" ",TRUE,Employees_Data[[#This Row],[First Name]],Employees_Data[[#This Row],[Last Name]])</f>
        <v>Ahmad Zayd</v>
      </c>
      <c r="B70" s="53">
        <v>2042</v>
      </c>
      <c r="C70" s="54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71" spans="1:3" x14ac:dyDescent="0.35">
      <c r="A71" s="40" t="str">
        <f>_xlfn.TEXTJOIN(" ",TRUE,Employees_Data[[#This Row],[First Name]],Employees_Data[[#This Row],[Last Name]])</f>
        <v>Layzaan Nabulsi</v>
      </c>
      <c r="B71" s="55">
        <v>2017</v>
      </c>
      <c r="C71" s="56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72" spans="1:3" x14ac:dyDescent="0.35">
      <c r="A72" s="36" t="str">
        <f>_xlfn.TEXTJOIN(" ",TRUE,Employees_Data[[#This Row],[First Name]],Employees_Data[[#This Row],[Last Name]])</f>
        <v>Sarih Eammar</v>
      </c>
      <c r="B72" s="53">
        <v>3215</v>
      </c>
      <c r="C72" s="54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73" spans="1:3" x14ac:dyDescent="0.35">
      <c r="A73" s="40" t="str">
        <f>_xlfn.TEXTJOIN(" ",TRUE,Employees_Data[[#This Row],[First Name]],Employees_Data[[#This Row],[Last Name]])</f>
        <v>Karam Hutayniun</v>
      </c>
      <c r="B73" s="55">
        <v>2957</v>
      </c>
      <c r="C73" s="56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74" spans="1:3" x14ac:dyDescent="0.35">
      <c r="A74" s="36" t="str">
        <f>_xlfn.TEXTJOIN(" ",TRUE,Employees_Data[[#This Row],[First Name]],Employees_Data[[#This Row],[Last Name]])</f>
        <v>Shahad Shanan</v>
      </c>
      <c r="B74" s="53">
        <v>891</v>
      </c>
      <c r="C74" s="54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75" spans="1:3" x14ac:dyDescent="0.35">
      <c r="A75" s="40" t="str">
        <f>_xlfn.TEXTJOIN(" ",TRUE,Employees_Data[[#This Row],[First Name]],Employees_Data[[#This Row],[Last Name]])</f>
        <v>Salah Ramadan</v>
      </c>
      <c r="B75" s="55">
        <v>1971</v>
      </c>
      <c r="C75" s="56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76" spans="1:3" x14ac:dyDescent="0.35">
      <c r="A76" s="36" t="str">
        <f>_xlfn.TEXTJOIN(" ",TRUE,Employees_Data[[#This Row],[First Name]],Employees_Data[[#This Row],[Last Name]])</f>
        <v>Sami Alkhayrat</v>
      </c>
      <c r="B76" s="53">
        <v>2317</v>
      </c>
      <c r="C76" s="54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77" spans="1:3" x14ac:dyDescent="0.35">
      <c r="A77" s="40" t="str">
        <f>_xlfn.TEXTJOIN(" ",TRUE,Employees_Data[[#This Row],[First Name]],Employees_Data[[#This Row],[Last Name]])</f>
        <v>Khalid Snan</v>
      </c>
      <c r="B77" s="55">
        <v>1657</v>
      </c>
      <c r="C77" s="56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78" spans="1:3" x14ac:dyDescent="0.35">
      <c r="A78" s="36" t="str">
        <f>_xlfn.TEXTJOIN(" ",TRUE,Employees_Data[[#This Row],[First Name]],Employees_Data[[#This Row],[Last Name]])</f>
        <v>Salam Alkhatib</v>
      </c>
      <c r="B78" s="53">
        <v>3053</v>
      </c>
      <c r="C78" s="54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79" spans="1:3" x14ac:dyDescent="0.35">
      <c r="A79" s="40" t="str">
        <f>_xlfn.TEXTJOIN(" ",TRUE,Employees_Data[[#This Row],[First Name]],Employees_Data[[#This Row],[Last Name]])</f>
        <v>Darar Alshiyraziu</v>
      </c>
      <c r="B79" s="55">
        <v>1887</v>
      </c>
      <c r="C79" s="56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80" spans="1:3" x14ac:dyDescent="0.35">
      <c r="A80" s="36" t="str">
        <f>_xlfn.TEXTJOIN(" ",TRUE,Employees_Data[[#This Row],[First Name]],Employees_Data[[#This Row],[Last Name]])</f>
        <v>Mazin Yusif</v>
      </c>
      <c r="B80" s="53">
        <v>1457</v>
      </c>
      <c r="C80" s="54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81" spans="1:3" x14ac:dyDescent="0.35">
      <c r="A81" s="40" t="str">
        <f>_xlfn.TEXTJOIN(" ",TRUE,Employees_Data[[#This Row],[First Name]],Employees_Data[[#This Row],[Last Name]])</f>
        <v>Rasha Naeim</v>
      </c>
      <c r="B81" s="55">
        <v>2581</v>
      </c>
      <c r="C81" s="56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82" spans="1:3" x14ac:dyDescent="0.35">
      <c r="A82" s="36" t="str">
        <f>_xlfn.TEXTJOIN(" ",TRUE,Employees_Data[[#This Row],[First Name]],Employees_Data[[#This Row],[Last Name]])</f>
        <v>Eamra Alshueranii</v>
      </c>
      <c r="B82" s="53">
        <v>901</v>
      </c>
      <c r="C82" s="54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83" spans="1:3" x14ac:dyDescent="0.35">
      <c r="A83" s="40" t="str">
        <f>_xlfn.TEXTJOIN(" ",TRUE,Employees_Data[[#This Row],[First Name]],Employees_Data[[#This Row],[Last Name]])</f>
        <v>Amira Akrym</v>
      </c>
      <c r="B83" s="55">
        <v>898</v>
      </c>
      <c r="C83" s="56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84" spans="1:3" x14ac:dyDescent="0.35">
      <c r="A84" s="36" t="str">
        <f>_xlfn.TEXTJOIN(" ",TRUE,Employees_Data[[#This Row],[First Name]],Employees_Data[[#This Row],[Last Name]])</f>
        <v>Muhamad Hamzat</v>
      </c>
      <c r="B84" s="53">
        <v>2878</v>
      </c>
      <c r="C84" s="54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85" spans="1:3" x14ac:dyDescent="0.35">
      <c r="A85" s="40" t="str">
        <f>_xlfn.TEXTJOIN(" ",TRUE,Employees_Data[[#This Row],[First Name]],Employees_Data[[#This Row],[Last Name]])</f>
        <v>Muhamad Khayr</v>
      </c>
      <c r="B85" s="55">
        <v>2539</v>
      </c>
      <c r="C85" s="56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86" spans="1:3" x14ac:dyDescent="0.35">
      <c r="A86" s="36" t="str">
        <f>_xlfn.TEXTJOIN(" ",TRUE,Employees_Data[[#This Row],[First Name]],Employees_Data[[#This Row],[Last Name]])</f>
        <v>Abd Almalik Nazal</v>
      </c>
      <c r="B86" s="53">
        <v>2533</v>
      </c>
      <c r="C86" s="54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87" spans="1:3" x14ac:dyDescent="0.35">
      <c r="A87" s="40" t="str">
        <f>_xlfn.TEXTJOIN(" ",TRUE,Employees_Data[[#This Row],[First Name]],Employees_Data[[#This Row],[Last Name]])</f>
        <v>Rabya Kiwan</v>
      </c>
      <c r="B87" s="55">
        <v>885</v>
      </c>
      <c r="C87" s="56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88" spans="1:3" x14ac:dyDescent="0.35">
      <c r="A88" s="36" t="str">
        <f>_xlfn.TEXTJOIN(" ",TRUE,Employees_Data[[#This Row],[First Name]],Employees_Data[[#This Row],[Last Name]])</f>
        <v>Muhamad Khayr</v>
      </c>
      <c r="B88" s="53">
        <v>1166</v>
      </c>
      <c r="C88" s="54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89" spans="1:3" x14ac:dyDescent="0.35">
      <c r="A89" s="40" t="str">
        <f>_xlfn.TEXTJOIN(" ",TRUE,Employees_Data[[#This Row],[First Name]],Employees_Data[[#This Row],[Last Name]])</f>
        <v>Samah Almaydanii</v>
      </c>
      <c r="B89" s="55">
        <v>2022</v>
      </c>
      <c r="C89" s="56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90" spans="1:3" x14ac:dyDescent="0.35">
      <c r="A90" s="36" t="str">
        <f>_xlfn.TEXTJOIN(" ",TRUE,Employees_Data[[#This Row],[First Name]],Employees_Data[[#This Row],[Last Name]])</f>
        <v>Ali Watar</v>
      </c>
      <c r="B90" s="53">
        <v>1752</v>
      </c>
      <c r="C90" s="54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91" spans="1:3" x14ac:dyDescent="0.35">
      <c r="A91" s="40" t="str">
        <f>_xlfn.TEXTJOIN(" ",TRUE,Employees_Data[[#This Row],[First Name]],Employees_Data[[#This Row],[Last Name]])</f>
        <v>Darin Ghunum</v>
      </c>
      <c r="B91" s="55">
        <v>3157</v>
      </c>
      <c r="C91" s="56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92" spans="1:3" x14ac:dyDescent="0.35">
      <c r="A92" s="36" t="str">
        <f>_xlfn.TEXTJOIN(" ",TRUE,Employees_Data[[#This Row],[First Name]],Employees_Data[[#This Row],[Last Name]])</f>
        <v>Faras Alhamal</v>
      </c>
      <c r="B92" s="53">
        <v>3211</v>
      </c>
      <c r="C92" s="54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93" spans="1:3" x14ac:dyDescent="0.35">
      <c r="A93" s="40" t="str">
        <f>_xlfn.TEXTJOIN(" ",TRUE,Employees_Data[[#This Row],[First Name]],Employees_Data[[#This Row],[Last Name]])</f>
        <v>Amal Asamy</v>
      </c>
      <c r="B93" s="55">
        <v>1062</v>
      </c>
      <c r="C93" s="56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94" spans="1:3" x14ac:dyDescent="0.35">
      <c r="A94" s="36" t="str">
        <f>_xlfn.TEXTJOIN(" ",TRUE,Employees_Data[[#This Row],[First Name]],Employees_Data[[#This Row],[Last Name]])</f>
        <v>Razan AlAhmad</v>
      </c>
      <c r="B94" s="53">
        <v>1406</v>
      </c>
      <c r="C94" s="54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95" spans="1:3" x14ac:dyDescent="0.35">
      <c r="A95" s="40" t="str">
        <f>_xlfn.TEXTJOIN(" ",TRUE,Employees_Data[[#This Row],[First Name]],Employees_Data[[#This Row],[Last Name]])</f>
        <v>Muhamad Kharasah</v>
      </c>
      <c r="B95" s="55">
        <v>3084</v>
      </c>
      <c r="C95" s="56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96" spans="1:3" x14ac:dyDescent="0.35">
      <c r="A96" s="36" t="str">
        <f>_xlfn.TEXTJOIN(" ",TRUE,Employees_Data[[#This Row],[First Name]],Employees_Data[[#This Row],[Last Name]])</f>
        <v>Tariq Bryghl</v>
      </c>
      <c r="B96" s="53">
        <v>1815</v>
      </c>
      <c r="C96" s="54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97" spans="1:3" x14ac:dyDescent="0.35">
      <c r="A97" s="40" t="str">
        <f>_xlfn.TEXTJOIN(" ",TRUE,Employees_Data[[#This Row],[First Name]],Employees_Data[[#This Row],[Last Name]])</f>
        <v>Muhamad Husayn</v>
      </c>
      <c r="B97" s="55">
        <v>1861</v>
      </c>
      <c r="C97" s="56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98" spans="1:3" x14ac:dyDescent="0.35">
      <c r="A98" s="36" t="str">
        <f>_xlfn.TEXTJOIN(" ",TRUE,Employees_Data[[#This Row],[First Name]],Employees_Data[[#This Row],[Last Name]])</f>
        <v>Fadi Aleid</v>
      </c>
      <c r="B98" s="53">
        <v>3088</v>
      </c>
      <c r="C98" s="54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99" spans="1:3" x14ac:dyDescent="0.35">
      <c r="A99" s="40" t="str">
        <f>_xlfn.TEXTJOIN(" ",TRUE,Employees_Data[[#This Row],[First Name]],Employees_Data[[#This Row],[Last Name]])</f>
        <v>Tariq Abuzahir</v>
      </c>
      <c r="B99" s="55">
        <v>3071</v>
      </c>
      <c r="C99" s="56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100" spans="1:3" x14ac:dyDescent="0.35">
      <c r="A100" s="36" t="str">
        <f>_xlfn.TEXTJOIN(" ",TRUE,Employees_Data[[#This Row],[First Name]],Employees_Data[[#This Row],[Last Name]])</f>
        <v>Mazin Eubayd</v>
      </c>
      <c r="B100" s="53">
        <v>3298</v>
      </c>
      <c r="C100" s="54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101" spans="1:3" x14ac:dyDescent="0.35">
      <c r="A101" s="40" t="str">
        <f>_xlfn.TEXTJOIN(" ",TRUE,Employees_Data[[#This Row],[First Name]],Employees_Data[[#This Row],[Last Name]])</f>
        <v>Lina Aljabr</v>
      </c>
      <c r="B101" s="55">
        <v>828</v>
      </c>
      <c r="C101" s="56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102" spans="1:3" x14ac:dyDescent="0.35">
      <c r="A102" s="36" t="str">
        <f>_xlfn.TEXTJOIN(" ",TRUE,Employees_Data[[#This Row],[First Name]],Employees_Data[[#This Row],[Last Name]])</f>
        <v>Muhamad Ayman</v>
      </c>
      <c r="B102" s="53">
        <v>2404</v>
      </c>
      <c r="C102" s="54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103" spans="1:3" x14ac:dyDescent="0.35">
      <c r="A103" s="40" t="str">
        <f>_xlfn.TEXTJOIN(" ",TRUE,Employees_Data[[#This Row],[First Name]],Employees_Data[[#This Row],[Last Name]])</f>
        <v>Ayman Muhamad</v>
      </c>
      <c r="B103" s="55">
        <v>3410</v>
      </c>
      <c r="C103" s="56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104" spans="1:3" x14ac:dyDescent="0.35">
      <c r="A104" s="36" t="str">
        <f>_xlfn.TEXTJOIN(" ",TRUE,Employees_Data[[#This Row],[First Name]],Employees_Data[[#This Row],[Last Name]])</f>
        <v>Ahmad Abu Eadlh</v>
      </c>
      <c r="B104" s="53">
        <v>1817</v>
      </c>
      <c r="C104" s="54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105" spans="1:3" x14ac:dyDescent="0.35">
      <c r="A105" s="40" t="str">
        <f>_xlfn.TEXTJOIN(" ",TRUE,Employees_Data[[#This Row],[First Name]],Employees_Data[[#This Row],[Last Name]])</f>
        <v>Rami Abu Adhan</v>
      </c>
      <c r="B105" s="55">
        <v>2923</v>
      </c>
      <c r="C105" s="56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106" spans="1:3" x14ac:dyDescent="0.35">
      <c r="A106" s="36" t="str">
        <f>_xlfn.TEXTJOIN(" ",TRUE,Employees_Data[[#This Row],[First Name]],Employees_Data[[#This Row],[Last Name]])</f>
        <v>Muhamad Hamzat</v>
      </c>
      <c r="B106" s="53">
        <v>3138</v>
      </c>
      <c r="C106" s="54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107" spans="1:3" x14ac:dyDescent="0.35">
      <c r="A107" s="40" t="str">
        <f>_xlfn.TEXTJOIN(" ",TRUE,Employees_Data[[#This Row],[First Name]],Employees_Data[[#This Row],[Last Name]])</f>
        <v>Ehab Alkhibaz</v>
      </c>
      <c r="B107" s="55">
        <v>3139</v>
      </c>
      <c r="C107" s="56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108" spans="1:3" x14ac:dyDescent="0.35">
      <c r="A108" s="36" t="str">
        <f>_xlfn.TEXTJOIN(" ",TRUE,Employees_Data[[#This Row],[First Name]],Employees_Data[[#This Row],[Last Name]])</f>
        <v>Ibrahim Nabulsi</v>
      </c>
      <c r="B108" s="53">
        <v>3263</v>
      </c>
      <c r="C108" s="54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109" spans="1:3" x14ac:dyDescent="0.35">
      <c r="A109" s="40" t="str">
        <f>_xlfn.TEXTJOIN(" ",TRUE,Employees_Data[[#This Row],[First Name]],Employees_Data[[#This Row],[Last Name]])</f>
        <v>Ranya Salah Aldiyn</v>
      </c>
      <c r="B109" s="55">
        <v>1258</v>
      </c>
      <c r="C109" s="56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110" spans="1:3" x14ac:dyDescent="0.35">
      <c r="A110" s="36" t="str">
        <f>_xlfn.TEXTJOIN(" ",TRUE,Employees_Data[[#This Row],[First Name]],Employees_Data[[#This Row],[Last Name]])</f>
        <v>Juri Zaytun</v>
      </c>
      <c r="B110" s="53">
        <v>2527</v>
      </c>
      <c r="C110" s="54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111" spans="1:3" x14ac:dyDescent="0.35">
      <c r="A111" s="40" t="str">
        <f>_xlfn.TEXTJOIN(" ",TRUE,Employees_Data[[#This Row],[First Name]],Employees_Data[[#This Row],[Last Name]])</f>
        <v>Sahar Almuhamad</v>
      </c>
      <c r="B111" s="55">
        <v>3017</v>
      </c>
      <c r="C111" s="56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112" spans="1:3" x14ac:dyDescent="0.35">
      <c r="A112" s="36" t="str">
        <f>_xlfn.TEXTJOIN(" ",TRUE,Employees_Data[[#This Row],[First Name]],Employees_Data[[#This Row],[Last Name]])</f>
        <v>Mari Ayly</v>
      </c>
      <c r="B112" s="53">
        <v>1639</v>
      </c>
      <c r="C112" s="54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113" spans="1:3" x14ac:dyDescent="0.35">
      <c r="A113" s="40" t="str">
        <f>_xlfn.TEXTJOIN(" ",TRUE,Employees_Data[[#This Row],[First Name]],Employees_Data[[#This Row],[Last Name]])</f>
        <v>Ali Alhuri</v>
      </c>
      <c r="B113" s="55">
        <v>1867</v>
      </c>
      <c r="C113" s="56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114" spans="1:3" x14ac:dyDescent="0.35">
      <c r="A114" s="36" t="str">
        <f>_xlfn.TEXTJOIN(" ",TRUE,Employees_Data[[#This Row],[First Name]],Employees_Data[[#This Row],[Last Name]])</f>
        <v>Dania Almala</v>
      </c>
      <c r="B114" s="53">
        <v>2314</v>
      </c>
      <c r="C114" s="54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115" spans="1:3" x14ac:dyDescent="0.35">
      <c r="A115" s="40" t="str">
        <f>_xlfn.TEXTJOIN(" ",TRUE,Employees_Data[[#This Row],[First Name]],Employees_Data[[#This Row],[Last Name]])</f>
        <v>Rym Alsydawi</v>
      </c>
      <c r="B115" s="55">
        <v>2679</v>
      </c>
      <c r="C115" s="56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116" spans="1:3" x14ac:dyDescent="0.35">
      <c r="A116" s="36" t="str">
        <f>_xlfn.TEXTJOIN(" ",TRUE,Employees_Data[[#This Row],[First Name]],Employees_Data[[#This Row],[Last Name]])</f>
        <v>Mahir Alshear</v>
      </c>
      <c r="B116" s="53">
        <v>3166</v>
      </c>
      <c r="C116" s="54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117" spans="1:3" x14ac:dyDescent="0.35">
      <c r="A117" s="40" t="str">
        <f>_xlfn.TEXTJOIN(" ",TRUE,Employees_Data[[#This Row],[First Name]],Employees_Data[[#This Row],[Last Name]])</f>
        <v>Ibrahim Alhamid</v>
      </c>
      <c r="B117" s="55">
        <v>2429</v>
      </c>
      <c r="C117" s="56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118" spans="1:3" x14ac:dyDescent="0.35">
      <c r="A118" s="36" t="str">
        <f>_xlfn.TEXTJOIN(" ",TRUE,Employees_Data[[#This Row],[First Name]],Employees_Data[[#This Row],[Last Name]])</f>
        <v>Muhamad Alkhayr</v>
      </c>
      <c r="B118" s="53">
        <v>1865</v>
      </c>
      <c r="C118" s="54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119" spans="1:3" x14ac:dyDescent="0.35">
      <c r="A119" s="40" t="str">
        <f>_xlfn.TEXTJOIN(" ",TRUE,Employees_Data[[#This Row],[First Name]],Employees_Data[[#This Row],[Last Name]])</f>
        <v>Muhamad Bashshar</v>
      </c>
      <c r="B119" s="55">
        <v>868</v>
      </c>
      <c r="C119" s="56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120" spans="1:3" x14ac:dyDescent="0.35">
      <c r="A120" s="36" t="str">
        <f>_xlfn.TEXTJOIN(" ",TRUE,Employees_Data[[#This Row],[First Name]],Employees_Data[[#This Row],[Last Name]])</f>
        <v>Muhamad Jhad</v>
      </c>
      <c r="B120" s="53">
        <v>3411</v>
      </c>
      <c r="C120" s="54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121" spans="1:3" x14ac:dyDescent="0.35">
      <c r="A121" s="40" t="str">
        <f>_xlfn.TEXTJOIN(" ",TRUE,Employees_Data[[#This Row],[First Name]],Employees_Data[[#This Row],[Last Name]])</f>
        <v>Limays Ghrz</v>
      </c>
      <c r="B121" s="55">
        <v>3324</v>
      </c>
      <c r="C121" s="56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122" spans="1:3" x14ac:dyDescent="0.35">
      <c r="A122" s="36" t="str">
        <f>_xlfn.TEXTJOIN(" ",TRUE,Employees_Data[[#This Row],[First Name]],Employees_Data[[#This Row],[Last Name]])</f>
        <v>Zaydun Jabir</v>
      </c>
      <c r="B122" s="53">
        <v>2715</v>
      </c>
      <c r="C122" s="54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123" spans="1:3" x14ac:dyDescent="0.35">
      <c r="A123" s="40" t="str">
        <f>_xlfn.TEXTJOIN(" ",TRUE,Employees_Data[[#This Row],[First Name]],Employees_Data[[#This Row],[Last Name]])</f>
        <v>Fatima Zaetar</v>
      </c>
      <c r="B123" s="55">
        <v>2664</v>
      </c>
      <c r="C123" s="56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124" spans="1:3" x14ac:dyDescent="0.35">
      <c r="A124" s="36" t="str">
        <f>_xlfn.TEXTJOIN(" ",TRUE,Employees_Data[[#This Row],[First Name]],Employees_Data[[#This Row],[Last Name]])</f>
        <v>Tariq Shakir</v>
      </c>
      <c r="B124" s="53">
        <v>1801</v>
      </c>
      <c r="C124" s="54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125" spans="1:3" x14ac:dyDescent="0.35">
      <c r="A125" s="40" t="str">
        <f>_xlfn.TEXTJOIN(" ",TRUE,Employees_Data[[#This Row],[First Name]],Employees_Data[[#This Row],[Last Name]])</f>
        <v>Ruyda Alhamadii</v>
      </c>
      <c r="B125" s="55">
        <v>1452</v>
      </c>
      <c r="C125" s="56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126" spans="1:3" x14ac:dyDescent="0.35">
      <c r="A126" s="36" t="str">
        <f>_xlfn.TEXTJOIN(" ",TRUE,Employees_Data[[#This Row],[First Name]],Employees_Data[[#This Row],[Last Name]])</f>
        <v>Anwar Almaseud</v>
      </c>
      <c r="B126" s="53">
        <v>2358</v>
      </c>
      <c r="C126" s="54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127" spans="1:3" x14ac:dyDescent="0.35">
      <c r="A127" s="40" t="str">
        <f>_xlfn.TEXTJOIN(" ",TRUE,Employees_Data[[#This Row],[First Name]],Employees_Data[[#This Row],[Last Name]])</f>
        <v>Fayaruz Sabih</v>
      </c>
      <c r="B127" s="55">
        <v>784</v>
      </c>
      <c r="C127" s="56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128" spans="1:3" x14ac:dyDescent="0.35">
      <c r="A128" s="36" t="str">
        <f>_xlfn.TEXTJOIN(" ",TRUE,Employees_Data[[#This Row],[First Name]],Employees_Data[[#This Row],[Last Name]])</f>
        <v>Jwny Alrashid</v>
      </c>
      <c r="B128" s="53">
        <v>1423</v>
      </c>
      <c r="C128" s="54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129" spans="1:3" x14ac:dyDescent="0.35">
      <c r="A129" s="40" t="str">
        <f>_xlfn.TEXTJOIN(" ",TRUE,Employees_Data[[#This Row],[First Name]],Employees_Data[[#This Row],[Last Name]])</f>
        <v>Karam Kiali</v>
      </c>
      <c r="B129" s="55">
        <v>2174</v>
      </c>
      <c r="C129" s="56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130" spans="1:3" x14ac:dyDescent="0.35">
      <c r="A130" s="36" t="str">
        <f>_xlfn.TEXTJOIN(" ",TRUE,Employees_Data[[#This Row],[First Name]],Employees_Data[[#This Row],[Last Name]])</f>
        <v>Jamal Alhalib</v>
      </c>
      <c r="B130" s="53">
        <v>2182</v>
      </c>
      <c r="C130" s="54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131" spans="1:3" x14ac:dyDescent="0.35">
      <c r="A131" s="40" t="str">
        <f>_xlfn.TEXTJOIN(" ",TRUE,Employees_Data[[#This Row],[First Name]],Employees_Data[[#This Row],[Last Name]])</f>
        <v>Suzan Alsawis</v>
      </c>
      <c r="B131" s="55">
        <v>2437</v>
      </c>
      <c r="C131" s="56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132" spans="1:3" x14ac:dyDescent="0.35">
      <c r="A132" s="36" t="str">
        <f>_xlfn.TEXTJOIN(" ",TRUE,Employees_Data[[#This Row],[First Name]],Employees_Data[[#This Row],[Last Name]])</f>
        <v>Alaa Efan</v>
      </c>
      <c r="B132" s="53">
        <v>926</v>
      </c>
      <c r="C132" s="54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133" spans="1:3" x14ac:dyDescent="0.35">
      <c r="A133" s="40" t="str">
        <f>_xlfn.TEXTJOIN(" ",TRUE,Employees_Data[[#This Row],[First Name]],Employees_Data[[#This Row],[Last Name]])</f>
        <v>Jihad Aldarawasha</v>
      </c>
      <c r="B133" s="55">
        <v>1506</v>
      </c>
      <c r="C133" s="56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134" spans="1:3" x14ac:dyDescent="0.35">
      <c r="A134" s="36" t="str">
        <f>_xlfn.TEXTJOIN(" ",TRUE,Employees_Data[[#This Row],[First Name]],Employees_Data[[#This Row],[Last Name]])</f>
        <v>Muhamad Khalid</v>
      </c>
      <c r="B134" s="53">
        <v>3159</v>
      </c>
      <c r="C134" s="54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135" spans="1:3" x14ac:dyDescent="0.35">
      <c r="A135" s="40" t="str">
        <f>_xlfn.TEXTJOIN(" ",TRUE,Employees_Data[[#This Row],[First Name]],Employees_Data[[#This Row],[Last Name]])</f>
        <v>Haithim Hujah</v>
      </c>
      <c r="B135" s="55">
        <v>1117</v>
      </c>
      <c r="C135" s="56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136" spans="1:3" x14ac:dyDescent="0.35">
      <c r="A136" s="36" t="str">
        <f>_xlfn.TEXTJOIN(" ",TRUE,Employees_Data[[#This Row],[First Name]],Employees_Data[[#This Row],[Last Name]])</f>
        <v>Duhana Alakhris</v>
      </c>
      <c r="B136" s="53">
        <v>2379</v>
      </c>
      <c r="C136" s="54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137" spans="1:3" x14ac:dyDescent="0.35">
      <c r="A137" s="40" t="str">
        <f>_xlfn.TEXTJOIN(" ",TRUE,Employees_Data[[#This Row],[First Name]],Employees_Data[[#This Row],[Last Name]])</f>
        <v>Eazalidin Almala</v>
      </c>
      <c r="B137" s="55">
        <v>2372</v>
      </c>
      <c r="C137" s="56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138" spans="1:3" x14ac:dyDescent="0.35">
      <c r="A138" s="36" t="str">
        <f>_xlfn.TEXTJOIN(" ",TRUE,Employees_Data[[#This Row],[First Name]],Employees_Data[[#This Row],[Last Name]])</f>
        <v>Habib Klizli</v>
      </c>
      <c r="B138" s="53">
        <v>2908</v>
      </c>
      <c r="C138" s="54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139" spans="1:3" x14ac:dyDescent="0.35">
      <c r="A139" s="40" t="str">
        <f>_xlfn.TEXTJOIN(" ",TRUE,Employees_Data[[#This Row],[First Name]],Employees_Data[[#This Row],[Last Name]])</f>
        <v>Rasha Bajubuj</v>
      </c>
      <c r="B139" s="55">
        <v>2019</v>
      </c>
      <c r="C139" s="56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140" spans="1:3" x14ac:dyDescent="0.35">
      <c r="A140" s="36" t="str">
        <f>_xlfn.TEXTJOIN(" ",TRUE,Employees_Data[[#This Row],[First Name]],Employees_Data[[#This Row],[Last Name]])</f>
        <v>Mahir Albaghdadi</v>
      </c>
      <c r="B140" s="53">
        <v>877</v>
      </c>
      <c r="C140" s="54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141" spans="1:3" x14ac:dyDescent="0.35">
      <c r="A141" s="40" t="str">
        <f>_xlfn.TEXTJOIN(" ",TRUE,Employees_Data[[#This Row],[First Name]],Employees_Data[[#This Row],[Last Name]])</f>
        <v>Alaa Almunzilijiu</v>
      </c>
      <c r="B141" s="55">
        <v>1043</v>
      </c>
      <c r="C141" s="56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142" spans="1:3" x14ac:dyDescent="0.35">
      <c r="A142" s="36" t="str">
        <f>_xlfn.TEXTJOIN(" ",TRUE,Employees_Data[[#This Row],[First Name]],Employees_Data[[#This Row],[Last Name]])</f>
        <v>Labanaa Qaziyha</v>
      </c>
      <c r="B142" s="53">
        <v>3258</v>
      </c>
      <c r="C142" s="54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143" spans="1:3" x14ac:dyDescent="0.35">
      <c r="A143" s="40" t="str">
        <f>_xlfn.TEXTJOIN(" ",TRUE,Employees_Data[[#This Row],[First Name]],Employees_Data[[#This Row],[Last Name]])</f>
        <v>Fatnh Abu</v>
      </c>
      <c r="B143" s="55">
        <v>976</v>
      </c>
      <c r="C143" s="56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144" spans="1:3" x14ac:dyDescent="0.35">
      <c r="A144" s="36" t="str">
        <f>_xlfn.TEXTJOIN(" ",TRUE,Employees_Data[[#This Row],[First Name]],Employees_Data[[#This Row],[Last Name]])</f>
        <v>Iilyas Dahadal</v>
      </c>
      <c r="B144" s="53">
        <v>3096</v>
      </c>
      <c r="C144" s="54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145" spans="1:3" x14ac:dyDescent="0.35">
      <c r="A145" s="40" t="str">
        <f>_xlfn.TEXTJOIN(" ",TRUE,Employees_Data[[#This Row],[First Name]],Employees_Data[[#This Row],[Last Name]])</f>
        <v>Rim Huaydi</v>
      </c>
      <c r="B145" s="55">
        <v>1985</v>
      </c>
      <c r="C145" s="56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146" spans="1:3" x14ac:dyDescent="0.35">
      <c r="A146" s="36" t="str">
        <f>_xlfn.TEXTJOIN(" ",TRUE,Employees_Data[[#This Row],[First Name]],Employees_Data[[#This Row],[Last Name]])</f>
        <v>Ahmad Muhamad</v>
      </c>
      <c r="B146" s="53">
        <v>2371</v>
      </c>
      <c r="C146" s="54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147" spans="1:3" x14ac:dyDescent="0.35">
      <c r="A147" s="40" t="str">
        <f>_xlfn.TEXTJOIN(" ",TRUE,Employees_Data[[#This Row],[First Name]],Employees_Data[[#This Row],[Last Name]])</f>
        <v>Abd Alruhmin Almahrus</v>
      </c>
      <c r="B147" s="55">
        <v>2562</v>
      </c>
      <c r="C147" s="56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148" spans="1:3" x14ac:dyDescent="0.35">
      <c r="A148" s="36" t="str">
        <f>_xlfn.TEXTJOIN(" ",TRUE,Employees_Data[[#This Row],[First Name]],Employees_Data[[#This Row],[Last Name]])</f>
        <v>Biaism Tyzry</v>
      </c>
      <c r="B148" s="53">
        <v>1254</v>
      </c>
      <c r="C148" s="54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149" spans="1:3" x14ac:dyDescent="0.35">
      <c r="A149" s="40" t="str">
        <f>_xlfn.TEXTJOIN(" ",TRUE,Employees_Data[[#This Row],[First Name]],Employees_Data[[#This Row],[Last Name]])</f>
        <v>Omar Milatu</v>
      </c>
      <c r="B149" s="55">
        <v>793</v>
      </c>
      <c r="C149" s="56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150" spans="1:3" x14ac:dyDescent="0.35">
      <c r="A150" s="36" t="str">
        <f>_xlfn.TEXTJOIN(" ",TRUE,Employees_Data[[#This Row],[First Name]],Employees_Data[[#This Row],[Last Name]])</f>
        <v>Alyida Nieamah</v>
      </c>
      <c r="B150" s="53">
        <v>2416</v>
      </c>
      <c r="C150" s="54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151" spans="1:3" x14ac:dyDescent="0.35">
      <c r="A151" s="40" t="str">
        <f>_xlfn.TEXTJOIN(" ",TRUE,Employees_Data[[#This Row],[First Name]],Employees_Data[[#This Row],[Last Name]])</f>
        <v>Kamal Hajl</v>
      </c>
      <c r="B151" s="55">
        <v>822</v>
      </c>
      <c r="C151" s="56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152" spans="1:3" x14ac:dyDescent="0.35">
      <c r="A152" s="36" t="str">
        <f>_xlfn.TEXTJOIN(" ",TRUE,Employees_Data[[#This Row],[First Name]],Employees_Data[[#This Row],[Last Name]])</f>
        <v>Amjad Naghnagh</v>
      </c>
      <c r="B152" s="53">
        <v>1442</v>
      </c>
      <c r="C152" s="54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153" spans="1:3" x14ac:dyDescent="0.35">
      <c r="A153" s="40" t="str">
        <f>_xlfn.TEXTJOIN(" ",TRUE,Employees_Data[[#This Row],[First Name]],Employees_Data[[#This Row],[Last Name]])</f>
        <v>Iin Qisi</v>
      </c>
      <c r="B153" s="55">
        <v>887</v>
      </c>
      <c r="C153" s="56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154" spans="1:3" x14ac:dyDescent="0.35">
      <c r="A154" s="36" t="str">
        <f>_xlfn.TEXTJOIN(" ",TRUE,Employees_Data[[#This Row],[First Name]],Employees_Data[[#This Row],[Last Name]])</f>
        <v>Basmah Alhabis</v>
      </c>
      <c r="B154" s="53">
        <v>1671</v>
      </c>
      <c r="C154" s="54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155" spans="1:3" x14ac:dyDescent="0.35">
      <c r="A155" s="40" t="str">
        <f>_xlfn.TEXTJOIN(" ",TRUE,Employees_Data[[#This Row],[First Name]],Employees_Data[[#This Row],[Last Name]])</f>
        <v>Eala Dahbur</v>
      </c>
      <c r="B155" s="55">
        <v>1877</v>
      </c>
      <c r="C155" s="56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156" spans="1:3" x14ac:dyDescent="0.35">
      <c r="A156" s="36" t="str">
        <f>_xlfn.TEXTJOIN(" ",TRUE,Employees_Data[[#This Row],[First Name]],Employees_Data[[#This Row],[Last Name]])</f>
        <v>Rwbyna Iibrahim</v>
      </c>
      <c r="B156" s="53">
        <v>1960</v>
      </c>
      <c r="C156" s="54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157" spans="1:3" x14ac:dyDescent="0.35">
      <c r="A157" s="40" t="str">
        <f>_xlfn.TEXTJOIN(" ",TRUE,Employees_Data[[#This Row],[First Name]],Employees_Data[[#This Row],[Last Name]])</f>
        <v>Tariq Salim</v>
      </c>
      <c r="B157" s="55">
        <v>2422</v>
      </c>
      <c r="C157" s="56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158" spans="1:3" x14ac:dyDescent="0.35">
      <c r="A158" s="36" t="str">
        <f>_xlfn.TEXTJOIN(" ",TRUE,Employees_Data[[#This Row],[First Name]],Employees_Data[[#This Row],[Last Name]])</f>
        <v>Basimah Sybea</v>
      </c>
      <c r="B158" s="53">
        <v>1299</v>
      </c>
      <c r="C158" s="54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159" spans="1:3" x14ac:dyDescent="0.35">
      <c r="A159" s="40" t="str">
        <f>_xlfn.TEXTJOIN(" ",TRUE,Employees_Data[[#This Row],[First Name]],Employees_Data[[#This Row],[Last Name]])</f>
        <v>Zunar Eali</v>
      </c>
      <c r="B159" s="55">
        <v>2127</v>
      </c>
      <c r="C159" s="56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160" spans="1:3" x14ac:dyDescent="0.35">
      <c r="A160" s="36" t="str">
        <f>_xlfn.TEXTJOIN(" ",TRUE,Employees_Data[[#This Row],[First Name]],Employees_Data[[#This Row],[Last Name]])</f>
        <v>Rim Mia</v>
      </c>
      <c r="B160" s="53">
        <v>3096</v>
      </c>
      <c r="C160" s="54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161" spans="1:3" x14ac:dyDescent="0.35">
      <c r="A161" s="40" t="str">
        <f>_xlfn.TEXTJOIN(" ",TRUE,Employees_Data[[#This Row],[First Name]],Employees_Data[[#This Row],[Last Name]])</f>
        <v>Lana Alhabash</v>
      </c>
      <c r="B161" s="55">
        <v>951</v>
      </c>
      <c r="C161" s="56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162" spans="1:3" x14ac:dyDescent="0.35">
      <c r="A162" s="36" t="str">
        <f>_xlfn.TEXTJOIN(" ",TRUE,Employees_Data[[#This Row],[First Name]],Employees_Data[[#This Row],[Last Name]])</f>
        <v>Muhamad Alshghry</v>
      </c>
      <c r="B162" s="53">
        <v>2940</v>
      </c>
      <c r="C162" s="54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163" spans="1:3" x14ac:dyDescent="0.35">
      <c r="A163" s="40" t="str">
        <f>_xlfn.TEXTJOIN(" ",TRUE,Employees_Data[[#This Row],[First Name]],Employees_Data[[#This Row],[Last Name]])</f>
        <v>Ghazal Hisan</v>
      </c>
      <c r="B163" s="55">
        <v>3293</v>
      </c>
      <c r="C163" s="56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164" spans="1:3" x14ac:dyDescent="0.35">
      <c r="A164" s="36" t="str">
        <f>_xlfn.TEXTJOIN(" ",TRUE,Employees_Data[[#This Row],[First Name]],Employees_Data[[#This Row],[Last Name]])</f>
        <v>Khalil Alzaebii</v>
      </c>
      <c r="B164" s="53">
        <v>3250</v>
      </c>
      <c r="C164" s="54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165" spans="1:3" x14ac:dyDescent="0.35">
      <c r="A165" s="40" t="str">
        <f>_xlfn.TEXTJOIN(" ",TRUE,Employees_Data[[#This Row],[First Name]],Employees_Data[[#This Row],[Last Name]])</f>
        <v>Samir Shalish</v>
      </c>
      <c r="B165" s="55">
        <v>2085</v>
      </c>
      <c r="C165" s="56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166" spans="1:3" x14ac:dyDescent="0.35">
      <c r="A166" s="36" t="str">
        <f>_xlfn.TEXTJOIN(" ",TRUE,Employees_Data[[#This Row],[First Name]],Employees_Data[[#This Row],[Last Name]])</f>
        <v>Abdalmjid Ahmad</v>
      </c>
      <c r="B166" s="53">
        <v>1578</v>
      </c>
      <c r="C166" s="54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167" spans="1:3" x14ac:dyDescent="0.35">
      <c r="A167" s="40" t="str">
        <f>_xlfn.TEXTJOIN(" ",TRUE,Employees_Data[[#This Row],[First Name]],Employees_Data[[#This Row],[Last Name]])</f>
        <v>Emar Abil</v>
      </c>
      <c r="B167" s="55">
        <v>1169</v>
      </c>
      <c r="C167" s="56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168" spans="1:3" x14ac:dyDescent="0.35">
      <c r="A168" s="36" t="str">
        <f>_xlfn.TEXTJOIN(" ",TRUE,Employees_Data[[#This Row],[First Name]],Employees_Data[[#This Row],[Last Name]])</f>
        <v>Lamia Warur</v>
      </c>
      <c r="B168" s="53">
        <v>1054</v>
      </c>
      <c r="C168" s="54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169" spans="1:3" x14ac:dyDescent="0.35">
      <c r="A169" s="40" t="str">
        <f>_xlfn.TEXTJOIN(" ",TRUE,Employees_Data[[#This Row],[First Name]],Employees_Data[[#This Row],[Last Name]])</f>
        <v>Fyfian Abu</v>
      </c>
      <c r="B169" s="55">
        <v>1349</v>
      </c>
      <c r="C169" s="56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170" spans="1:3" x14ac:dyDescent="0.35">
      <c r="A170" s="36" t="str">
        <f>_xlfn.TEXTJOIN(" ",TRUE,Employees_Data[[#This Row],[First Name]],Employees_Data[[#This Row],[Last Name]])</f>
        <v>Majd Yasin</v>
      </c>
      <c r="B170" s="53">
        <v>2196</v>
      </c>
      <c r="C170" s="54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171" spans="1:3" x14ac:dyDescent="0.35">
      <c r="A171" s="40" t="str">
        <f>_xlfn.TEXTJOIN(" ",TRUE,Employees_Data[[#This Row],[First Name]],Employees_Data[[#This Row],[Last Name]])</f>
        <v>Alaa Almisri</v>
      </c>
      <c r="B171" s="55">
        <v>3264</v>
      </c>
      <c r="C171" s="56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172" spans="1:3" x14ac:dyDescent="0.35">
      <c r="A172" s="36" t="str">
        <f>_xlfn.TEXTJOIN(" ",TRUE,Employees_Data[[#This Row],[First Name]],Employees_Data[[#This Row],[Last Name]])</f>
        <v>Muhamad Amir</v>
      </c>
      <c r="B172" s="53">
        <v>1232</v>
      </c>
      <c r="C172" s="54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173" spans="1:3" x14ac:dyDescent="0.35">
      <c r="A173" s="40" t="str">
        <f>_xlfn.TEXTJOIN(" ",TRUE,Employees_Data[[#This Row],[First Name]],Employees_Data[[#This Row],[Last Name]])</f>
        <v>Lilas Balatah</v>
      </c>
      <c r="B173" s="55">
        <v>2401</v>
      </c>
      <c r="C173" s="56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174" spans="1:3" x14ac:dyDescent="0.35">
      <c r="A174" s="36" t="str">
        <f>_xlfn.TEXTJOIN(" ",TRUE,Employees_Data[[#This Row],[First Name]],Employees_Data[[#This Row],[Last Name]])</f>
        <v>Ruaa Mukiin</v>
      </c>
      <c r="B174" s="53">
        <v>3168</v>
      </c>
      <c r="C174" s="54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175" spans="1:3" x14ac:dyDescent="0.35">
      <c r="A175" s="40" t="str">
        <f>_xlfn.TEXTJOIN(" ",TRUE,Employees_Data[[#This Row],[First Name]],Employees_Data[[#This Row],[Last Name]])</f>
        <v>Rana Shaeban</v>
      </c>
      <c r="B175" s="55">
        <v>1620</v>
      </c>
      <c r="C175" s="56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176" spans="1:3" x14ac:dyDescent="0.35">
      <c r="A176" s="36" t="str">
        <f>_xlfn.TEXTJOIN(" ",TRUE,Employees_Data[[#This Row],[First Name]],Employees_Data[[#This Row],[Last Name]])</f>
        <v>Muwmin Ewad</v>
      </c>
      <c r="B176" s="53">
        <v>1482</v>
      </c>
      <c r="C176" s="54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177" spans="1:3" x14ac:dyDescent="0.35">
      <c r="A177" s="40" t="str">
        <f>_xlfn.TEXTJOIN(" ",TRUE,Employees_Data[[#This Row],[First Name]],Employees_Data[[#This Row],[Last Name]])</f>
        <v>Rahaf Alaleppoy</v>
      </c>
      <c r="B177" s="55">
        <v>1967</v>
      </c>
      <c r="C177" s="56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178" spans="1:3" x14ac:dyDescent="0.35">
      <c r="A178" s="36" t="str">
        <f>_xlfn.TEXTJOIN(" ",TRUE,Employees_Data[[#This Row],[First Name]],Employees_Data[[#This Row],[Last Name]])</f>
        <v>Samiah Alsaedi</v>
      </c>
      <c r="B178" s="53">
        <v>1696</v>
      </c>
      <c r="C178" s="54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179" spans="1:3" x14ac:dyDescent="0.35">
      <c r="A179" s="40" t="str">
        <f>_xlfn.TEXTJOIN(" ",TRUE,Employees_Data[[#This Row],[First Name]],Employees_Data[[#This Row],[Last Name]])</f>
        <v>Rim Hamdu</v>
      </c>
      <c r="B179" s="55">
        <v>2913</v>
      </c>
      <c r="C179" s="56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180" spans="1:3" x14ac:dyDescent="0.35">
      <c r="A180" s="36" t="str">
        <f>_xlfn.TEXTJOIN(" ",TRUE,Employees_Data[[#This Row],[First Name]],Employees_Data[[#This Row],[Last Name]])</f>
        <v>Aishah Alquatliu</v>
      </c>
      <c r="B180" s="53">
        <v>2068</v>
      </c>
      <c r="C180" s="54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181" spans="1:3" x14ac:dyDescent="0.35">
      <c r="A181" s="40" t="str">
        <f>_xlfn.TEXTJOIN(" ",TRUE,Employees_Data[[#This Row],[First Name]],Employees_Data[[#This Row],[Last Name]])</f>
        <v>Dany Albaba</v>
      </c>
      <c r="B181" s="55">
        <v>1430</v>
      </c>
      <c r="C181" s="56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182" spans="1:3" x14ac:dyDescent="0.35">
      <c r="A182" s="36" t="str">
        <f>_xlfn.TEXTJOIN(" ",TRUE,Employees_Data[[#This Row],[First Name]],Employees_Data[[#This Row],[Last Name]])</f>
        <v>Muhamad Rinkusi</v>
      </c>
      <c r="B182" s="53">
        <v>3138</v>
      </c>
      <c r="C182" s="54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183" spans="1:3" x14ac:dyDescent="0.35">
      <c r="A183" s="40" t="str">
        <f>_xlfn.TEXTJOIN(" ",TRUE,Employees_Data[[#This Row],[First Name]],Employees_Data[[#This Row],[Last Name]])</f>
        <v>Isam Jadid</v>
      </c>
      <c r="B183" s="55">
        <v>2051</v>
      </c>
      <c r="C183" s="56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184" spans="1:3" x14ac:dyDescent="0.35">
      <c r="A184" s="36" t="str">
        <f>_xlfn.TEXTJOIN(" ",TRUE,Employees_Data[[#This Row],[First Name]],Employees_Data[[#This Row],[Last Name]])</f>
        <v>Bushraa Drwysh</v>
      </c>
      <c r="B184" s="53">
        <v>2986</v>
      </c>
      <c r="C184" s="54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185" spans="1:3" x14ac:dyDescent="0.35">
      <c r="A185" s="40" t="str">
        <f>_xlfn.TEXTJOIN(" ",TRUE,Employees_Data[[#This Row],[First Name]],Employees_Data[[#This Row],[Last Name]])</f>
        <v>Zakarian Rashwani</v>
      </c>
      <c r="B185" s="55">
        <v>2790</v>
      </c>
      <c r="C185" s="56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186" spans="1:3" x14ac:dyDescent="0.35">
      <c r="A186" s="36" t="str">
        <f>_xlfn.TEXTJOIN(" ",TRUE,Employees_Data[[#This Row],[First Name]],Employees_Data[[#This Row],[Last Name]])</f>
        <v>Fadi Alqadi</v>
      </c>
      <c r="B186" s="53">
        <v>1075</v>
      </c>
      <c r="C186" s="54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187" spans="1:3" x14ac:dyDescent="0.35">
      <c r="A187" s="40" t="str">
        <f>_xlfn.TEXTJOIN(" ",TRUE,Employees_Data[[#This Row],[First Name]],Employees_Data[[#This Row],[Last Name]])</f>
        <v>Diea Almarstani</v>
      </c>
      <c r="B187" s="55">
        <v>2009</v>
      </c>
      <c r="C187" s="56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188" spans="1:3" x14ac:dyDescent="0.35">
      <c r="A188" s="36" t="str">
        <f>_xlfn.TEXTJOIN(" ",TRUE,Employees_Data[[#This Row],[First Name]],Employees_Data[[#This Row],[Last Name]])</f>
        <v>Muhamad Siedih</v>
      </c>
      <c r="B188" s="53">
        <v>3254</v>
      </c>
      <c r="C188" s="54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189" spans="1:3" x14ac:dyDescent="0.35">
      <c r="A189" s="40" t="str">
        <f>_xlfn.TEXTJOIN(" ",TRUE,Employees_Data[[#This Row],[First Name]],Employees_Data[[#This Row],[Last Name]])</f>
        <v>Bisam Almisri</v>
      </c>
      <c r="B189" s="55">
        <v>2367</v>
      </c>
      <c r="C189" s="56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190" spans="1:3" x14ac:dyDescent="0.35">
      <c r="A190" s="36" t="str">
        <f>_xlfn.TEXTJOIN(" ",TRUE,Employees_Data[[#This Row],[First Name]],Employees_Data[[#This Row],[Last Name]])</f>
        <v>Muhamad Alkhatib</v>
      </c>
      <c r="B190" s="53">
        <v>3158</v>
      </c>
      <c r="C190" s="54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191" spans="1:3" x14ac:dyDescent="0.35">
      <c r="A191" s="40" t="str">
        <f>_xlfn.TEXTJOIN(" ",TRUE,Employees_Data[[#This Row],[First Name]],Employees_Data[[#This Row],[Last Name]])</f>
        <v>Muhamad Rghid</v>
      </c>
      <c r="B191" s="55">
        <v>1980</v>
      </c>
      <c r="C191" s="56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192" spans="1:3" x14ac:dyDescent="0.35">
      <c r="A192" s="36" t="str">
        <f>_xlfn.TEXTJOIN(" ",TRUE,Employees_Data[[#This Row],[First Name]],Employees_Data[[#This Row],[Last Name]])</f>
        <v>Omar Shakir</v>
      </c>
      <c r="B192" s="53">
        <v>2049</v>
      </c>
      <c r="C192" s="54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193" spans="1:3" x14ac:dyDescent="0.35">
      <c r="A193" s="40" t="str">
        <f>_xlfn.TEXTJOIN(" ",TRUE,Employees_Data[[#This Row],[First Name]],Employees_Data[[#This Row],[Last Name]])</f>
        <v>Aryj Hamada</v>
      </c>
      <c r="B193" s="55">
        <v>2727</v>
      </c>
      <c r="C193" s="56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194" spans="1:3" x14ac:dyDescent="0.35">
      <c r="A194" s="36" t="str">
        <f>_xlfn.TEXTJOIN(" ",TRUE,Employees_Data[[#This Row],[First Name]],Employees_Data[[#This Row],[Last Name]])</f>
        <v>Madlin Saeid</v>
      </c>
      <c r="B194" s="53">
        <v>974</v>
      </c>
      <c r="C194" s="54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195" spans="1:3" x14ac:dyDescent="0.35">
      <c r="A195" s="40" t="str">
        <f>_xlfn.TEXTJOIN(" ",TRUE,Employees_Data[[#This Row],[First Name]],Employees_Data[[#This Row],[Last Name]])</f>
        <v>Rybal Sabagh</v>
      </c>
      <c r="B195" s="55">
        <v>992</v>
      </c>
      <c r="C195" s="56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196" spans="1:3" x14ac:dyDescent="0.35">
      <c r="A196" s="36" t="str">
        <f>_xlfn.TEXTJOIN(" ",TRUE,Employees_Data[[#This Row],[First Name]],Employees_Data[[#This Row],[Last Name]])</f>
        <v>Samar Alqutb</v>
      </c>
      <c r="B196" s="53">
        <v>2730</v>
      </c>
      <c r="C196" s="54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197" spans="1:3" x14ac:dyDescent="0.35">
      <c r="A197" s="40" t="str">
        <f>_xlfn.TEXTJOIN(" ",TRUE,Employees_Data[[#This Row],[First Name]],Employees_Data[[#This Row],[Last Name]])</f>
        <v>Eala Murad</v>
      </c>
      <c r="B197" s="55">
        <v>2804</v>
      </c>
      <c r="C197" s="56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198" spans="1:3" x14ac:dyDescent="0.35">
      <c r="A198" s="36" t="str">
        <f>_xlfn.TEXTJOIN(" ",TRUE,Employees_Data[[#This Row],[First Name]],Employees_Data[[#This Row],[Last Name]])</f>
        <v>Ahmad Salih</v>
      </c>
      <c r="B198" s="53">
        <v>1467</v>
      </c>
      <c r="C198" s="54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199" spans="1:3" x14ac:dyDescent="0.35">
      <c r="A199" s="40" t="str">
        <f>_xlfn.TEXTJOIN(" ",TRUE,Employees_Data[[#This Row],[First Name]],Employees_Data[[#This Row],[Last Name]])</f>
        <v>Ibrahim Alhamid</v>
      </c>
      <c r="B199" s="55">
        <v>997</v>
      </c>
      <c r="C199" s="56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200" spans="1:3" x14ac:dyDescent="0.35">
      <c r="A200" s="36" t="str">
        <f>_xlfn.TEXTJOIN(" ",TRUE,Employees_Data[[#This Row],[First Name]],Employees_Data[[#This Row],[Last Name]])</f>
        <v>Muhamad Alziyat</v>
      </c>
      <c r="B200" s="53">
        <v>1859</v>
      </c>
      <c r="C200" s="54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201" spans="1:3" x14ac:dyDescent="0.35">
      <c r="A201" s="40" t="str">
        <f>_xlfn.TEXTJOIN(" ",TRUE,Employees_Data[[#This Row],[First Name]],Employees_Data[[#This Row],[Last Name]])</f>
        <v>Ali Nhl</v>
      </c>
      <c r="B201" s="55">
        <v>1231</v>
      </c>
      <c r="C201" s="56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202" spans="1:3" x14ac:dyDescent="0.35">
      <c r="A202" s="36" t="str">
        <f>_xlfn.TEXTJOIN(" ",TRUE,Employees_Data[[#This Row],[First Name]],Employees_Data[[#This Row],[Last Name]])</f>
        <v>Saed Alsiyah</v>
      </c>
      <c r="B202" s="53">
        <v>719</v>
      </c>
      <c r="C202" s="54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203" spans="1:3" x14ac:dyDescent="0.35">
      <c r="A203" s="40" t="str">
        <f>_xlfn.TEXTJOIN(" ",TRUE,Employees_Data[[#This Row],[First Name]],Employees_Data[[#This Row],[Last Name]])</f>
        <v>Majdy Rafaea</v>
      </c>
      <c r="B203" s="55">
        <v>2186</v>
      </c>
      <c r="C203" s="56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204" spans="1:3" x14ac:dyDescent="0.35">
      <c r="A204" s="36" t="str">
        <f>_xlfn.TEXTJOIN(" ",TRUE,Employees_Data[[#This Row],[First Name]],Employees_Data[[#This Row],[Last Name]])</f>
        <v>Ihsan Eazu</v>
      </c>
      <c r="B204" s="53">
        <v>1605</v>
      </c>
      <c r="C204" s="54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205" spans="1:3" x14ac:dyDescent="0.35">
      <c r="A205" s="40" t="str">
        <f>_xlfn.TEXTJOIN(" ",TRUE,Employees_Data[[#This Row],[First Name]],Employees_Data[[#This Row],[Last Name]])</f>
        <v>Iad Alshaykh</v>
      </c>
      <c r="B205" s="55">
        <v>2365</v>
      </c>
      <c r="C205" s="56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206" spans="1:3" x14ac:dyDescent="0.35">
      <c r="A206" s="36" t="str">
        <f>_xlfn.TEXTJOIN(" ",TRUE,Employees_Data[[#This Row],[First Name]],Employees_Data[[#This Row],[Last Name]])</f>
        <v>Bara Alrrashid</v>
      </c>
      <c r="B206" s="53">
        <v>1096</v>
      </c>
      <c r="C206" s="54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207" spans="1:3" x14ac:dyDescent="0.35">
      <c r="A207" s="40" t="str">
        <f>_xlfn.TEXTJOIN(" ",TRUE,Employees_Data[[#This Row],[First Name]],Employees_Data[[#This Row],[Last Name]])</f>
        <v>Fadi Nuna</v>
      </c>
      <c r="B207" s="55">
        <v>1037</v>
      </c>
      <c r="C207" s="56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208" spans="1:3" x14ac:dyDescent="0.35">
      <c r="A208" s="36" t="str">
        <f>_xlfn.TEXTJOIN(" ",TRUE,Employees_Data[[#This Row],[First Name]],Employees_Data[[#This Row],[Last Name]])</f>
        <v>Muhamad Salah</v>
      </c>
      <c r="B208" s="53">
        <v>1757</v>
      </c>
      <c r="C208" s="54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209" spans="1:3" x14ac:dyDescent="0.35">
      <c r="A209" s="40" t="str">
        <f>_xlfn.TEXTJOIN(" ",TRUE,Employees_Data[[#This Row],[First Name]],Employees_Data[[#This Row],[Last Name]])</f>
        <v>Bima Mustafaa</v>
      </c>
      <c r="B209" s="55">
        <v>3405</v>
      </c>
      <c r="C209" s="56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210" spans="1:3" x14ac:dyDescent="0.35">
      <c r="A210" s="36" t="str">
        <f>_xlfn.TEXTJOIN(" ",TRUE,Employees_Data[[#This Row],[First Name]],Employees_Data[[#This Row],[Last Name]])</f>
        <v>Husam Abu Shwmr</v>
      </c>
      <c r="B210" s="53">
        <v>2154</v>
      </c>
      <c r="C210" s="54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211" spans="1:3" x14ac:dyDescent="0.35">
      <c r="A211" s="40" t="str">
        <f>_xlfn.TEXTJOIN(" ",TRUE,Employees_Data[[#This Row],[First Name]],Employees_Data[[#This Row],[Last Name]])</f>
        <v>Abdalrahmin Turkmany</v>
      </c>
      <c r="B211" s="55">
        <v>805</v>
      </c>
      <c r="C211" s="56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212" spans="1:3" x14ac:dyDescent="0.35">
      <c r="A212" s="36" t="str">
        <f>_xlfn.TEXTJOIN(" ",TRUE,Employees_Data[[#This Row],[First Name]],Employees_Data[[#This Row],[Last Name]])</f>
        <v>Majdulyn Alhakim</v>
      </c>
      <c r="B212" s="53">
        <v>3093</v>
      </c>
      <c r="C212" s="54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213" spans="1:3" x14ac:dyDescent="0.35">
      <c r="A213" s="40" t="str">
        <f>_xlfn.TEXTJOIN(" ",TRUE,Employees_Data[[#This Row],[First Name]],Employees_Data[[#This Row],[Last Name]])</f>
        <v>Ahmad Abu Jaysh</v>
      </c>
      <c r="B213" s="55">
        <v>1039</v>
      </c>
      <c r="C213" s="56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214" spans="1:3" x14ac:dyDescent="0.35">
      <c r="A214" s="36" t="str">
        <f>_xlfn.TEXTJOIN(" ",TRUE,Employees_Data[[#This Row],[First Name]],Employees_Data[[#This Row],[Last Name]])</f>
        <v>Majid Aleusud</v>
      </c>
      <c r="B214" s="53">
        <v>1012</v>
      </c>
      <c r="C214" s="54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215" spans="1:3" x14ac:dyDescent="0.35">
      <c r="A215" s="40" t="str">
        <f>_xlfn.TEXTJOIN(" ",TRUE,Employees_Data[[#This Row],[First Name]],Employees_Data[[#This Row],[Last Name]])</f>
        <v>Bashshar Shakhashiru</v>
      </c>
      <c r="B215" s="55">
        <v>2216</v>
      </c>
      <c r="C215" s="56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216" spans="1:3" x14ac:dyDescent="0.35">
      <c r="A216" s="36" t="str">
        <f>_xlfn.TEXTJOIN(" ",TRUE,Employees_Data[[#This Row],[First Name]],Employees_Data[[#This Row],[Last Name]])</f>
        <v>Malik Alshaykh</v>
      </c>
      <c r="B216" s="53">
        <v>2020</v>
      </c>
      <c r="C216" s="54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217" spans="1:3" x14ac:dyDescent="0.35">
      <c r="A217" s="40" t="str">
        <f>_xlfn.TEXTJOIN(" ",TRUE,Employees_Data[[#This Row],[First Name]],Employees_Data[[#This Row],[Last Name]])</f>
        <v>Omar Zarzur</v>
      </c>
      <c r="B217" s="55">
        <v>3309</v>
      </c>
      <c r="C217" s="56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218" spans="1:3" x14ac:dyDescent="0.35">
      <c r="A218" s="36" t="str">
        <f>_xlfn.TEXTJOIN(" ",TRUE,Employees_Data[[#This Row],[First Name]],Employees_Data[[#This Row],[Last Name]])</f>
        <v>Hasan Iismaeil</v>
      </c>
      <c r="B218" s="53">
        <v>983</v>
      </c>
      <c r="C218" s="54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219" spans="1:3" x14ac:dyDescent="0.35">
      <c r="A219" s="40" t="str">
        <f>_xlfn.TEXTJOIN(" ",TRUE,Employees_Data[[#This Row],[First Name]],Employees_Data[[#This Row],[Last Name]])</f>
        <v>Husayn Abu Nasir</v>
      </c>
      <c r="B219" s="55">
        <v>741</v>
      </c>
      <c r="C219" s="56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220" spans="1:3" x14ac:dyDescent="0.35">
      <c r="A220" s="36" t="str">
        <f>_xlfn.TEXTJOIN(" ",TRUE,Employees_Data[[#This Row],[First Name]],Employees_Data[[#This Row],[Last Name]])</f>
        <v>Mazin Earabi</v>
      </c>
      <c r="B220" s="53">
        <v>1171</v>
      </c>
      <c r="C220" s="54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221" spans="1:3" x14ac:dyDescent="0.35">
      <c r="A221" s="40" t="str">
        <f>_xlfn.TEXTJOIN(" ",TRUE,Employees_Data[[#This Row],[First Name]],Employees_Data[[#This Row],[Last Name]])</f>
        <v>Zahir Eisaa</v>
      </c>
      <c r="B221" s="55">
        <v>2512</v>
      </c>
      <c r="C221" s="56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222" spans="1:3" x14ac:dyDescent="0.35">
      <c r="A222" s="36" t="str">
        <f>_xlfn.TEXTJOIN(" ",TRUE,Employees_Data[[#This Row],[First Name]],Employees_Data[[#This Row],[Last Name]])</f>
        <v>Lama Sabiq</v>
      </c>
      <c r="B222" s="53">
        <v>1608</v>
      </c>
      <c r="C222" s="54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223" spans="1:3" x14ac:dyDescent="0.35">
      <c r="A223" s="40" t="str">
        <f>_xlfn.TEXTJOIN(" ",TRUE,Employees_Data[[#This Row],[First Name]],Employees_Data[[#This Row],[Last Name]])</f>
        <v>Tariq Dw</v>
      </c>
      <c r="B223" s="55">
        <v>1677</v>
      </c>
      <c r="C223" s="56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224" spans="1:3" x14ac:dyDescent="0.35">
      <c r="A224" s="36" t="str">
        <f>_xlfn.TEXTJOIN(" ",TRUE,Employees_Data[[#This Row],[First Name]],Employees_Data[[#This Row],[Last Name]])</f>
        <v>Jawaher Shaykhus</v>
      </c>
      <c r="B224" s="53">
        <v>3414</v>
      </c>
      <c r="C224" s="54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225" spans="1:3" x14ac:dyDescent="0.35">
      <c r="A225" s="40" t="str">
        <f>_xlfn.TEXTJOIN(" ",TRUE,Employees_Data[[#This Row],[First Name]],Employees_Data[[#This Row],[Last Name]])</f>
        <v>Emam Mansur</v>
      </c>
      <c r="B225" s="55">
        <v>1358</v>
      </c>
      <c r="C225" s="56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226" spans="1:3" x14ac:dyDescent="0.35">
      <c r="A226" s="36" t="str">
        <f>_xlfn.TEXTJOIN(" ",TRUE,Employees_Data[[#This Row],[First Name]],Employees_Data[[#This Row],[Last Name]])</f>
        <v>Muhamad Bulta</v>
      </c>
      <c r="B226" s="53">
        <v>703</v>
      </c>
      <c r="C226" s="54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227" spans="1:3" x14ac:dyDescent="0.35">
      <c r="A227" s="40" t="str">
        <f>_xlfn.TEXTJOIN(" ",TRUE,Employees_Data[[#This Row],[First Name]],Employees_Data[[#This Row],[Last Name]])</f>
        <v>Fatin Hamshu</v>
      </c>
      <c r="B227" s="55">
        <v>2017</v>
      </c>
      <c r="C227" s="56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228" spans="1:3" x14ac:dyDescent="0.35">
      <c r="A228" s="36" t="str">
        <f>_xlfn.TEXTJOIN(" ",TRUE,Employees_Data[[#This Row],[First Name]],Employees_Data[[#This Row],[Last Name]])</f>
        <v>Abd Alruhmin Alnasar</v>
      </c>
      <c r="B228" s="53">
        <v>1806</v>
      </c>
      <c r="C228" s="54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229" spans="1:3" x14ac:dyDescent="0.35">
      <c r="A229" s="40" t="str">
        <f>_xlfn.TEXTJOIN(" ",TRUE,Employees_Data[[#This Row],[First Name]],Employees_Data[[#This Row],[Last Name]])</f>
        <v>Fatin Red</v>
      </c>
      <c r="B229" s="55">
        <v>2421</v>
      </c>
      <c r="C229" s="56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230" spans="1:3" x14ac:dyDescent="0.35">
      <c r="A230" s="36" t="str">
        <f>_xlfn.TEXTJOIN(" ",TRUE,Employees_Data[[#This Row],[First Name]],Employees_Data[[#This Row],[Last Name]])</f>
        <v>Ali Muhamad</v>
      </c>
      <c r="B230" s="53">
        <v>1461</v>
      </c>
      <c r="C230" s="54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231" spans="1:3" x14ac:dyDescent="0.35">
      <c r="A231" s="40" t="str">
        <f>_xlfn.TEXTJOIN(" ",TRUE,Employees_Data[[#This Row],[First Name]],Employees_Data[[#This Row],[Last Name]])</f>
        <v>Rima Dwalyby</v>
      </c>
      <c r="B231" s="55">
        <v>1287</v>
      </c>
      <c r="C231" s="56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232" spans="1:3" x14ac:dyDescent="0.35">
      <c r="A232" s="36" t="str">
        <f>_xlfn.TEXTJOIN(" ",TRUE,Employees_Data[[#This Row],[First Name]],Employees_Data[[#This Row],[Last Name]])</f>
        <v>Basil Musaa</v>
      </c>
      <c r="B232" s="53">
        <v>2756</v>
      </c>
      <c r="C232" s="54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233" spans="1:3" x14ac:dyDescent="0.35">
      <c r="A233" s="40" t="str">
        <f>_xlfn.TEXTJOIN(" ",TRUE,Employees_Data[[#This Row],[First Name]],Employees_Data[[#This Row],[Last Name]])</f>
        <v>Antuan Litansdurfr</v>
      </c>
      <c r="B233" s="55">
        <v>2332</v>
      </c>
      <c r="C233" s="56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234" spans="1:3" x14ac:dyDescent="0.35">
      <c r="A234" s="36" t="str">
        <f>_xlfn.TEXTJOIN(" ",TRUE,Employees_Data[[#This Row],[First Name]],Employees_Data[[#This Row],[Last Name]])</f>
        <v>Rashad Iidris</v>
      </c>
      <c r="B234" s="53">
        <v>812</v>
      </c>
      <c r="C234" s="54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235" spans="1:3" x14ac:dyDescent="0.35">
      <c r="A235" s="40" t="str">
        <f>_xlfn.TEXTJOIN(" ",TRUE,Employees_Data[[#This Row],[First Name]],Employees_Data[[#This Row],[Last Name]])</f>
        <v>Bidralidin Ahmdghrybw</v>
      </c>
      <c r="B235" s="55">
        <v>2651</v>
      </c>
      <c r="C235" s="56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236" spans="1:3" x14ac:dyDescent="0.35">
      <c r="A236" s="36" t="str">
        <f>_xlfn.TEXTJOIN(" ",TRUE,Employees_Data[[#This Row],[First Name]],Employees_Data[[#This Row],[Last Name]])</f>
        <v>Faras Shaykh</v>
      </c>
      <c r="B236" s="53">
        <v>2331</v>
      </c>
      <c r="C236" s="54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237" spans="1:3" x14ac:dyDescent="0.35">
      <c r="A237" s="40" t="str">
        <f>_xlfn.TEXTJOIN(" ",TRUE,Employees_Data[[#This Row],[First Name]],Employees_Data[[#This Row],[Last Name]])</f>
        <v>Muhamad Eala Aldiyn</v>
      </c>
      <c r="B237" s="55">
        <v>2162</v>
      </c>
      <c r="C237" s="56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238" spans="1:3" x14ac:dyDescent="0.35">
      <c r="A238" s="36" t="str">
        <f>_xlfn.TEXTJOIN(" ",TRUE,Employees_Data[[#This Row],[First Name]],Employees_Data[[#This Row],[Last Name]])</f>
        <v>Khaldun Suqbani</v>
      </c>
      <c r="B238" s="53">
        <v>1952</v>
      </c>
      <c r="C238" s="54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239" spans="1:3" x14ac:dyDescent="0.35">
      <c r="A239" s="40" t="str">
        <f>_xlfn.TEXTJOIN(" ",TRUE,Employees_Data[[#This Row],[First Name]],Employees_Data[[#This Row],[Last Name]])</f>
        <v>Lwna Albahra</v>
      </c>
      <c r="B239" s="55">
        <v>2976</v>
      </c>
      <c r="C239" s="56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240" spans="1:3" x14ac:dyDescent="0.35">
      <c r="A240" s="36" t="str">
        <f>_xlfn.TEXTJOIN(" ",TRUE,Employees_Data[[#This Row],[First Name]],Employees_Data[[#This Row],[Last Name]])</f>
        <v>Ahmad Ezqul</v>
      </c>
      <c r="B240" s="53">
        <v>2080</v>
      </c>
      <c r="C240" s="54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241" spans="1:3" x14ac:dyDescent="0.35">
      <c r="A241" s="40" t="str">
        <f>_xlfn.TEXTJOIN(" ",TRUE,Employees_Data[[#This Row],[First Name]],Employees_Data[[#This Row],[Last Name]])</f>
        <v>Salih Alhamuwd</v>
      </c>
      <c r="B241" s="55">
        <v>1668</v>
      </c>
      <c r="C241" s="56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242" spans="1:3" x14ac:dyDescent="0.35">
      <c r="A242" s="36" t="str">
        <f>_xlfn.TEXTJOIN(" ",TRUE,Employees_Data[[#This Row],[First Name]],Employees_Data[[#This Row],[Last Name]])</f>
        <v>Muhamad Abu Zamil</v>
      </c>
      <c r="B242" s="53">
        <v>2234</v>
      </c>
      <c r="C242" s="54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243" spans="1:3" x14ac:dyDescent="0.35">
      <c r="A243" s="40" t="str">
        <f>_xlfn.TEXTJOIN(" ",TRUE,Employees_Data[[#This Row],[First Name]],Employees_Data[[#This Row],[Last Name]])</f>
        <v>Fuad Alsyqly</v>
      </c>
      <c r="B243" s="55">
        <v>2096</v>
      </c>
      <c r="C243" s="56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244" spans="1:3" x14ac:dyDescent="0.35">
      <c r="A244" s="36" t="str">
        <f>_xlfn.TEXTJOIN(" ",TRUE,Employees_Data[[#This Row],[First Name]],Employees_Data[[#This Row],[Last Name]])</f>
        <v>Muhamad Aldamshqi</v>
      </c>
      <c r="B244" s="53">
        <v>2129</v>
      </c>
      <c r="C244" s="54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245" spans="1:3" x14ac:dyDescent="0.35">
      <c r="A245" s="40" t="str">
        <f>_xlfn.TEXTJOIN(" ",TRUE,Employees_Data[[#This Row],[First Name]],Employees_Data[[#This Row],[Last Name]])</f>
        <v>Sayf Aldiyn Alkmshh</v>
      </c>
      <c r="B245" s="55">
        <v>1429</v>
      </c>
      <c r="C245" s="56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246" spans="1:3" x14ac:dyDescent="0.35">
      <c r="A246" s="36" t="str">
        <f>_xlfn.TEXTJOIN(" ",TRUE,Employees_Data[[#This Row],[First Name]],Employees_Data[[#This Row],[Last Name]])</f>
        <v>Muhamad Alssati</v>
      </c>
      <c r="B246" s="53">
        <v>1479</v>
      </c>
      <c r="C246" s="54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247" spans="1:3" x14ac:dyDescent="0.35">
      <c r="A247" s="40" t="str">
        <f>_xlfn.TEXTJOIN(" ",TRUE,Employees_Data[[#This Row],[First Name]],Employees_Data[[#This Row],[Last Name]])</f>
        <v>Khalid Alem</v>
      </c>
      <c r="B247" s="55">
        <v>2884</v>
      </c>
      <c r="C247" s="56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248" spans="1:3" x14ac:dyDescent="0.35">
      <c r="A248" s="36" t="str">
        <f>_xlfn.TEXTJOIN(" ",TRUE,Employees_Data[[#This Row],[First Name]],Employees_Data[[#This Row],[Last Name]])</f>
        <v>Ayham Aleisaa</v>
      </c>
      <c r="B248" s="53">
        <v>2947</v>
      </c>
      <c r="C248" s="54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249" spans="1:3" x14ac:dyDescent="0.35">
      <c r="A249" s="40" t="str">
        <f>_xlfn.TEXTJOIN(" ",TRUE,Employees_Data[[#This Row],[First Name]],Employees_Data[[#This Row],[Last Name]])</f>
        <v>Abd Alruhmin Dulul</v>
      </c>
      <c r="B249" s="55">
        <v>1795</v>
      </c>
      <c r="C249" s="56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250" spans="1:3" x14ac:dyDescent="0.35">
      <c r="A250" s="36" t="str">
        <f>_xlfn.TEXTJOIN(" ",TRUE,Employees_Data[[#This Row],[First Name]],Employees_Data[[#This Row],[Last Name]])</f>
        <v>Ruba Aleid</v>
      </c>
      <c r="B250" s="53">
        <v>1982</v>
      </c>
      <c r="C250" s="54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251" spans="1:3" x14ac:dyDescent="0.35">
      <c r="A251" s="40" t="str">
        <f>_xlfn.TEXTJOIN(" ",TRUE,Employees_Data[[#This Row],[First Name]],Employees_Data[[#This Row],[Last Name]])</f>
        <v>Muhamad Badawiin</v>
      </c>
      <c r="B251" s="55">
        <v>2543</v>
      </c>
      <c r="C251" s="56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252" spans="1:3" x14ac:dyDescent="0.35">
      <c r="A252" s="36" t="str">
        <f>_xlfn.TEXTJOIN(" ",TRUE,Employees_Data[[#This Row],[First Name]],Employees_Data[[#This Row],[Last Name]])</f>
        <v>Sharihan Rihan</v>
      </c>
      <c r="B252" s="53">
        <v>2787</v>
      </c>
      <c r="C252" s="54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253" spans="1:3" x14ac:dyDescent="0.35">
      <c r="A253" s="40" t="str">
        <f>_xlfn.TEXTJOIN(" ",TRUE,Employees_Data[[#This Row],[First Name]],Employees_Data[[#This Row],[Last Name]])</f>
        <v>Ibrahim Alyasin</v>
      </c>
      <c r="B253" s="55">
        <v>1095</v>
      </c>
      <c r="C253" s="56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254" spans="1:3" x14ac:dyDescent="0.35">
      <c r="A254" s="36" t="str">
        <f>_xlfn.TEXTJOIN(" ",TRUE,Employees_Data[[#This Row],[First Name]],Employees_Data[[#This Row],[Last Name]])</f>
        <v>Iin Mulaliyun</v>
      </c>
      <c r="B254" s="53">
        <v>2009</v>
      </c>
      <c r="C254" s="54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255" spans="1:3" x14ac:dyDescent="0.35">
      <c r="A255" s="40" t="str">
        <f>_xlfn.TEXTJOIN(" ",TRUE,Employees_Data[[#This Row],[First Name]],Employees_Data[[#This Row],[Last Name]])</f>
        <v>Danah Almahdi</v>
      </c>
      <c r="B255" s="55">
        <v>1837</v>
      </c>
      <c r="C255" s="56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256" spans="1:3" x14ac:dyDescent="0.35">
      <c r="A256" s="36" t="str">
        <f>_xlfn.TEXTJOIN(" ",TRUE,Employees_Data[[#This Row],[First Name]],Employees_Data[[#This Row],[Last Name]])</f>
        <v>Muhamad Sakar</v>
      </c>
      <c r="B256" s="53">
        <v>3109</v>
      </c>
      <c r="C256" s="54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257" spans="1:3" x14ac:dyDescent="0.35">
      <c r="A257" s="40" t="str">
        <f>_xlfn.TEXTJOIN(" ",TRUE,Employees_Data[[#This Row],[First Name]],Employees_Data[[#This Row],[Last Name]])</f>
        <v>Lama Yasin</v>
      </c>
      <c r="B257" s="55">
        <v>2832</v>
      </c>
      <c r="C257" s="56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258" spans="1:3" x14ac:dyDescent="0.35">
      <c r="A258" s="36" t="str">
        <f>_xlfn.TEXTJOIN(" ",TRUE,Employees_Data[[#This Row],[First Name]],Employees_Data[[#This Row],[Last Name]])</f>
        <v>Asf Abultif</v>
      </c>
      <c r="B258" s="53">
        <v>2940</v>
      </c>
      <c r="C258" s="54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259" spans="1:3" x14ac:dyDescent="0.35">
      <c r="A259" s="40" t="str">
        <f>_xlfn.TEXTJOIN(" ",TRUE,Employees_Data[[#This Row],[First Name]],Employees_Data[[#This Row],[Last Name]])</f>
        <v>Ahmad Alshalaq</v>
      </c>
      <c r="B259" s="55">
        <v>983</v>
      </c>
      <c r="C259" s="56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260" spans="1:3" x14ac:dyDescent="0.35">
      <c r="A260" s="36" t="str">
        <f>_xlfn.TEXTJOIN(" ",TRUE,Employees_Data[[#This Row],[First Name]],Employees_Data[[#This Row],[Last Name]])</f>
        <v>Mazin Zawal</v>
      </c>
      <c r="B260" s="53">
        <v>1223</v>
      </c>
      <c r="C260" s="54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261" spans="1:3" x14ac:dyDescent="0.35">
      <c r="A261" s="40" t="str">
        <f>_xlfn.TEXTJOIN(" ",TRUE,Employees_Data[[#This Row],[First Name]],Employees_Data[[#This Row],[Last Name]])</f>
        <v>Diana Aleabd</v>
      </c>
      <c r="B261" s="55">
        <v>833</v>
      </c>
      <c r="C261" s="56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262" spans="1:3" x14ac:dyDescent="0.35">
      <c r="A262" s="36" t="str">
        <f>_xlfn.TEXTJOIN(" ",TRUE,Employees_Data[[#This Row],[First Name]],Employees_Data[[#This Row],[Last Name]])</f>
        <v>Kawkab Qarqazan</v>
      </c>
      <c r="B262" s="53">
        <v>2074</v>
      </c>
      <c r="C262" s="54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263" spans="1:3" x14ac:dyDescent="0.35">
      <c r="A263" s="40" t="str">
        <f>_xlfn.TEXTJOIN(" ",TRUE,Employees_Data[[#This Row],[First Name]],Employees_Data[[#This Row],[Last Name]])</f>
        <v>Thamir Abu Ghazy</v>
      </c>
      <c r="B263" s="55">
        <v>2811</v>
      </c>
      <c r="C263" s="56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264" spans="1:3" x14ac:dyDescent="0.35">
      <c r="A264" s="36" t="str">
        <f>_xlfn.TEXTJOIN(" ",TRUE,Employees_Data[[#This Row],[First Name]],Employees_Data[[#This Row],[Last Name]])</f>
        <v>Muhamad Alabth</v>
      </c>
      <c r="B264" s="53">
        <v>1436</v>
      </c>
      <c r="C264" s="54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265" spans="1:3" x14ac:dyDescent="0.35">
      <c r="A265" s="40" t="str">
        <f>_xlfn.TEXTJOIN(" ",TRUE,Employees_Data[[#This Row],[First Name]],Employees_Data[[#This Row],[Last Name]])</f>
        <v>Khadijah Abu Taqih</v>
      </c>
      <c r="B265" s="55">
        <v>1041</v>
      </c>
      <c r="C265" s="56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266" spans="1:3" x14ac:dyDescent="0.35">
      <c r="A266" s="36" t="str">
        <f>_xlfn.TEXTJOIN(" ",TRUE,Employees_Data[[#This Row],[First Name]],Employees_Data[[#This Row],[Last Name]])</f>
        <v>Salwaa Alsyd</v>
      </c>
      <c r="B266" s="53">
        <v>2231</v>
      </c>
      <c r="C266" s="54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267" spans="1:3" x14ac:dyDescent="0.35">
      <c r="A267" s="40" t="str">
        <f>_xlfn.TEXTJOIN(" ",TRUE,Employees_Data[[#This Row],[First Name]],Employees_Data[[#This Row],[Last Name]])</f>
        <v>Muayid Shbyb</v>
      </c>
      <c r="B267" s="55">
        <v>1036</v>
      </c>
      <c r="C267" s="56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268" spans="1:3" x14ac:dyDescent="0.35">
      <c r="A268" s="36" t="str">
        <f>_xlfn.TEXTJOIN(" ",TRUE,Employees_Data[[#This Row],[First Name]],Employees_Data[[#This Row],[Last Name]])</f>
        <v>Rannym Tyru</v>
      </c>
      <c r="B268" s="53">
        <v>2143</v>
      </c>
      <c r="C268" s="54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269" spans="1:3" x14ac:dyDescent="0.35">
      <c r="A269" s="40" t="str">
        <f>_xlfn.TEXTJOIN(" ",TRUE,Employees_Data[[#This Row],[First Name]],Employees_Data[[#This Row],[Last Name]])</f>
        <v>Iin Alhaju Bikr</v>
      </c>
      <c r="B269" s="55">
        <v>967</v>
      </c>
      <c r="C269" s="56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270" spans="1:3" x14ac:dyDescent="0.35">
      <c r="A270" s="36" t="str">
        <f>_xlfn.TEXTJOIN(" ",TRUE,Employees_Data[[#This Row],[First Name]],Employees_Data[[#This Row],[Last Name]])</f>
        <v>Jihad Aldukifi</v>
      </c>
      <c r="B270" s="53">
        <v>2510</v>
      </c>
      <c r="C270" s="54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271" spans="1:3" x14ac:dyDescent="0.35">
      <c r="A271" s="40" t="str">
        <f>_xlfn.TEXTJOIN(" ",TRUE,Employees_Data[[#This Row],[First Name]],Employees_Data[[#This Row],[Last Name]])</f>
        <v>Sandurana Antun</v>
      </c>
      <c r="B271" s="55">
        <v>3364</v>
      </c>
      <c r="C271" s="56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272" spans="1:3" x14ac:dyDescent="0.35">
      <c r="A272" s="36" t="str">
        <f>_xlfn.TEXTJOIN(" ",TRUE,Employees_Data[[#This Row],[First Name]],Employees_Data[[#This Row],[Last Name]])</f>
        <v>Eala Darkzifli</v>
      </c>
      <c r="B272" s="53">
        <v>3420</v>
      </c>
      <c r="C272" s="54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273" spans="1:3" x14ac:dyDescent="0.35">
      <c r="A273" s="40" t="str">
        <f>_xlfn.TEXTJOIN(" ",TRUE,Employees_Data[[#This Row],[First Name]],Employees_Data[[#This Row],[Last Name]])</f>
        <v>Samir Alsaeid</v>
      </c>
      <c r="B273" s="55">
        <v>2229</v>
      </c>
      <c r="C273" s="56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274" spans="1:3" x14ac:dyDescent="0.35">
      <c r="A274" s="36" t="str">
        <f>_xlfn.TEXTJOIN(" ",TRUE,Employees_Data[[#This Row],[First Name]],Employees_Data[[#This Row],[Last Name]])</f>
        <v>Amir Alhifar</v>
      </c>
      <c r="B274" s="53">
        <v>1910</v>
      </c>
      <c r="C274" s="54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275" spans="1:3" x14ac:dyDescent="0.35">
      <c r="A275" s="40" t="str">
        <f>_xlfn.TEXTJOIN(" ",TRUE,Employees_Data[[#This Row],[First Name]],Employees_Data[[#This Row],[Last Name]])</f>
        <v>Lama Almala</v>
      </c>
      <c r="B275" s="55">
        <v>1917</v>
      </c>
      <c r="C275" s="56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276" spans="1:3" x14ac:dyDescent="0.35">
      <c r="A276" s="36" t="str">
        <f>_xlfn.TEXTJOIN(" ",TRUE,Employees_Data[[#This Row],[First Name]],Employees_Data[[#This Row],[Last Name]])</f>
        <v>Hasan Kalthum</v>
      </c>
      <c r="B276" s="53">
        <v>831</v>
      </c>
      <c r="C276" s="54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277" spans="1:3" x14ac:dyDescent="0.35">
      <c r="A277" s="40" t="str">
        <f>_xlfn.TEXTJOIN(" ",TRUE,Employees_Data[[#This Row],[First Name]],Employees_Data[[#This Row],[Last Name]])</f>
        <v>Muhamad Saeadat</v>
      </c>
      <c r="B277" s="55">
        <v>2636</v>
      </c>
      <c r="C277" s="56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278" spans="1:3" x14ac:dyDescent="0.35">
      <c r="A278" s="36" t="str">
        <f>_xlfn.TEXTJOIN(" ",TRUE,Employees_Data[[#This Row],[First Name]],Employees_Data[[#This Row],[Last Name]])</f>
        <v>Rana Eijrush</v>
      </c>
      <c r="B278" s="53">
        <v>2929</v>
      </c>
      <c r="C278" s="54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279" spans="1:3" x14ac:dyDescent="0.35">
      <c r="A279" s="40" t="str">
        <f>_xlfn.TEXTJOIN(" ",TRUE,Employees_Data[[#This Row],[First Name]],Employees_Data[[#This Row],[Last Name]])</f>
        <v>Tariq Alkinaya</v>
      </c>
      <c r="B279" s="55">
        <v>1255</v>
      </c>
      <c r="C279" s="56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280" spans="1:3" x14ac:dyDescent="0.35">
      <c r="A280" s="36" t="str">
        <f>_xlfn.TEXTJOIN(" ",TRUE,Employees_Data[[#This Row],[First Name]],Employees_Data[[#This Row],[Last Name]])</f>
        <v>Amjad Alrz</v>
      </c>
      <c r="B280" s="53">
        <v>2210</v>
      </c>
      <c r="C280" s="54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281" spans="1:3" x14ac:dyDescent="0.35">
      <c r="A281" s="40" t="str">
        <f>_xlfn.TEXTJOIN(" ",TRUE,Employees_Data[[#This Row],[First Name]],Employees_Data[[#This Row],[Last Name]])</f>
        <v>Daniah Alhariri</v>
      </c>
      <c r="B281" s="55">
        <v>1788</v>
      </c>
      <c r="C281" s="56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282" spans="1:3" x14ac:dyDescent="0.35">
      <c r="A282" s="36" t="str">
        <f>_xlfn.TEXTJOIN(" ",TRUE,Employees_Data[[#This Row],[First Name]],Employees_Data[[#This Row],[Last Name]])</f>
        <v>Hasan Quidr</v>
      </c>
      <c r="B282" s="53">
        <v>2488</v>
      </c>
      <c r="C282" s="54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283" spans="1:3" x14ac:dyDescent="0.35">
      <c r="A283" s="40" t="str">
        <f>_xlfn.TEXTJOIN(" ",TRUE,Employees_Data[[#This Row],[First Name]],Employees_Data[[#This Row],[Last Name]])</f>
        <v>Muhamad Shaykh Janid</v>
      </c>
      <c r="B283" s="55">
        <v>2187</v>
      </c>
      <c r="C283" s="56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284" spans="1:3" x14ac:dyDescent="0.35">
      <c r="A284" s="36" t="str">
        <f>_xlfn.TEXTJOIN(" ",TRUE,Employees_Data[[#This Row],[First Name]],Employees_Data[[#This Row],[Last Name]])</f>
        <v>Esamat Zaza</v>
      </c>
      <c r="B284" s="53">
        <v>1366</v>
      </c>
      <c r="C284" s="54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285" spans="1:3" x14ac:dyDescent="0.35">
      <c r="A285" s="40" t="str">
        <f>_xlfn.TEXTJOIN(" ",TRUE,Employees_Data[[#This Row],[First Name]],Employees_Data[[#This Row],[Last Name]])</f>
        <v>Fadi Hububati</v>
      </c>
      <c r="B285" s="55">
        <v>2612</v>
      </c>
      <c r="C285" s="56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286" spans="1:3" x14ac:dyDescent="0.35">
      <c r="A286" s="36" t="str">
        <f>_xlfn.TEXTJOIN(" ",TRUE,Employees_Data[[#This Row],[First Name]],Employees_Data[[#This Row],[Last Name]])</f>
        <v>Adnan Alhusayn</v>
      </c>
      <c r="B286" s="53">
        <v>2246</v>
      </c>
      <c r="C286" s="54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287" spans="1:3" x14ac:dyDescent="0.35">
      <c r="A287" s="40" t="str">
        <f>_xlfn.TEXTJOIN(" ",TRUE,Employees_Data[[#This Row],[First Name]],Employees_Data[[#This Row],[Last Name]])</f>
        <v>Muhamad Allibad</v>
      </c>
      <c r="B287" s="55">
        <v>2761</v>
      </c>
      <c r="C287" s="56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288" spans="1:3" x14ac:dyDescent="0.35">
      <c r="A288" s="36" t="str">
        <f>_xlfn.TEXTJOIN(" ",TRUE,Employees_Data[[#This Row],[First Name]],Employees_Data[[#This Row],[Last Name]])</f>
        <v>Tana Dahruj</v>
      </c>
      <c r="B288" s="53">
        <v>1536</v>
      </c>
      <c r="C288" s="54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289" spans="1:3" x14ac:dyDescent="0.35">
      <c r="A289" s="40" t="str">
        <f>_xlfn.TEXTJOIN(" ",TRUE,Employees_Data[[#This Row],[First Name]],Employees_Data[[#This Row],[Last Name]])</f>
        <v>Muhamad Almtlq</v>
      </c>
      <c r="B289" s="55">
        <v>2180</v>
      </c>
      <c r="C289" s="56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290" spans="1:3" x14ac:dyDescent="0.35">
      <c r="A290" s="36" t="str">
        <f>_xlfn.TEXTJOIN(" ",TRUE,Employees_Data[[#This Row],[First Name]],Employees_Data[[#This Row],[Last Name]])</f>
        <v>Sana Alhusayn</v>
      </c>
      <c r="B290" s="53">
        <v>3412</v>
      </c>
      <c r="C290" s="54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291" spans="1:3" x14ac:dyDescent="0.35">
      <c r="A291" s="40" t="str">
        <f>_xlfn.TEXTJOIN(" ",TRUE,Employees_Data[[#This Row],[First Name]],Employees_Data[[#This Row],[Last Name]])</f>
        <v>Muhamad Bdraldyn</v>
      </c>
      <c r="B291" s="55">
        <v>2546</v>
      </c>
      <c r="C291" s="56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292" spans="1:3" x14ac:dyDescent="0.35">
      <c r="A292" s="36" t="str">
        <f>_xlfn.TEXTJOIN(" ",TRUE,Employees_Data[[#This Row],[First Name]],Employees_Data[[#This Row],[Last Name]])</f>
        <v>Muhamad Eataya</v>
      </c>
      <c r="B292" s="53">
        <v>1856</v>
      </c>
      <c r="C292" s="54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293" spans="1:3" x14ac:dyDescent="0.35">
      <c r="A293" s="40" t="str">
        <f>_xlfn.TEXTJOIN(" ",TRUE,Employees_Data[[#This Row],[First Name]],Employees_Data[[#This Row],[Last Name]])</f>
        <v>Fadi Aljizamati</v>
      </c>
      <c r="B293" s="55">
        <v>3220</v>
      </c>
      <c r="C293" s="56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294" spans="1:3" x14ac:dyDescent="0.35">
      <c r="A294" s="36" t="str">
        <f>_xlfn.TEXTJOIN(" ",TRUE,Employees_Data[[#This Row],[First Name]],Employees_Data[[#This Row],[Last Name]])</f>
        <v>Alaa Alqasir</v>
      </c>
      <c r="B294" s="53">
        <v>3061</v>
      </c>
      <c r="C294" s="54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295" spans="1:3" x14ac:dyDescent="0.35">
      <c r="A295" s="40" t="str">
        <f>_xlfn.TEXTJOIN(" ",TRUE,Employees_Data[[#This Row],[First Name]],Employees_Data[[#This Row],[Last Name]])</f>
        <v>Abd Alruhmin Salih</v>
      </c>
      <c r="B295" s="55">
        <v>2221</v>
      </c>
      <c r="C295" s="56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296" spans="1:3" x14ac:dyDescent="0.35">
      <c r="A296" s="36" t="str">
        <f>_xlfn.TEXTJOIN(" ",TRUE,Employees_Data[[#This Row],[First Name]],Employees_Data[[#This Row],[Last Name]])</f>
        <v>Shilan Ahmad</v>
      </c>
      <c r="B296" s="53">
        <v>1799</v>
      </c>
      <c r="C296" s="54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297" spans="1:3" x14ac:dyDescent="0.35">
      <c r="A297" s="40" t="str">
        <f>_xlfn.TEXTJOIN(" ",TRUE,Employees_Data[[#This Row],[First Name]],Employees_Data[[#This Row],[Last Name]])</f>
        <v>Hasan Aljasim</v>
      </c>
      <c r="B297" s="55">
        <v>2082</v>
      </c>
      <c r="C297" s="56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298" spans="1:3" x14ac:dyDescent="0.35">
      <c r="A298" s="36" t="str">
        <f>_xlfn.TEXTJOIN(" ",TRUE,Employees_Data[[#This Row],[First Name]],Employees_Data[[#This Row],[Last Name]])</f>
        <v>Khalil Salam</v>
      </c>
      <c r="B298" s="53">
        <v>1490</v>
      </c>
      <c r="C298" s="54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299" spans="1:3" x14ac:dyDescent="0.35">
      <c r="A299" s="40" t="str">
        <f>_xlfn.TEXTJOIN(" ",TRUE,Employees_Data[[#This Row],[First Name]],Employees_Data[[#This Row],[Last Name]])</f>
        <v>Majd Abuhamd</v>
      </c>
      <c r="B299" s="55">
        <v>2042</v>
      </c>
      <c r="C299" s="56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300" spans="1:3" x14ac:dyDescent="0.35">
      <c r="A300" s="36" t="str">
        <f>_xlfn.TEXTJOIN(" ",TRUE,Employees_Data[[#This Row],[First Name]],Employees_Data[[#This Row],[Last Name]])</f>
        <v>Sami Qareush</v>
      </c>
      <c r="B300" s="53">
        <v>985</v>
      </c>
      <c r="C300" s="54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301" spans="1:3" x14ac:dyDescent="0.35">
      <c r="A301" s="40" t="str">
        <f>_xlfn.TEXTJOIN(" ",TRUE,Employees_Data[[#This Row],[First Name]],Employees_Data[[#This Row],[Last Name]])</f>
        <v>Rima Jaridiun</v>
      </c>
      <c r="B301" s="55">
        <v>1988</v>
      </c>
      <c r="C301" s="56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302" spans="1:3" x14ac:dyDescent="0.35">
      <c r="A302" s="36" t="str">
        <f>_xlfn.TEXTJOIN(" ",TRUE,Employees_Data[[#This Row],[First Name]],Employees_Data[[#This Row],[Last Name]])</f>
        <v>Iin Alhumwi</v>
      </c>
      <c r="B302" s="53">
        <v>1545</v>
      </c>
      <c r="C302" s="54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303" spans="1:3" x14ac:dyDescent="0.35">
      <c r="A303" s="40" t="str">
        <f>_xlfn.TEXTJOIN(" ",TRUE,Employees_Data[[#This Row],[First Name]],Employees_Data[[#This Row],[Last Name]])</f>
        <v>Akthum Eibdalbaqi</v>
      </c>
      <c r="B303" s="55">
        <v>2637</v>
      </c>
      <c r="C303" s="56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304" spans="1:3" x14ac:dyDescent="0.35">
      <c r="A304" s="36" t="str">
        <f>_xlfn.TEXTJOIN(" ",TRUE,Employees_Data[[#This Row],[First Name]],Employees_Data[[#This Row],[Last Name]])</f>
        <v>Muhamad Almurashihi</v>
      </c>
      <c r="B304" s="53">
        <v>1385</v>
      </c>
      <c r="C304" s="54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305" spans="1:3" x14ac:dyDescent="0.35">
      <c r="A305" s="40" t="str">
        <f>_xlfn.TEXTJOIN(" ",TRUE,Employees_Data[[#This Row],[First Name]],Employees_Data[[#This Row],[Last Name]])</f>
        <v>Batual Abu Fakhar</v>
      </c>
      <c r="B305" s="55">
        <v>2468</v>
      </c>
      <c r="C305" s="56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306" spans="1:3" x14ac:dyDescent="0.35">
      <c r="A306" s="36" t="str">
        <f>_xlfn.TEXTJOIN(" ",TRUE,Employees_Data[[#This Row],[First Name]],Employees_Data[[#This Row],[Last Name]])</f>
        <v>Rinah Alkhuriu</v>
      </c>
      <c r="B306" s="53">
        <v>2098</v>
      </c>
      <c r="C306" s="54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307" spans="1:3" x14ac:dyDescent="0.35">
      <c r="A307" s="40" t="str">
        <f>_xlfn.TEXTJOIN(" ",TRUE,Employees_Data[[#This Row],[First Name]],Employees_Data[[#This Row],[Last Name]])</f>
        <v>Muhamad Alsaqaraq</v>
      </c>
      <c r="B307" s="55">
        <v>2302</v>
      </c>
      <c r="C307" s="56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308" spans="1:3" x14ac:dyDescent="0.35">
      <c r="A308" s="36" t="str">
        <f>_xlfn.TEXTJOIN(" ",TRUE,Employees_Data[[#This Row],[First Name]],Employees_Data[[#This Row],[Last Name]])</f>
        <v>Diea Sharina</v>
      </c>
      <c r="B308" s="53">
        <v>1623</v>
      </c>
      <c r="C308" s="54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309" spans="1:3" x14ac:dyDescent="0.35">
      <c r="A309" s="40" t="str">
        <f>_xlfn.TEXTJOIN(" ",TRUE,Employees_Data[[#This Row],[First Name]],Employees_Data[[#This Row],[Last Name]])</f>
        <v>Jablah Alsulayman</v>
      </c>
      <c r="B309" s="55">
        <v>1333</v>
      </c>
      <c r="C309" s="56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310" spans="1:3" x14ac:dyDescent="0.35">
      <c r="A310" s="36" t="str">
        <f>_xlfn.TEXTJOIN(" ",TRUE,Employees_Data[[#This Row],[First Name]],Employees_Data[[#This Row],[Last Name]])</f>
        <v>Muhamad Almaghribiu</v>
      </c>
      <c r="B310" s="53">
        <v>1431</v>
      </c>
      <c r="C310" s="54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311" spans="1:3" x14ac:dyDescent="0.35">
      <c r="A311" s="40" t="str">
        <f>_xlfn.TEXTJOIN(" ",TRUE,Employees_Data[[#This Row],[First Name]],Employees_Data[[#This Row],[Last Name]])</f>
        <v>Kholoud Khayti</v>
      </c>
      <c r="B311" s="55">
        <v>2527</v>
      </c>
      <c r="C311" s="56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312" spans="1:3" x14ac:dyDescent="0.35">
      <c r="A312" s="36" t="str">
        <f>_xlfn.TEXTJOIN(" ",TRUE,Employees_Data[[#This Row],[First Name]],Employees_Data[[#This Row],[Last Name]])</f>
        <v>Rahaf Jamul</v>
      </c>
      <c r="B312" s="53">
        <v>2631</v>
      </c>
      <c r="C312" s="54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313" spans="1:3" x14ac:dyDescent="0.35">
      <c r="A313" s="40" t="str">
        <f>_xlfn.TEXTJOIN(" ",TRUE,Employees_Data[[#This Row],[First Name]],Employees_Data[[#This Row],[Last Name]])</f>
        <v>Faras Alrahil</v>
      </c>
      <c r="B313" s="55">
        <v>1600</v>
      </c>
      <c r="C313" s="56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314" spans="1:3" x14ac:dyDescent="0.35">
      <c r="A314" s="36" t="str">
        <f>_xlfn.TEXTJOIN(" ",TRUE,Employees_Data[[#This Row],[First Name]],Employees_Data[[#This Row],[Last Name]])</f>
        <v>Abd Alrazzaq Gharah</v>
      </c>
      <c r="B314" s="53">
        <v>2752</v>
      </c>
      <c r="C314" s="54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315" spans="1:3" x14ac:dyDescent="0.35">
      <c r="A315" s="40" t="str">
        <f>_xlfn.TEXTJOIN(" ",TRUE,Employees_Data[[#This Row],[First Name]],Employees_Data[[#This Row],[Last Name]])</f>
        <v>Alaa Saed</v>
      </c>
      <c r="B315" s="55">
        <v>3125</v>
      </c>
      <c r="C315" s="56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316" spans="1:3" x14ac:dyDescent="0.35">
      <c r="A316" s="36" t="str">
        <f>_xlfn.TEXTJOIN(" ",TRUE,Employees_Data[[#This Row],[First Name]],Employees_Data[[#This Row],[Last Name]])</f>
        <v>Lylas Shiah</v>
      </c>
      <c r="B316" s="53">
        <v>2091</v>
      </c>
      <c r="C316" s="54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317" spans="1:3" x14ac:dyDescent="0.35">
      <c r="A317" s="40" t="str">
        <f>_xlfn.TEXTJOIN(" ",TRUE,Employees_Data[[#This Row],[First Name]],Employees_Data[[#This Row],[Last Name]])</f>
        <v>Kinda Alaqre</v>
      </c>
      <c r="B317" s="55">
        <v>1009</v>
      </c>
      <c r="C317" s="56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318" spans="1:3" x14ac:dyDescent="0.35">
      <c r="A318" s="36" t="str">
        <f>_xlfn.TEXTJOIN(" ",TRUE,Employees_Data[[#This Row],[First Name]],Employees_Data[[#This Row],[Last Name]])</f>
        <v>Muhamad Almisri</v>
      </c>
      <c r="B318" s="53">
        <v>3443</v>
      </c>
      <c r="C318" s="54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319" spans="1:3" x14ac:dyDescent="0.35">
      <c r="A319" s="40" t="str">
        <f>_xlfn.TEXTJOIN(" ",TRUE,Employees_Data[[#This Row],[First Name]],Employees_Data[[#This Row],[Last Name]])</f>
        <v>Dinana Zaydan</v>
      </c>
      <c r="B319" s="55">
        <v>1582</v>
      </c>
      <c r="C319" s="56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320" spans="1:3" x14ac:dyDescent="0.35">
      <c r="A320" s="36" t="str">
        <f>_xlfn.TEXTJOIN(" ",TRUE,Employees_Data[[#This Row],[First Name]],Employees_Data[[#This Row],[Last Name]])</f>
        <v>Amyrah Mudinih</v>
      </c>
      <c r="B320" s="53">
        <v>2103</v>
      </c>
      <c r="C320" s="54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321" spans="1:3" x14ac:dyDescent="0.35">
      <c r="A321" s="40" t="str">
        <f>_xlfn.TEXTJOIN(" ",TRUE,Employees_Data[[#This Row],[First Name]],Employees_Data[[#This Row],[Last Name]])</f>
        <v>Safa AlAhmar</v>
      </c>
      <c r="B321" s="55">
        <v>3108</v>
      </c>
      <c r="C321" s="56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322" spans="1:3" x14ac:dyDescent="0.35">
      <c r="A322" s="36" t="str">
        <f>_xlfn.TEXTJOIN(" ",TRUE,Employees_Data[[#This Row],[First Name]],Employees_Data[[#This Row],[Last Name]])</f>
        <v>Ahmad Eurman</v>
      </c>
      <c r="B322" s="53">
        <v>1810</v>
      </c>
      <c r="C322" s="54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323" spans="1:3" x14ac:dyDescent="0.35">
      <c r="A323" s="40" t="str">
        <f>_xlfn.TEXTJOIN(" ",TRUE,Employees_Data[[#This Row],[First Name]],Employees_Data[[#This Row],[Last Name]])</f>
        <v>Abd Allah Almawsiliu</v>
      </c>
      <c r="B323" s="55">
        <v>2312</v>
      </c>
      <c r="C323" s="56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324" spans="1:3" x14ac:dyDescent="0.35">
      <c r="A324" s="36" t="str">
        <f>_xlfn.TEXTJOIN(" ",TRUE,Employees_Data[[#This Row],[First Name]],Employees_Data[[#This Row],[Last Name]])</f>
        <v>Majd Eisaa</v>
      </c>
      <c r="B324" s="53">
        <v>2783</v>
      </c>
      <c r="C324" s="54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325" spans="1:3" x14ac:dyDescent="0.35">
      <c r="A325" s="40" t="str">
        <f>_xlfn.TEXTJOIN(" ",TRUE,Employees_Data[[#This Row],[First Name]],Employees_Data[[#This Row],[Last Name]])</f>
        <v>Muhamad Salhany</v>
      </c>
      <c r="B325" s="55">
        <v>3428</v>
      </c>
      <c r="C325" s="56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326" spans="1:3" x14ac:dyDescent="0.35">
      <c r="A326" s="36" t="str">
        <f>_xlfn.TEXTJOIN(" ",TRUE,Employees_Data[[#This Row],[First Name]],Employees_Data[[#This Row],[Last Name]])</f>
        <v>Ashraf Aleid</v>
      </c>
      <c r="B326" s="53">
        <v>3450</v>
      </c>
      <c r="C326" s="54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327" spans="1:3" x14ac:dyDescent="0.35">
      <c r="A327" s="40" t="str">
        <f>_xlfn.TEXTJOIN(" ",TRUE,Employees_Data[[#This Row],[First Name]],Employees_Data[[#This Row],[Last Name]])</f>
        <v>Muhamad Shadi Alghazy</v>
      </c>
      <c r="B327" s="55">
        <v>1226</v>
      </c>
      <c r="C327" s="56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328" spans="1:3" x14ac:dyDescent="0.35">
      <c r="A328" s="36" t="str">
        <f>_xlfn.TEXTJOIN(" ",TRUE,Employees_Data[[#This Row],[First Name]],Employees_Data[[#This Row],[Last Name]])</f>
        <v>Muhamad Husayn</v>
      </c>
      <c r="B328" s="53">
        <v>3219</v>
      </c>
      <c r="C328" s="54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329" spans="1:3" x14ac:dyDescent="0.35">
      <c r="A329" s="40" t="str">
        <f>_xlfn.TEXTJOIN(" ",TRUE,Employees_Data[[#This Row],[First Name]],Employees_Data[[#This Row],[Last Name]])</f>
        <v>Mazin Bytar</v>
      </c>
      <c r="B329" s="55">
        <v>2060</v>
      </c>
      <c r="C329" s="56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330" spans="1:3" x14ac:dyDescent="0.35">
      <c r="A330" s="36" t="str">
        <f>_xlfn.TEXTJOIN(" ",TRUE,Employees_Data[[#This Row],[First Name]],Employees_Data[[#This Row],[Last Name]])</f>
        <v>Iin Farahat</v>
      </c>
      <c r="B330" s="53">
        <v>2479</v>
      </c>
      <c r="C330" s="54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331" spans="1:3" x14ac:dyDescent="0.35">
      <c r="A331" s="40" t="str">
        <f>_xlfn.TEXTJOIN(" ",TRUE,Employees_Data[[#This Row],[First Name]],Employees_Data[[#This Row],[Last Name]])</f>
        <v>Lama Albazir</v>
      </c>
      <c r="B331" s="55">
        <v>2106</v>
      </c>
      <c r="C331" s="56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332" spans="1:3" x14ac:dyDescent="0.35">
      <c r="A332" s="36" t="str">
        <f>_xlfn.TEXTJOIN(" ",TRUE,Employees_Data[[#This Row],[First Name]],Employees_Data[[#This Row],[Last Name]])</f>
        <v>Emar Alnisrin</v>
      </c>
      <c r="B332" s="53">
        <v>1480</v>
      </c>
      <c r="C332" s="54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333" spans="1:3" x14ac:dyDescent="0.35">
      <c r="A333" s="40" t="str">
        <f>_xlfn.TEXTJOIN(" ",TRUE,Employees_Data[[#This Row],[First Name]],Employees_Data[[#This Row],[Last Name]])</f>
        <v>Afra Sharabi</v>
      </c>
      <c r="B333" s="55">
        <v>994</v>
      </c>
      <c r="C333" s="56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334" spans="1:3" x14ac:dyDescent="0.35">
      <c r="A334" s="36" t="str">
        <f>_xlfn.TEXTJOIN(" ",TRUE,Employees_Data[[#This Row],[First Name]],Employees_Data[[#This Row],[Last Name]])</f>
        <v>Ahmad Hamuwd</v>
      </c>
      <c r="B334" s="53">
        <v>2119</v>
      </c>
      <c r="C334" s="54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335" spans="1:3" x14ac:dyDescent="0.35">
      <c r="A335" s="40" t="str">
        <f>_xlfn.TEXTJOIN(" ",TRUE,Employees_Data[[#This Row],[First Name]],Employees_Data[[#This Row],[Last Name]])</f>
        <v>Ramiz Aleuryan</v>
      </c>
      <c r="B335" s="55">
        <v>1577</v>
      </c>
      <c r="C335" s="56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336" spans="1:3" x14ac:dyDescent="0.35">
      <c r="A336" s="36" t="str">
        <f>_xlfn.TEXTJOIN(" ",TRUE,Employees_Data[[#This Row],[First Name]],Employees_Data[[#This Row],[Last Name]])</f>
        <v>Iad Eaku</v>
      </c>
      <c r="B336" s="53">
        <v>3160</v>
      </c>
      <c r="C336" s="54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337" spans="1:3" x14ac:dyDescent="0.35">
      <c r="A337" s="40" t="str">
        <f>_xlfn.TEXTJOIN(" ",TRUE,Employees_Data[[#This Row],[First Name]],Employees_Data[[#This Row],[Last Name]])</f>
        <v>Husayn Euthman</v>
      </c>
      <c r="B337" s="55">
        <v>2692</v>
      </c>
      <c r="C337" s="56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338" spans="1:3" x14ac:dyDescent="0.35">
      <c r="A338" s="36" t="str">
        <f>_xlfn.TEXTJOIN(" ",TRUE,Employees_Data[[#This Row],[First Name]],Employees_Data[[#This Row],[Last Name]])</f>
        <v>Imran Hazruma</v>
      </c>
      <c r="B338" s="53">
        <v>1448</v>
      </c>
      <c r="C338" s="54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339" spans="1:3" x14ac:dyDescent="0.35">
      <c r="A339" s="40" t="str">
        <f>_xlfn.TEXTJOIN(" ",TRUE,Employees_Data[[#This Row],[First Name]],Employees_Data[[#This Row],[Last Name]])</f>
        <v>Rawan Durkzili</v>
      </c>
      <c r="B339" s="55">
        <v>1568</v>
      </c>
      <c r="C339" s="56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340" spans="1:3" x14ac:dyDescent="0.35">
      <c r="A340" s="36" t="str">
        <f>_xlfn.TEXTJOIN(" ",TRUE,Employees_Data[[#This Row],[First Name]],Employees_Data[[#This Row],[Last Name]])</f>
        <v>Muayid Shaqir</v>
      </c>
      <c r="B340" s="53">
        <v>1823</v>
      </c>
      <c r="C340" s="54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341" spans="1:3" x14ac:dyDescent="0.35">
      <c r="A341" s="40" t="str">
        <f>_xlfn.TEXTJOIN(" ",TRUE,Employees_Data[[#This Row],[First Name]],Employees_Data[[#This Row],[Last Name]])</f>
        <v>Muanis Alsabagh</v>
      </c>
      <c r="B341" s="55">
        <v>1712</v>
      </c>
      <c r="C341" s="56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342" spans="1:3" x14ac:dyDescent="0.35">
      <c r="A342" s="36" t="str">
        <f>_xlfn.TEXTJOIN(" ",TRUE,Employees_Data[[#This Row],[First Name]],Employees_Data[[#This Row],[Last Name]])</f>
        <v>Dijwar Husu</v>
      </c>
      <c r="B342" s="53">
        <v>744</v>
      </c>
      <c r="C342" s="54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343" spans="1:3" x14ac:dyDescent="0.35">
      <c r="A343" s="40" t="str">
        <f>_xlfn.TEXTJOIN(" ",TRUE,Employees_Data[[#This Row],[First Name]],Employees_Data[[#This Row],[Last Name]])</f>
        <v>Asama Eilwan</v>
      </c>
      <c r="B343" s="55">
        <v>2972</v>
      </c>
      <c r="C343" s="56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344" spans="1:3" x14ac:dyDescent="0.35">
      <c r="A344" s="36" t="str">
        <f>_xlfn.TEXTJOIN(" ",TRUE,Employees_Data[[#This Row],[First Name]],Employees_Data[[#This Row],[Last Name]])</f>
        <v>Esamat Alhidad</v>
      </c>
      <c r="B344" s="53">
        <v>2931</v>
      </c>
      <c r="C344" s="54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345" spans="1:3" x14ac:dyDescent="0.35">
      <c r="A345" s="40" t="str">
        <f>_xlfn.TEXTJOIN(" ",TRUE,Employees_Data[[#This Row],[First Name]],Employees_Data[[#This Row],[Last Name]])</f>
        <v>Tariq Zaeur</v>
      </c>
      <c r="B345" s="55">
        <v>2544</v>
      </c>
      <c r="C345" s="56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346" spans="1:3" x14ac:dyDescent="0.35">
      <c r="A346" s="36" t="str">
        <f>_xlfn.TEXTJOIN(" ",TRUE,Employees_Data[[#This Row],[First Name]],Employees_Data[[#This Row],[Last Name]])</f>
        <v>Rasul Aleumurii</v>
      </c>
      <c r="B346" s="53">
        <v>1595</v>
      </c>
      <c r="C346" s="54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347" spans="1:3" x14ac:dyDescent="0.35">
      <c r="A347" s="40" t="str">
        <f>_xlfn.TEXTJOIN(" ",TRUE,Employees_Data[[#This Row],[First Name]],Employees_Data[[#This Row],[Last Name]])</f>
        <v>Rawan Albaytar</v>
      </c>
      <c r="B347" s="55">
        <v>1326</v>
      </c>
      <c r="C347" s="56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348" spans="1:3" x14ac:dyDescent="0.35">
      <c r="A348" s="36" t="str">
        <f>_xlfn.TEXTJOIN(" ",TRUE,Employees_Data[[#This Row],[First Name]],Employees_Data[[#This Row],[Last Name]])</f>
        <v>Omar Altuean</v>
      </c>
      <c r="B348" s="53">
        <v>3117</v>
      </c>
      <c r="C348" s="54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349" spans="1:3" x14ac:dyDescent="0.35">
      <c r="A349" s="40" t="str">
        <f>_xlfn.TEXTJOIN(" ",TRUE,Employees_Data[[#This Row],[First Name]],Employees_Data[[#This Row],[Last Name]])</f>
        <v>Dalia Hamdan</v>
      </c>
      <c r="B349" s="55">
        <v>3446</v>
      </c>
      <c r="C349" s="56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350" spans="1:3" x14ac:dyDescent="0.35">
      <c r="A350" s="36" t="str">
        <f>_xlfn.TEXTJOIN(" ",TRUE,Employees_Data[[#This Row],[First Name]],Employees_Data[[#This Row],[Last Name]])</f>
        <v>Omar Alhindi</v>
      </c>
      <c r="B350" s="53">
        <v>2023</v>
      </c>
      <c r="C350" s="54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351" spans="1:3" x14ac:dyDescent="0.35">
      <c r="A351" s="40" t="str">
        <f>_xlfn.TEXTJOIN(" ",TRUE,Employees_Data[[#This Row],[First Name]],Employees_Data[[#This Row],[Last Name]])</f>
        <v>Ali Zyny</v>
      </c>
      <c r="B351" s="55">
        <v>979</v>
      </c>
      <c r="C351" s="56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352" spans="1:3" x14ac:dyDescent="0.35">
      <c r="A352" s="36" t="str">
        <f>_xlfn.TEXTJOIN(" ",TRUE,Employees_Data[[#This Row],[First Name]],Employees_Data[[#This Row],[Last Name]])</f>
        <v>Almuetaz Biallah</v>
      </c>
      <c r="B352" s="53">
        <v>1676</v>
      </c>
      <c r="C352" s="54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353" spans="1:3" x14ac:dyDescent="0.35">
      <c r="A353" s="40" t="str">
        <f>_xlfn.TEXTJOIN(" ",TRUE,Employees_Data[[#This Row],[First Name]],Employees_Data[[#This Row],[Last Name]])</f>
        <v>Rabana Alsaman</v>
      </c>
      <c r="B353" s="55">
        <v>3079</v>
      </c>
      <c r="C353" s="56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354" spans="1:3" x14ac:dyDescent="0.35">
      <c r="A354" s="36" t="str">
        <f>_xlfn.TEXTJOIN(" ",TRUE,Employees_Data[[#This Row],[First Name]],Employees_Data[[#This Row],[Last Name]])</f>
        <v>Ghada Khalid</v>
      </c>
      <c r="B354" s="53">
        <v>2164</v>
      </c>
      <c r="C354" s="54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355" spans="1:3" x14ac:dyDescent="0.35">
      <c r="A355" s="40" t="str">
        <f>_xlfn.TEXTJOIN(" ",TRUE,Employees_Data[[#This Row],[First Name]],Employees_Data[[#This Row],[Last Name]])</f>
        <v>Esamat Alriys</v>
      </c>
      <c r="B355" s="55">
        <v>2312</v>
      </c>
      <c r="C355" s="56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356" spans="1:3" x14ac:dyDescent="0.35">
      <c r="A356" s="36" t="str">
        <f>_xlfn.TEXTJOIN(" ",TRUE,Employees_Data[[#This Row],[First Name]],Employees_Data[[#This Row],[Last Name]])</f>
        <v>Amir Alkhatib</v>
      </c>
      <c r="B356" s="53">
        <v>834</v>
      </c>
      <c r="C356" s="54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357" spans="1:3" x14ac:dyDescent="0.35">
      <c r="A357" s="40" t="str">
        <f>_xlfn.TEXTJOIN(" ",TRUE,Employees_Data[[#This Row],[First Name]],Employees_Data[[#This Row],[Last Name]])</f>
        <v>Samirah Jumea</v>
      </c>
      <c r="B357" s="55">
        <v>723</v>
      </c>
      <c r="C357" s="56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358" spans="1:3" x14ac:dyDescent="0.35">
      <c r="A358" s="36" t="str">
        <f>_xlfn.TEXTJOIN(" ",TRUE,Employees_Data[[#This Row],[First Name]],Employees_Data[[#This Row],[Last Name]])</f>
        <v>Samir Alhaj Ali</v>
      </c>
      <c r="B358" s="53">
        <v>2807</v>
      </c>
      <c r="C358" s="54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359" spans="1:3" x14ac:dyDescent="0.35">
      <c r="A359" s="40" t="str">
        <f>_xlfn.TEXTJOIN(" ",TRUE,Employees_Data[[#This Row],[First Name]],Employees_Data[[#This Row],[Last Name]])</f>
        <v>Farial Qulumih</v>
      </c>
      <c r="B359" s="55">
        <v>1002</v>
      </c>
      <c r="C359" s="56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360" spans="1:3" x14ac:dyDescent="0.35">
      <c r="A360" s="36" t="str">
        <f>_xlfn.TEXTJOIN(" ",TRUE,Employees_Data[[#This Row],[First Name]],Employees_Data[[#This Row],[Last Name]])</f>
        <v>Salih Dawara</v>
      </c>
      <c r="B360" s="53">
        <v>2265</v>
      </c>
      <c r="C360" s="54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361" spans="1:3" x14ac:dyDescent="0.35">
      <c r="A361" s="40" t="str">
        <f>_xlfn.TEXTJOIN(" ",TRUE,Employees_Data[[#This Row],[First Name]],Employees_Data[[#This Row],[Last Name]])</f>
        <v>Abdalhadi Salim</v>
      </c>
      <c r="B361" s="55">
        <v>3283</v>
      </c>
      <c r="C361" s="56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362" spans="1:3" x14ac:dyDescent="0.35">
      <c r="A362" s="36" t="str">
        <f>_xlfn.TEXTJOIN(" ",TRUE,Employees_Data[[#This Row],[First Name]],Employees_Data[[#This Row],[Last Name]])</f>
        <v>Ruaa Qahraman</v>
      </c>
      <c r="B362" s="53">
        <v>2675</v>
      </c>
      <c r="C362" s="54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363" spans="1:3" x14ac:dyDescent="0.35">
      <c r="A363" s="40" t="str">
        <f>_xlfn.TEXTJOIN(" ",TRUE,Employees_Data[[#This Row],[First Name]],Employees_Data[[#This Row],[Last Name]])</f>
        <v>Muhamad Mshati</v>
      </c>
      <c r="B363" s="55">
        <v>3056</v>
      </c>
      <c r="C363" s="56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364" spans="1:3" x14ac:dyDescent="0.35">
      <c r="A364" s="36" t="str">
        <f>_xlfn.TEXTJOIN(" ",TRUE,Employees_Data[[#This Row],[First Name]],Employees_Data[[#This Row],[Last Name]])</f>
        <v>Shadi Altibae</v>
      </c>
      <c r="B364" s="53">
        <v>1579</v>
      </c>
      <c r="C364" s="54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365" spans="1:3" x14ac:dyDescent="0.35">
      <c r="A365" s="40" t="str">
        <f>_xlfn.TEXTJOIN(" ",TRUE,Employees_Data[[#This Row],[First Name]],Employees_Data[[#This Row],[Last Name]])</f>
        <v>Ahmad Iidlibi</v>
      </c>
      <c r="B365" s="55">
        <v>1255</v>
      </c>
      <c r="C365" s="56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366" spans="1:3" x14ac:dyDescent="0.35">
      <c r="A366" s="36" t="str">
        <f>_xlfn.TEXTJOIN(" ",TRUE,Employees_Data[[#This Row],[First Name]],Employees_Data[[#This Row],[Last Name]])</f>
        <v>Fadi Ghazzawi</v>
      </c>
      <c r="B366" s="53">
        <v>3418</v>
      </c>
      <c r="C366" s="54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367" spans="1:3" x14ac:dyDescent="0.35">
      <c r="A367" s="40" t="str">
        <f>_xlfn.TEXTJOIN(" ",TRUE,Employees_Data[[#This Row],[First Name]],Employees_Data[[#This Row],[Last Name]])</f>
        <v>Basil Eabd Aleal</v>
      </c>
      <c r="B367" s="55">
        <v>3368</v>
      </c>
      <c r="C367" s="56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368" spans="1:3" x14ac:dyDescent="0.35">
      <c r="A368" s="36" t="str">
        <f>_xlfn.TEXTJOIN(" ",TRUE,Employees_Data[[#This Row],[First Name]],Employees_Data[[#This Row],[Last Name]])</f>
        <v>Sali Musuh</v>
      </c>
      <c r="B368" s="53">
        <v>3275</v>
      </c>
      <c r="C368" s="54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369" spans="1:3" x14ac:dyDescent="0.35">
      <c r="A369" s="40" t="str">
        <f>_xlfn.TEXTJOIN(" ",TRUE,Employees_Data[[#This Row],[First Name]],Employees_Data[[#This Row],[Last Name]])</f>
        <v>Alaa Iismaeil</v>
      </c>
      <c r="B369" s="55">
        <v>3043</v>
      </c>
      <c r="C369" s="56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370" spans="1:3" x14ac:dyDescent="0.35">
      <c r="A370" s="36" t="str">
        <f>_xlfn.TEXTJOIN(" ",TRUE,Employees_Data[[#This Row],[First Name]],Employees_Data[[#This Row],[Last Name]])</f>
        <v>Maria Alhizae</v>
      </c>
      <c r="B370" s="53">
        <v>1122</v>
      </c>
      <c r="C370" s="54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371" spans="1:3" x14ac:dyDescent="0.35">
      <c r="A371" s="40" t="str">
        <f>_xlfn.TEXTJOIN(" ",TRUE,Employees_Data[[#This Row],[First Name]],Employees_Data[[#This Row],[Last Name]])</f>
        <v>Ghazal Alghan</v>
      </c>
      <c r="B371" s="55">
        <v>764</v>
      </c>
      <c r="C371" s="56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372" spans="1:3" x14ac:dyDescent="0.35">
      <c r="A372" s="36" t="str">
        <f>_xlfn.TEXTJOIN(" ",TRUE,Employees_Data[[#This Row],[First Name]],Employees_Data[[#This Row],[Last Name]])</f>
        <v>Eala Mitri</v>
      </c>
      <c r="B372" s="53">
        <v>2879</v>
      </c>
      <c r="C372" s="54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373" spans="1:3" x14ac:dyDescent="0.35">
      <c r="A373" s="40" t="str">
        <f>_xlfn.TEXTJOIN(" ",TRUE,Employees_Data[[#This Row],[First Name]],Employees_Data[[#This Row],[Last Name]])</f>
        <v>Muhamad Aleliwi</v>
      </c>
      <c r="B373" s="55">
        <v>2252</v>
      </c>
      <c r="C373" s="56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374" spans="1:3" x14ac:dyDescent="0.35">
      <c r="A374" s="36" t="str">
        <f>_xlfn.TEXTJOIN(" ",TRUE,Employees_Data[[#This Row],[First Name]],Employees_Data[[#This Row],[Last Name]])</f>
        <v>Ahmad Almisri</v>
      </c>
      <c r="B374" s="53">
        <v>2149</v>
      </c>
      <c r="C374" s="54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375" spans="1:3" x14ac:dyDescent="0.35">
      <c r="A375" s="40" t="str">
        <f>_xlfn.TEXTJOIN(" ",TRUE,Employees_Data[[#This Row],[First Name]],Employees_Data[[#This Row],[Last Name]])</f>
        <v>Ahmad Aldwltali</v>
      </c>
      <c r="B375" s="55">
        <v>2428</v>
      </c>
      <c r="C375" s="56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376" spans="1:3" x14ac:dyDescent="0.35">
      <c r="A376" s="36" t="str">
        <f>_xlfn.TEXTJOIN(" ",TRUE,Employees_Data[[#This Row],[First Name]],Employees_Data[[#This Row],[Last Name]])</f>
        <v>Muhamad Udib</v>
      </c>
      <c r="B376" s="53">
        <v>3240</v>
      </c>
      <c r="C376" s="54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377" spans="1:3" x14ac:dyDescent="0.35">
      <c r="A377" s="40" t="str">
        <f>_xlfn.TEXTJOIN(" ",TRUE,Employees_Data[[#This Row],[First Name]],Employees_Data[[#This Row],[Last Name]])</f>
        <v>Alaa Yuzbik</v>
      </c>
      <c r="B377" s="55">
        <v>1448</v>
      </c>
      <c r="C377" s="56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378" spans="1:3" x14ac:dyDescent="0.35">
      <c r="A378" s="36" t="str">
        <f>_xlfn.TEXTJOIN(" ",TRUE,Employees_Data[[#This Row],[First Name]],Employees_Data[[#This Row],[Last Name]])</f>
        <v>Husayn Zaerur</v>
      </c>
      <c r="B378" s="53">
        <v>2409</v>
      </c>
      <c r="C378" s="54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379" spans="1:3" x14ac:dyDescent="0.35">
      <c r="A379" s="40" t="str">
        <f>_xlfn.TEXTJOIN(" ",TRUE,Employees_Data[[#This Row],[First Name]],Employees_Data[[#This Row],[Last Name]])</f>
        <v>Saeid Mazlum</v>
      </c>
      <c r="B379" s="55">
        <v>3030</v>
      </c>
      <c r="C379" s="56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380" spans="1:3" x14ac:dyDescent="0.35">
      <c r="A380" s="36" t="str">
        <f>_xlfn.TEXTJOIN(" ",TRUE,Employees_Data[[#This Row],[First Name]],Employees_Data[[#This Row],[Last Name]])</f>
        <v>Ahmad Alghurani</v>
      </c>
      <c r="B380" s="53">
        <v>2544</v>
      </c>
      <c r="C380" s="54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381" spans="1:3" x14ac:dyDescent="0.35">
      <c r="A381" s="40" t="str">
        <f>_xlfn.TEXTJOIN(" ",TRUE,Employees_Data[[#This Row],[First Name]],Employees_Data[[#This Row],[Last Name]])</f>
        <v>Abd Alsamad Ahmad</v>
      </c>
      <c r="B381" s="55">
        <v>2872</v>
      </c>
      <c r="C381" s="56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382" spans="1:3" x14ac:dyDescent="0.35">
      <c r="A382" s="36" t="str">
        <f>_xlfn.TEXTJOIN(" ",TRUE,Employees_Data[[#This Row],[First Name]],Employees_Data[[#This Row],[Last Name]])</f>
        <v>Amir Alhasan</v>
      </c>
      <c r="B382" s="53">
        <v>2263</v>
      </c>
      <c r="C382" s="54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383" spans="1:3" x14ac:dyDescent="0.35">
      <c r="A383" s="40" t="str">
        <f>_xlfn.TEXTJOIN(" ",TRUE,Employees_Data[[#This Row],[First Name]],Employees_Data[[#This Row],[Last Name]])</f>
        <v>Alaa Altahhan</v>
      </c>
      <c r="B383" s="55">
        <v>2136</v>
      </c>
      <c r="C383" s="56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384" spans="1:3" x14ac:dyDescent="0.35">
      <c r="A384" s="36" t="str">
        <f>_xlfn.TEXTJOIN(" ",TRUE,Employees_Data[[#This Row],[First Name]],Employees_Data[[#This Row],[Last Name]])</f>
        <v>Iad Mahfud</v>
      </c>
      <c r="B384" s="53">
        <v>2379</v>
      </c>
      <c r="C384" s="54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385" spans="1:3" x14ac:dyDescent="0.35">
      <c r="A385" s="40" t="str">
        <f>_xlfn.TEXTJOIN(" ",TRUE,Employees_Data[[#This Row],[First Name]],Employees_Data[[#This Row],[Last Name]])</f>
        <v>Sarah Damrani</v>
      </c>
      <c r="B385" s="55">
        <v>1940</v>
      </c>
      <c r="C385" s="56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386" spans="1:3" x14ac:dyDescent="0.35">
      <c r="A386" s="36" t="str">
        <f>_xlfn.TEXTJOIN(" ",TRUE,Employees_Data[[#This Row],[First Name]],Employees_Data[[#This Row],[Last Name]])</f>
        <v>Husam Aldubus</v>
      </c>
      <c r="B386" s="53">
        <v>1558</v>
      </c>
      <c r="C386" s="54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387" spans="1:3" x14ac:dyDescent="0.35">
      <c r="A387" s="40" t="str">
        <f>_xlfn.TEXTJOIN(" ",TRUE,Employees_Data[[#This Row],[First Name]],Employees_Data[[#This Row],[Last Name]])</f>
        <v>Ahmad Zynu</v>
      </c>
      <c r="B387" s="55">
        <v>1341</v>
      </c>
      <c r="C387" s="56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388" spans="1:3" x14ac:dyDescent="0.35">
      <c r="A388" s="36" t="str">
        <f>_xlfn.TEXTJOIN(" ",TRUE,Employees_Data[[#This Row],[First Name]],Employees_Data[[#This Row],[Last Name]])</f>
        <v>Lwy Abu</v>
      </c>
      <c r="B388" s="53">
        <v>1703</v>
      </c>
      <c r="C388" s="54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389" spans="1:3" x14ac:dyDescent="0.35">
      <c r="A389" s="40" t="str">
        <f>_xlfn.TEXTJOIN(" ",TRUE,Employees_Data[[#This Row],[First Name]],Employees_Data[[#This Row],[Last Name]])</f>
        <v>Tariq Shams</v>
      </c>
      <c r="B389" s="55">
        <v>3282</v>
      </c>
      <c r="C389" s="56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390" spans="1:3" x14ac:dyDescent="0.35">
      <c r="A390" s="36" t="str">
        <f>_xlfn.TEXTJOIN(" ",TRUE,Employees_Data[[#This Row],[First Name]],Employees_Data[[#This Row],[Last Name]])</f>
        <v>Muhamad Khalil</v>
      </c>
      <c r="B390" s="53">
        <v>3125</v>
      </c>
      <c r="C390" s="54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391" spans="1:3" x14ac:dyDescent="0.35">
      <c r="A391" s="40" t="str">
        <f>_xlfn.TEXTJOIN(" ",TRUE,Employees_Data[[#This Row],[First Name]],Employees_Data[[#This Row],[Last Name]])</f>
        <v>Amal Alhusayn</v>
      </c>
      <c r="B391" s="55">
        <v>2232</v>
      </c>
      <c r="C391" s="56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392" spans="1:3" x14ac:dyDescent="0.35">
      <c r="A392" s="36" t="str">
        <f>_xlfn.TEXTJOIN(" ",TRUE,Employees_Data[[#This Row],[First Name]],Employees_Data[[#This Row],[Last Name]])</f>
        <v>Fadi Shakur</v>
      </c>
      <c r="B392" s="53">
        <v>2513</v>
      </c>
      <c r="C392" s="54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393" spans="1:3" x14ac:dyDescent="0.35">
      <c r="A393" s="40" t="str">
        <f>_xlfn.TEXTJOIN(" ",TRUE,Employees_Data[[#This Row],[First Name]],Employees_Data[[#This Row],[Last Name]])</f>
        <v>Abdalhai Sarhan</v>
      </c>
      <c r="B393" s="55">
        <v>2818</v>
      </c>
      <c r="C393" s="56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394" spans="1:3" x14ac:dyDescent="0.35">
      <c r="A394" s="36" t="str">
        <f>_xlfn.TEXTJOIN(" ",TRUE,Employees_Data[[#This Row],[First Name]],Employees_Data[[#This Row],[Last Name]])</f>
        <v>Ahmad Alqadi</v>
      </c>
      <c r="B394" s="53">
        <v>2257</v>
      </c>
      <c r="C394" s="54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395" spans="1:3" x14ac:dyDescent="0.35">
      <c r="A395" s="40" t="str">
        <f>_xlfn.TEXTJOIN(" ",TRUE,Employees_Data[[#This Row],[First Name]],Employees_Data[[#This Row],[Last Name]])</f>
        <v>Husam Albush</v>
      </c>
      <c r="B395" s="55">
        <v>1265</v>
      </c>
      <c r="C395" s="56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396" spans="1:3" x14ac:dyDescent="0.35">
      <c r="A396" s="36" t="str">
        <f>_xlfn.TEXTJOIN(" ",TRUE,Employees_Data[[#This Row],[First Name]],Employees_Data[[#This Row],[Last Name]])</f>
        <v>Anas Eabidin</v>
      </c>
      <c r="B396" s="53">
        <v>2207</v>
      </c>
      <c r="C396" s="54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397" spans="1:3" x14ac:dyDescent="0.35">
      <c r="A397" s="40" t="str">
        <f>_xlfn.TEXTJOIN(" ",TRUE,Employees_Data[[#This Row],[First Name]],Employees_Data[[#This Row],[Last Name]])</f>
        <v>Muhamad Ebdalwahd</v>
      </c>
      <c r="B397" s="55">
        <v>2806</v>
      </c>
      <c r="C397" s="56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398" spans="1:3" x14ac:dyDescent="0.35">
      <c r="A398" s="36" t="str">
        <f>_xlfn.TEXTJOIN(" ",TRUE,Employees_Data[[#This Row],[First Name]],Employees_Data[[#This Row],[Last Name]])</f>
        <v>Khalid Iibrahim</v>
      </c>
      <c r="B398" s="53">
        <v>1521</v>
      </c>
      <c r="C398" s="54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399" spans="1:3" x14ac:dyDescent="0.35">
      <c r="A399" s="40" t="str">
        <f>_xlfn.TEXTJOIN(" ",TRUE,Employees_Data[[#This Row],[First Name]],Employees_Data[[#This Row],[Last Name]])</f>
        <v>Muhamad Aleazm</v>
      </c>
      <c r="B399" s="55">
        <v>1867</v>
      </c>
      <c r="C399" s="56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400" spans="1:3" x14ac:dyDescent="0.35">
      <c r="A400" s="36" t="str">
        <f>_xlfn.TEXTJOIN(" ",TRUE,Employees_Data[[#This Row],[First Name]],Employees_Data[[#This Row],[Last Name]])</f>
        <v>Maya Alhmwi</v>
      </c>
      <c r="B400" s="53">
        <v>2425</v>
      </c>
      <c r="C400" s="54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401" spans="1:3" x14ac:dyDescent="0.35">
      <c r="A401" s="40" t="str">
        <f>_xlfn.TEXTJOIN(" ",TRUE,Employees_Data[[#This Row],[First Name]],Employees_Data[[#This Row],[Last Name]])</f>
        <v>Basil Khiat</v>
      </c>
      <c r="B401" s="55">
        <v>1758</v>
      </c>
      <c r="C401" s="56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402" spans="1:3" x14ac:dyDescent="0.35">
      <c r="A402" s="36" t="str">
        <f>_xlfn.TEXTJOIN(" ",TRUE,Employees_Data[[#This Row],[First Name]],Employees_Data[[#This Row],[Last Name]])</f>
        <v>Muhamad Zaydan</v>
      </c>
      <c r="B402" s="53">
        <v>2832</v>
      </c>
      <c r="C402" s="54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403" spans="1:3" x14ac:dyDescent="0.35">
      <c r="A403" s="40" t="str">
        <f>_xlfn.TEXTJOIN(" ",TRUE,Employees_Data[[#This Row],[First Name]],Employees_Data[[#This Row],[Last Name]])</f>
        <v>Randa Alajw</v>
      </c>
      <c r="B403" s="55">
        <v>1371</v>
      </c>
      <c r="C403" s="56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404" spans="1:3" x14ac:dyDescent="0.35">
      <c r="A404" s="36" t="str">
        <f>_xlfn.TEXTJOIN(" ",TRUE,Employees_Data[[#This Row],[First Name]],Employees_Data[[#This Row],[Last Name]])</f>
        <v>Muhamad Alghazi</v>
      </c>
      <c r="B404" s="53">
        <v>2904</v>
      </c>
      <c r="C404" s="54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405" spans="1:3" x14ac:dyDescent="0.35">
      <c r="A405" s="40" t="str">
        <f>_xlfn.TEXTJOIN(" ",TRUE,Employees_Data[[#This Row],[First Name]],Employees_Data[[#This Row],[Last Name]])</f>
        <v>Rahaf Eijluni</v>
      </c>
      <c r="B405" s="55">
        <v>3285</v>
      </c>
      <c r="C405" s="56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406" spans="1:3" x14ac:dyDescent="0.35">
      <c r="A406" s="36" t="str">
        <f>_xlfn.TEXTJOIN(" ",TRUE,Employees_Data[[#This Row],[First Name]],Employees_Data[[#This Row],[Last Name]])</f>
        <v>Sultan Alhijar</v>
      </c>
      <c r="B406" s="53">
        <v>2964</v>
      </c>
      <c r="C406" s="54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407" spans="1:3" x14ac:dyDescent="0.35">
      <c r="A407" s="40" t="str">
        <f>_xlfn.TEXTJOIN(" ",TRUE,Employees_Data[[#This Row],[First Name]],Employees_Data[[#This Row],[Last Name]])</f>
        <v>Asma Sadqawi</v>
      </c>
      <c r="B407" s="55">
        <v>974</v>
      </c>
      <c r="C407" s="56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408" spans="1:3" x14ac:dyDescent="0.35">
      <c r="A408" s="36" t="str">
        <f>_xlfn.TEXTJOIN(" ",TRUE,Employees_Data[[#This Row],[First Name]],Employees_Data[[#This Row],[Last Name]])</f>
        <v>Fulla Alkhalid</v>
      </c>
      <c r="B408" s="53">
        <v>2607</v>
      </c>
      <c r="C408" s="54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409" spans="1:3" x14ac:dyDescent="0.35">
      <c r="A409" s="40" t="str">
        <f>_xlfn.TEXTJOIN(" ",TRUE,Employees_Data[[#This Row],[First Name]],Employees_Data[[#This Row],[Last Name]])</f>
        <v>Lujin Alaleppoy</v>
      </c>
      <c r="B409" s="55">
        <v>1550</v>
      </c>
      <c r="C409" s="56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410" spans="1:3" x14ac:dyDescent="0.35">
      <c r="A410" s="36" t="str">
        <f>_xlfn.TEXTJOIN(" ",TRUE,Employees_Data[[#This Row],[First Name]],Employees_Data[[#This Row],[Last Name]])</f>
        <v>Jihan Alqudmani</v>
      </c>
      <c r="B410" s="53">
        <v>1631</v>
      </c>
      <c r="C410" s="54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411" spans="1:3" x14ac:dyDescent="0.35">
      <c r="A411" s="40" t="str">
        <f>_xlfn.TEXTJOIN(" ",TRUE,Employees_Data[[#This Row],[First Name]],Employees_Data[[#This Row],[Last Name]])</f>
        <v>Anwar Alkhayran</v>
      </c>
      <c r="B411" s="55">
        <v>3003</v>
      </c>
      <c r="C411" s="56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412" spans="1:3" x14ac:dyDescent="0.35">
      <c r="A412" s="36" t="str">
        <f>_xlfn.TEXTJOIN(" ",TRUE,Employees_Data[[#This Row],[First Name]],Employees_Data[[#This Row],[Last Name]])</f>
        <v>Qasim Muhamad</v>
      </c>
      <c r="B412" s="53">
        <v>913</v>
      </c>
      <c r="C412" s="54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413" spans="1:3" x14ac:dyDescent="0.35">
      <c r="A413" s="40" t="str">
        <f>_xlfn.TEXTJOIN(" ",TRUE,Employees_Data[[#This Row],[First Name]],Employees_Data[[#This Row],[Last Name]])</f>
        <v>Samir Altaynawi</v>
      </c>
      <c r="B413" s="55">
        <v>2076</v>
      </c>
      <c r="C413" s="56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414" spans="1:3" x14ac:dyDescent="0.35">
      <c r="A414" s="36" t="str">
        <f>_xlfn.TEXTJOIN(" ",TRUE,Employees_Data[[#This Row],[First Name]],Employees_Data[[#This Row],[Last Name]])</f>
        <v>Alaa Hafiz</v>
      </c>
      <c r="B414" s="53">
        <v>2749</v>
      </c>
      <c r="C414" s="54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415" spans="1:3" x14ac:dyDescent="0.35">
      <c r="A415" s="40" t="str">
        <f>_xlfn.TEXTJOIN(" ",TRUE,Employees_Data[[#This Row],[First Name]],Employees_Data[[#This Row],[Last Name]])</f>
        <v>Kamilia Sydu</v>
      </c>
      <c r="B415" s="55">
        <v>2617</v>
      </c>
      <c r="C415" s="56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416" spans="1:3" x14ac:dyDescent="0.35">
      <c r="A416" s="36" t="str">
        <f>_xlfn.TEXTJOIN(" ",TRUE,Employees_Data[[#This Row],[First Name]],Employees_Data[[#This Row],[Last Name]])</f>
        <v>Ali Marwan</v>
      </c>
      <c r="B416" s="53">
        <v>1680</v>
      </c>
      <c r="C416" s="54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417" spans="1:3" x14ac:dyDescent="0.35">
      <c r="A417" s="40" t="str">
        <f>_xlfn.TEXTJOIN(" ",TRUE,Employees_Data[[#This Row],[First Name]],Employees_Data[[#This Row],[Last Name]])</f>
        <v>Mahir Almarstani</v>
      </c>
      <c r="B417" s="55">
        <v>2824</v>
      </c>
      <c r="C417" s="56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418" spans="1:3" x14ac:dyDescent="0.35">
      <c r="A418" s="36" t="str">
        <f>_xlfn.TEXTJOIN(" ",TRUE,Employees_Data[[#This Row],[First Name]],Employees_Data[[#This Row],[Last Name]])</f>
        <v>Rwad Alddahir</v>
      </c>
      <c r="B418" s="53">
        <v>1646</v>
      </c>
      <c r="C418" s="54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419" spans="1:3" x14ac:dyDescent="0.35">
      <c r="A419" s="40" t="str">
        <f>_xlfn.TEXTJOIN(" ",TRUE,Employees_Data[[#This Row],[First Name]],Employees_Data[[#This Row],[Last Name]])</f>
        <v>Jury Eabuwd</v>
      </c>
      <c r="B419" s="55">
        <v>979</v>
      </c>
      <c r="C419" s="56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420" spans="1:3" x14ac:dyDescent="0.35">
      <c r="A420" s="36" t="str">
        <f>_xlfn.TEXTJOIN(" ",TRUE,Employees_Data[[#This Row],[First Name]],Employees_Data[[#This Row],[Last Name]])</f>
        <v>Sayban Musur</v>
      </c>
      <c r="B420" s="53">
        <v>1274</v>
      </c>
      <c r="C420" s="54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421" spans="1:3" x14ac:dyDescent="0.35">
      <c r="A421" s="40" t="str">
        <f>_xlfn.TEXTJOIN(" ",TRUE,Employees_Data[[#This Row],[First Name]],Employees_Data[[#This Row],[Last Name]])</f>
        <v>Diana Muayid</v>
      </c>
      <c r="B421" s="55">
        <v>2715</v>
      </c>
      <c r="C421" s="56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422" spans="1:3" x14ac:dyDescent="0.35">
      <c r="A422" s="36" t="str">
        <f>_xlfn.TEXTJOIN(" ",TRUE,Employees_Data[[#This Row],[First Name]],Employees_Data[[#This Row],[Last Name]])</f>
        <v>Lbyb Fahd</v>
      </c>
      <c r="B422" s="53">
        <v>1158</v>
      </c>
      <c r="C422" s="54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423" spans="1:3" x14ac:dyDescent="0.35">
      <c r="A423" s="40" t="str">
        <f>_xlfn.TEXTJOIN(" ",TRUE,Employees_Data[[#This Row],[First Name]],Employees_Data[[#This Row],[Last Name]])</f>
        <v>Bashshar Bilul</v>
      </c>
      <c r="B423" s="55">
        <v>1986</v>
      </c>
      <c r="C423" s="56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424" spans="1:3" x14ac:dyDescent="0.35">
      <c r="A424" s="36" t="str">
        <f>_xlfn.TEXTJOIN(" ",TRUE,Employees_Data[[#This Row],[First Name]],Employees_Data[[#This Row],[Last Name]])</f>
        <v>Ali Alnuwri</v>
      </c>
      <c r="B424" s="53">
        <v>3299</v>
      </c>
      <c r="C424" s="54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425" spans="1:3" x14ac:dyDescent="0.35">
      <c r="A425" s="40" t="str">
        <f>_xlfn.TEXTJOIN(" ",TRUE,Employees_Data[[#This Row],[First Name]],Employees_Data[[#This Row],[Last Name]])</f>
        <v>Salim Aleabd</v>
      </c>
      <c r="B425" s="55">
        <v>2405</v>
      </c>
      <c r="C425" s="56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426" spans="1:3" x14ac:dyDescent="0.35">
      <c r="A426" s="36" t="str">
        <f>_xlfn.TEXTJOIN(" ",TRUE,Employees_Data[[#This Row],[First Name]],Employees_Data[[#This Row],[Last Name]])</f>
        <v>Abd Alruhmin Allaham</v>
      </c>
      <c r="B426" s="53">
        <v>2205</v>
      </c>
      <c r="C426" s="54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427" spans="1:3" x14ac:dyDescent="0.35">
      <c r="A427" s="40" t="str">
        <f>_xlfn.TEXTJOIN(" ",TRUE,Employees_Data[[#This Row],[First Name]],Employees_Data[[#This Row],[Last Name]])</f>
        <v>Muhamad Raft</v>
      </c>
      <c r="B427" s="55">
        <v>2651</v>
      </c>
      <c r="C427" s="56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428" spans="1:3" x14ac:dyDescent="0.35">
      <c r="A428" s="36" t="str">
        <f>_xlfn.TEXTJOIN(" ",TRUE,Employees_Data[[#This Row],[First Name]],Employees_Data[[#This Row],[Last Name]])</f>
        <v>Ahmad Shakir</v>
      </c>
      <c r="B428" s="53">
        <v>1693</v>
      </c>
      <c r="C428" s="54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429" spans="1:3" x14ac:dyDescent="0.35">
      <c r="A429" s="40" t="str">
        <f>_xlfn.TEXTJOIN(" ",TRUE,Employees_Data[[#This Row],[First Name]],Employees_Data[[#This Row],[Last Name]])</f>
        <v>Rasha Asead</v>
      </c>
      <c r="B429" s="55">
        <v>1690</v>
      </c>
      <c r="C429" s="56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430" spans="1:3" x14ac:dyDescent="0.35">
      <c r="A430" s="36" t="str">
        <f>_xlfn.TEXTJOIN(" ",TRUE,Employees_Data[[#This Row],[First Name]],Employees_Data[[#This Row],[Last Name]])</f>
        <v>Omar Alwurhani</v>
      </c>
      <c r="B430" s="53">
        <v>766</v>
      </c>
      <c r="C430" s="54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431" spans="1:3" x14ac:dyDescent="0.35">
      <c r="A431" s="40" t="str">
        <f>_xlfn.TEXTJOIN(" ",TRUE,Employees_Data[[#This Row],[First Name]],Employees_Data[[#This Row],[Last Name]])</f>
        <v>Ayham Kharbutli</v>
      </c>
      <c r="B431" s="55">
        <v>2542</v>
      </c>
      <c r="C431" s="56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432" spans="1:3" x14ac:dyDescent="0.35">
      <c r="A432" s="36" t="str">
        <f>_xlfn.TEXTJOIN(" ",TRUE,Employees_Data[[#This Row],[First Name]],Employees_Data[[#This Row],[Last Name]])</f>
        <v>Sahar Jaridiun</v>
      </c>
      <c r="B432" s="53">
        <v>1966</v>
      </c>
      <c r="C432" s="54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433" spans="1:3" x14ac:dyDescent="0.35">
      <c r="A433" s="40" t="str">
        <f>_xlfn.TEXTJOIN(" ",TRUE,Employees_Data[[#This Row],[First Name]],Employees_Data[[#This Row],[Last Name]])</f>
        <v>Muhamad Tamur</v>
      </c>
      <c r="B433" s="55">
        <v>2977</v>
      </c>
      <c r="C433" s="56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434" spans="1:3" x14ac:dyDescent="0.35">
      <c r="A434" s="36" t="str">
        <f>_xlfn.TEXTJOIN(" ",TRUE,Employees_Data[[#This Row],[First Name]],Employees_Data[[#This Row],[Last Name]])</f>
        <v>Ayham Alkhlf</v>
      </c>
      <c r="B434" s="53">
        <v>1404</v>
      </c>
      <c r="C434" s="54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435" spans="1:3" x14ac:dyDescent="0.35">
      <c r="A435" s="40" t="str">
        <f>_xlfn.TEXTJOIN(" ",TRUE,Employees_Data[[#This Row],[First Name]],Employees_Data[[#This Row],[Last Name]])</f>
        <v>Emar Eisaf</v>
      </c>
      <c r="B435" s="55">
        <v>1848</v>
      </c>
      <c r="C435" s="56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436" spans="1:3" x14ac:dyDescent="0.35">
      <c r="A436" s="36" t="str">
        <f>_xlfn.TEXTJOIN(" ",TRUE,Employees_Data[[#This Row],[First Name]],Employees_Data[[#This Row],[Last Name]])</f>
        <v>Iin Bitahish</v>
      </c>
      <c r="B436" s="53">
        <v>2069</v>
      </c>
      <c r="C436" s="54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437" spans="1:3" x14ac:dyDescent="0.35">
      <c r="A437" s="40" t="str">
        <f>_xlfn.TEXTJOIN(" ",TRUE,Employees_Data[[#This Row],[First Name]],Employees_Data[[#This Row],[Last Name]])</f>
        <v>Abdalrhim Eimaruh</v>
      </c>
      <c r="B437" s="55">
        <v>1072</v>
      </c>
      <c r="C437" s="56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438" spans="1:3" x14ac:dyDescent="0.35">
      <c r="A438" s="36" t="str">
        <f>_xlfn.TEXTJOIN(" ",TRUE,Employees_Data[[#This Row],[First Name]],Employees_Data[[#This Row],[Last Name]])</f>
        <v>Bashaer Hadalah</v>
      </c>
      <c r="B438" s="53">
        <v>1984</v>
      </c>
      <c r="C438" s="54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439" spans="1:3" x14ac:dyDescent="0.35">
      <c r="A439" s="40" t="str">
        <f>_xlfn.TEXTJOIN(" ",TRUE,Employees_Data[[#This Row],[First Name]],Employees_Data[[#This Row],[Last Name]])</f>
        <v>Sana Maeruf</v>
      </c>
      <c r="B439" s="55">
        <v>999</v>
      </c>
      <c r="C439" s="56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440" spans="1:3" x14ac:dyDescent="0.35">
      <c r="A440" s="36" t="str">
        <f>_xlfn.TEXTJOIN(" ",TRUE,Employees_Data[[#This Row],[First Name]],Employees_Data[[#This Row],[Last Name]])</f>
        <v>Amir Alnuwnu</v>
      </c>
      <c r="B440" s="53">
        <v>2915</v>
      </c>
      <c r="C440" s="54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441" spans="1:3" x14ac:dyDescent="0.35">
      <c r="A441" s="40" t="str">
        <f>_xlfn.TEXTJOIN(" ",TRUE,Employees_Data[[#This Row],[First Name]],Employees_Data[[#This Row],[Last Name]])</f>
        <v>Salim Albarghali</v>
      </c>
      <c r="B441" s="55">
        <v>3158</v>
      </c>
      <c r="C441" s="56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442" spans="1:3" x14ac:dyDescent="0.35">
      <c r="A442" s="36" t="str">
        <f>_xlfn.TEXTJOIN(" ",TRUE,Employees_Data[[#This Row],[First Name]],Employees_Data[[#This Row],[Last Name]])</f>
        <v>Iin Murad</v>
      </c>
      <c r="B442" s="53">
        <v>711</v>
      </c>
      <c r="C442" s="54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443" spans="1:3" x14ac:dyDescent="0.35">
      <c r="A443" s="40" t="str">
        <f>_xlfn.TEXTJOIN(" ",TRUE,Employees_Data[[#This Row],[First Name]],Employees_Data[[#This Row],[Last Name]])</f>
        <v>Baha Aldiyn Marzuq</v>
      </c>
      <c r="B443" s="55">
        <v>899</v>
      </c>
      <c r="C443" s="56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444" spans="1:3" x14ac:dyDescent="0.35">
      <c r="A444" s="36" t="str">
        <f>_xlfn.TEXTJOIN(" ",TRUE,Employees_Data[[#This Row],[First Name]],Employees_Data[[#This Row],[Last Name]])</f>
        <v>Abd Alruhmin Hamj</v>
      </c>
      <c r="B444" s="53">
        <v>2571</v>
      </c>
      <c r="C444" s="54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445" spans="1:3" x14ac:dyDescent="0.35">
      <c r="A445" s="40" t="str">
        <f>_xlfn.TEXTJOIN(" ",TRUE,Employees_Data[[#This Row],[First Name]],Employees_Data[[#This Row],[Last Name]])</f>
        <v>Ahmad Bradey</v>
      </c>
      <c r="B445" s="55">
        <v>2437</v>
      </c>
      <c r="C445" s="56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446" spans="1:3" x14ac:dyDescent="0.35">
      <c r="A446" s="36" t="str">
        <f>_xlfn.TEXTJOIN(" ",TRUE,Employees_Data[[#This Row],[First Name]],Employees_Data[[#This Row],[Last Name]])</f>
        <v>Sabah Qadish</v>
      </c>
      <c r="B446" s="53">
        <v>2453</v>
      </c>
      <c r="C446" s="54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447" spans="1:3" x14ac:dyDescent="0.35">
      <c r="A447" s="40" t="str">
        <f>_xlfn.TEXTJOIN(" ",TRUE,Employees_Data[[#This Row],[First Name]],Employees_Data[[#This Row],[Last Name]])</f>
        <v>Asra Almisri</v>
      </c>
      <c r="B447" s="55">
        <v>1839</v>
      </c>
      <c r="C447" s="56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448" spans="1:3" x14ac:dyDescent="0.35">
      <c r="A448" s="36" t="str">
        <f>_xlfn.TEXTJOIN(" ",TRUE,Employees_Data[[#This Row],[First Name]],Employees_Data[[#This Row],[Last Name]])</f>
        <v>Faras Kawaara</v>
      </c>
      <c r="B448" s="53">
        <v>2306</v>
      </c>
      <c r="C448" s="54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449" spans="1:3" x14ac:dyDescent="0.35">
      <c r="A449" s="40" t="str">
        <f>_xlfn.TEXTJOIN(" ",TRUE,Employees_Data[[#This Row],[First Name]],Employees_Data[[#This Row],[Last Name]])</f>
        <v>Muhamad Abunfis</v>
      </c>
      <c r="B449" s="55">
        <v>970</v>
      </c>
      <c r="C449" s="56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450" spans="1:3" x14ac:dyDescent="0.35">
      <c r="A450" s="36" t="str">
        <f>_xlfn.TEXTJOIN(" ",TRUE,Employees_Data[[#This Row],[First Name]],Employees_Data[[#This Row],[Last Name]])</f>
        <v>Lawiy Shiah</v>
      </c>
      <c r="B450" s="53">
        <v>3140</v>
      </c>
      <c r="C450" s="54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451" spans="1:3" x14ac:dyDescent="0.35">
      <c r="A451" s="40" t="str">
        <f>_xlfn.TEXTJOIN(" ",TRUE,Employees_Data[[#This Row],[First Name]],Employees_Data[[#This Row],[Last Name]])</f>
        <v>Rama Alsaghir</v>
      </c>
      <c r="B451" s="55">
        <v>1176</v>
      </c>
      <c r="C451" s="56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452" spans="1:3" x14ac:dyDescent="0.35">
      <c r="A452" s="36" t="str">
        <f>_xlfn.TEXTJOIN(" ",TRUE,Employees_Data[[#This Row],[First Name]],Employees_Data[[#This Row],[Last Name]])</f>
        <v>Ahmad Qadimati</v>
      </c>
      <c r="B452" s="53">
        <v>2742</v>
      </c>
      <c r="C452" s="54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453" spans="1:3" x14ac:dyDescent="0.35">
      <c r="A453" s="40" t="str">
        <f>_xlfn.TEXTJOIN(" ",TRUE,Employees_Data[[#This Row],[First Name]],Employees_Data[[#This Row],[Last Name]])</f>
        <v>Qays Dahna</v>
      </c>
      <c r="B453" s="55">
        <v>734</v>
      </c>
      <c r="C453" s="56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454" spans="1:3" x14ac:dyDescent="0.35">
      <c r="A454" s="36" t="str">
        <f>_xlfn.TEXTJOIN(" ",TRUE,Employees_Data[[#This Row],[First Name]],Employees_Data[[#This Row],[Last Name]])</f>
        <v>Raja Eaziza</v>
      </c>
      <c r="B454" s="53">
        <v>894</v>
      </c>
      <c r="C454" s="54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455" spans="1:3" x14ac:dyDescent="0.35">
      <c r="A455" s="40" t="str">
        <f>_xlfn.TEXTJOIN(" ",TRUE,Employees_Data[[#This Row],[First Name]],Employees_Data[[#This Row],[Last Name]])</f>
        <v>Emar Nakaash</v>
      </c>
      <c r="B455" s="55">
        <v>2640</v>
      </c>
      <c r="C455" s="56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456" spans="1:3" x14ac:dyDescent="0.35">
      <c r="A456" s="36" t="str">
        <f>_xlfn.TEXTJOIN(" ",TRUE,Employees_Data[[#This Row],[First Name]],Employees_Data[[#This Row],[Last Name]])</f>
        <v>Ranya Khuluf</v>
      </c>
      <c r="B456" s="53">
        <v>1059</v>
      </c>
      <c r="C456" s="54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457" spans="1:3" x14ac:dyDescent="0.35">
      <c r="A457" s="40" t="str">
        <f>_xlfn.TEXTJOIN(" ",TRUE,Employees_Data[[#This Row],[First Name]],Employees_Data[[#This Row],[Last Name]])</f>
        <v>Kinda Zaki</v>
      </c>
      <c r="B457" s="55">
        <v>3337</v>
      </c>
      <c r="C457" s="56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458" spans="1:3" x14ac:dyDescent="0.35">
      <c r="A458" s="36" t="str">
        <f>_xlfn.TEXTJOIN(" ",TRUE,Employees_Data[[#This Row],[First Name]],Employees_Data[[#This Row],[Last Name]])</f>
        <v>Muhamad Asamh Tubae</v>
      </c>
      <c r="B458" s="53">
        <v>3154</v>
      </c>
      <c r="C458" s="54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459" spans="1:3" x14ac:dyDescent="0.35">
      <c r="A459" s="40" t="str">
        <f>_xlfn.TEXTJOIN(" ",TRUE,Employees_Data[[#This Row],[First Name]],Employees_Data[[#This Row],[Last Name]])</f>
        <v>Ahmad Daeas</v>
      </c>
      <c r="B459" s="55">
        <v>1618</v>
      </c>
      <c r="C459" s="56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460" spans="1:3" x14ac:dyDescent="0.35">
      <c r="A460" s="36" t="str">
        <f>_xlfn.TEXTJOIN(" ",TRUE,Employees_Data[[#This Row],[First Name]],Employees_Data[[#This Row],[Last Name]])</f>
        <v>Muhamad Shadi Alkhiat</v>
      </c>
      <c r="B460" s="53">
        <v>1248</v>
      </c>
      <c r="C460" s="54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461" spans="1:3" x14ac:dyDescent="0.35">
      <c r="A461" s="40" t="str">
        <f>_xlfn.TEXTJOIN(" ",TRUE,Employees_Data[[#This Row],[First Name]],Employees_Data[[#This Row],[Last Name]])</f>
        <v>Omaimah Tqi Aldiyn</v>
      </c>
      <c r="B461" s="55">
        <v>1523</v>
      </c>
      <c r="C461" s="56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462" spans="1:3" x14ac:dyDescent="0.35">
      <c r="A462" s="36" t="str">
        <f>_xlfn.TEXTJOIN(" ",TRUE,Employees_Data[[#This Row],[First Name]],Employees_Data[[#This Row],[Last Name]])</f>
        <v>Tahani Yasir</v>
      </c>
      <c r="B462" s="53">
        <v>1275</v>
      </c>
      <c r="C462" s="54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463" spans="1:3" x14ac:dyDescent="0.35">
      <c r="A463" s="40" t="str">
        <f>_xlfn.TEXTJOIN(" ",TRUE,Employees_Data[[#This Row],[First Name]],Employees_Data[[#This Row],[Last Name]])</f>
        <v>Hasan Alfywmi</v>
      </c>
      <c r="B463" s="55">
        <v>1549</v>
      </c>
      <c r="C463" s="56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464" spans="1:3" x14ac:dyDescent="0.35">
      <c r="A464" s="36" t="str">
        <f>_xlfn.TEXTJOIN(" ",TRUE,Employees_Data[[#This Row],[First Name]],Employees_Data[[#This Row],[Last Name]])</f>
        <v>Zahir Zarie</v>
      </c>
      <c r="B464" s="53">
        <v>1786</v>
      </c>
      <c r="C464" s="54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465" spans="1:3" x14ac:dyDescent="0.35">
      <c r="A465" s="40" t="str">
        <f>_xlfn.TEXTJOIN(" ",TRUE,Employees_Data[[#This Row],[First Name]],Employees_Data[[#This Row],[Last Name]])</f>
        <v>Muhamad Eaqad</v>
      </c>
      <c r="B465" s="55">
        <v>1908</v>
      </c>
      <c r="C465" s="56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466" spans="1:3" x14ac:dyDescent="0.35">
      <c r="A466" s="36" t="str">
        <f>_xlfn.TEXTJOIN(" ",TRUE,Employees_Data[[#This Row],[First Name]],Employees_Data[[#This Row],[Last Name]])</f>
        <v>Ahmad Hamuwd</v>
      </c>
      <c r="B466" s="53">
        <v>2321</v>
      </c>
      <c r="C466" s="54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467" spans="1:3" x14ac:dyDescent="0.35">
      <c r="A467" s="40" t="str">
        <f>_xlfn.TEXTJOIN(" ",TRUE,Employees_Data[[#This Row],[First Name]],Employees_Data[[#This Row],[Last Name]])</f>
        <v>Ismaeil Jdwe</v>
      </c>
      <c r="B467" s="55">
        <v>899</v>
      </c>
      <c r="C467" s="56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468" spans="1:3" x14ac:dyDescent="0.35">
      <c r="A468" s="36" t="str">
        <f>_xlfn.TEXTJOIN(" ",TRUE,Employees_Data[[#This Row],[First Name]],Employees_Data[[#This Row],[Last Name]])</f>
        <v>Muhamad Saeid Alzarey</v>
      </c>
      <c r="B468" s="53">
        <v>1168</v>
      </c>
      <c r="C468" s="54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469" spans="1:3" x14ac:dyDescent="0.35">
      <c r="A469" s="40" t="str">
        <f>_xlfn.TEXTJOIN(" ",TRUE,Employees_Data[[#This Row],[First Name]],Employees_Data[[#This Row],[Last Name]])</f>
        <v>Bakr Eubdallah</v>
      </c>
      <c r="B469" s="55">
        <v>2169</v>
      </c>
      <c r="C469" s="56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470" spans="1:3" x14ac:dyDescent="0.35">
      <c r="A470" s="36" t="str">
        <f>_xlfn.TEXTJOIN(" ",TRUE,Employees_Data[[#This Row],[First Name]],Employees_Data[[#This Row],[Last Name]])</f>
        <v>Muhamad Basil</v>
      </c>
      <c r="B470" s="53">
        <v>2819</v>
      </c>
      <c r="C470" s="54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471" spans="1:3" x14ac:dyDescent="0.35">
      <c r="A471" s="40" t="str">
        <f>_xlfn.TEXTJOIN(" ",TRUE,Employees_Data[[#This Row],[First Name]],Employees_Data[[#This Row],[Last Name]])</f>
        <v>Ahmad Alnajar</v>
      </c>
      <c r="B471" s="55">
        <v>847</v>
      </c>
      <c r="C471" s="56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472" spans="1:3" x14ac:dyDescent="0.35">
      <c r="A472" s="36" t="str">
        <f>_xlfn.TEXTJOIN(" ",TRUE,Employees_Data[[#This Row],[First Name]],Employees_Data[[#This Row],[Last Name]])</f>
        <v>Muhamad Alsaman</v>
      </c>
      <c r="B472" s="53">
        <v>2308</v>
      </c>
      <c r="C472" s="54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473" spans="1:3" x14ac:dyDescent="0.35">
      <c r="A473" s="40" t="str">
        <f>_xlfn.TEXTJOIN(" ",TRUE,Employees_Data[[#This Row],[First Name]],Employees_Data[[#This Row],[Last Name]])</f>
        <v>Lina Wayly</v>
      </c>
      <c r="B473" s="55">
        <v>1692</v>
      </c>
      <c r="C473" s="56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474" spans="1:3" x14ac:dyDescent="0.35">
      <c r="A474" s="36" t="str">
        <f>_xlfn.TEXTJOIN(" ",TRUE,Employees_Data[[#This Row],[First Name]],Employees_Data[[#This Row],[Last Name]])</f>
        <v>Raghid Hutayniun</v>
      </c>
      <c r="B474" s="53">
        <v>1372</v>
      </c>
      <c r="C474" s="54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475" spans="1:3" x14ac:dyDescent="0.35">
      <c r="A475" s="40" t="str">
        <f>_xlfn.TEXTJOIN(" ",TRUE,Employees_Data[[#This Row],[First Name]],Employees_Data[[#This Row],[Last Name]])</f>
        <v>Ruba Alsiraj</v>
      </c>
      <c r="B475" s="55">
        <v>2594</v>
      </c>
      <c r="C475" s="56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476" spans="1:3" x14ac:dyDescent="0.35">
      <c r="A476" s="36" t="str">
        <f>_xlfn.TEXTJOIN(" ",TRUE,Employees_Data[[#This Row],[First Name]],Employees_Data[[#This Row],[Last Name]])</f>
        <v>Adnan Allaadhiqanii</v>
      </c>
      <c r="B476" s="53">
        <v>1082</v>
      </c>
      <c r="C476" s="54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477" spans="1:3" x14ac:dyDescent="0.35">
      <c r="A477" s="40" t="str">
        <f>_xlfn.TEXTJOIN(" ",TRUE,Employees_Data[[#This Row],[First Name]],Employees_Data[[#This Row],[Last Name]])</f>
        <v>Muhamad Shaeban</v>
      </c>
      <c r="B477" s="55">
        <v>1929</v>
      </c>
      <c r="C477" s="56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478" spans="1:3" x14ac:dyDescent="0.35">
      <c r="A478" s="36" t="str">
        <f>_xlfn.TEXTJOIN(" ",TRUE,Employees_Data[[#This Row],[First Name]],Employees_Data[[#This Row],[Last Name]])</f>
        <v>Ghyath Abu</v>
      </c>
      <c r="B478" s="53">
        <v>1883</v>
      </c>
      <c r="C478" s="54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479" spans="1:3" x14ac:dyDescent="0.35">
      <c r="A479" s="40" t="str">
        <f>_xlfn.TEXTJOIN(" ",TRUE,Employees_Data[[#This Row],[First Name]],Employees_Data[[#This Row],[Last Name]])</f>
        <v>Basil Farahat</v>
      </c>
      <c r="B479" s="55">
        <v>874</v>
      </c>
      <c r="C479" s="56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480" spans="1:3" x14ac:dyDescent="0.35">
      <c r="A480" s="36" t="str">
        <f>_xlfn.TEXTJOIN(" ",TRUE,Employees_Data[[#This Row],[First Name]],Employees_Data[[#This Row],[Last Name]])</f>
        <v>Khalid Siriul</v>
      </c>
      <c r="B480" s="53">
        <v>2780</v>
      </c>
      <c r="C480" s="54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481" spans="1:3" x14ac:dyDescent="0.35">
      <c r="A481" s="40" t="str">
        <f>_xlfn.TEXTJOIN(" ",TRUE,Employees_Data[[#This Row],[First Name]],Employees_Data[[#This Row],[Last Name]])</f>
        <v>Salah Aldiyn Salayk</v>
      </c>
      <c r="B481" s="55">
        <v>1980</v>
      </c>
      <c r="C481" s="56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482" spans="1:3" x14ac:dyDescent="0.35">
      <c r="A482" s="36" t="str">
        <f>_xlfn.TEXTJOIN(" ",TRUE,Employees_Data[[#This Row],[First Name]],Employees_Data[[#This Row],[Last Name]])</f>
        <v>Bilal Einziin</v>
      </c>
      <c r="B482" s="53">
        <v>2611</v>
      </c>
      <c r="C482" s="54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483" spans="1:3" x14ac:dyDescent="0.35">
      <c r="A483" s="40" t="str">
        <f>_xlfn.TEXTJOIN(" ",TRUE,Employees_Data[[#This Row],[First Name]],Employees_Data[[#This Row],[Last Name]])</f>
        <v>Abdalrhmin Aljuju</v>
      </c>
      <c r="B483" s="55">
        <v>1881</v>
      </c>
      <c r="C483" s="56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484" spans="1:3" x14ac:dyDescent="0.35">
      <c r="A484" s="36" t="str">
        <f>_xlfn.TEXTJOIN(" ",TRUE,Employees_Data[[#This Row],[First Name]],Employees_Data[[#This Row],[Last Name]])</f>
        <v>Lawy Nadaf</v>
      </c>
      <c r="B484" s="53">
        <v>1517</v>
      </c>
      <c r="C484" s="54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485" spans="1:3" x14ac:dyDescent="0.35">
      <c r="A485" s="40" t="str">
        <f>_xlfn.TEXTJOIN(" ",TRUE,Employees_Data[[#This Row],[First Name]],Employees_Data[[#This Row],[Last Name]])</f>
        <v>Ali Muhamad</v>
      </c>
      <c r="B485" s="55">
        <v>1459</v>
      </c>
      <c r="C485" s="56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486" spans="1:3" x14ac:dyDescent="0.35">
      <c r="A486" s="36" t="str">
        <f>_xlfn.TEXTJOIN(" ",TRUE,Employees_Data[[#This Row],[First Name]],Employees_Data[[#This Row],[Last Name]])</f>
        <v>Mahir Bikar</v>
      </c>
      <c r="B486" s="53">
        <v>2383</v>
      </c>
      <c r="C486" s="54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487" spans="1:3" x14ac:dyDescent="0.35">
      <c r="A487" s="40" t="str">
        <f>_xlfn.TEXTJOIN(" ",TRUE,Employees_Data[[#This Row],[First Name]],Employees_Data[[#This Row],[Last Name]])</f>
        <v>Iad Alhusayn</v>
      </c>
      <c r="B487" s="55">
        <v>1420</v>
      </c>
      <c r="C487" s="56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488" spans="1:3" x14ac:dyDescent="0.35">
      <c r="A488" s="36" t="str">
        <f>_xlfn.TEXTJOIN(" ",TRUE,Employees_Data[[#This Row],[First Name]],Employees_Data[[#This Row],[Last Name]])</f>
        <v>Husam Ziada</v>
      </c>
      <c r="B488" s="53">
        <v>1382</v>
      </c>
      <c r="C488" s="54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489" spans="1:3" x14ac:dyDescent="0.35">
      <c r="A489" s="40" t="str">
        <f>_xlfn.TEXTJOIN(" ",TRUE,Employees_Data[[#This Row],[First Name]],Employees_Data[[#This Row],[Last Name]])</f>
        <v>Ahmad Eashur</v>
      </c>
      <c r="B489" s="55">
        <v>1920</v>
      </c>
      <c r="C489" s="56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490" spans="1:3" x14ac:dyDescent="0.35">
      <c r="A490" s="36" t="str">
        <f>_xlfn.TEXTJOIN(" ",TRUE,Employees_Data[[#This Row],[First Name]],Employees_Data[[#This Row],[Last Name]])</f>
        <v>Ahmad Naqawuh</v>
      </c>
      <c r="B490" s="53">
        <v>1202</v>
      </c>
      <c r="C490" s="54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491" spans="1:3" x14ac:dyDescent="0.35">
      <c r="A491" s="40" t="str">
        <f>_xlfn.TEXTJOIN(" ",TRUE,Employees_Data[[#This Row],[First Name]],Employees_Data[[#This Row],[Last Name]])</f>
        <v>Tamadur Barghuth</v>
      </c>
      <c r="B491" s="55">
        <v>1158</v>
      </c>
      <c r="C491" s="56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492" spans="1:3" x14ac:dyDescent="0.35">
      <c r="A492" s="36" t="str">
        <f>_xlfn.TEXTJOIN(" ",TRUE,Employees_Data[[#This Row],[First Name]],Employees_Data[[#This Row],[Last Name]])</f>
        <v>Diea Jazar</v>
      </c>
      <c r="B492" s="53">
        <v>1447</v>
      </c>
      <c r="C492" s="54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493" spans="1:3" x14ac:dyDescent="0.35">
      <c r="A493" s="40" t="str">
        <f>_xlfn.TEXTJOIN(" ",TRUE,Employees_Data[[#This Row],[First Name]],Employees_Data[[#This Row],[Last Name]])</f>
        <v>Bashshar Mareiun</v>
      </c>
      <c r="B493" s="55">
        <v>1598</v>
      </c>
      <c r="C493" s="56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494" spans="1:3" x14ac:dyDescent="0.35">
      <c r="A494" s="36" t="str">
        <f>_xlfn.TEXTJOIN(" ",TRUE,Employees_Data[[#This Row],[First Name]],Employees_Data[[#This Row],[Last Name]])</f>
        <v>Abdaleziz Eiwad</v>
      </c>
      <c r="B494" s="53">
        <v>1714</v>
      </c>
      <c r="C494" s="54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495" spans="1:3" x14ac:dyDescent="0.35">
      <c r="A495" s="40" t="str">
        <f>_xlfn.TEXTJOIN(" ",TRUE,Employees_Data[[#This Row],[First Name]],Employees_Data[[#This Row],[Last Name]])</f>
        <v>Amir Alkhawam</v>
      </c>
      <c r="B495" s="55">
        <v>2994</v>
      </c>
      <c r="C495" s="56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496" spans="1:3" x14ac:dyDescent="0.35">
      <c r="A496" s="36" t="str">
        <f>_xlfn.TEXTJOIN(" ",TRUE,Employees_Data[[#This Row],[First Name]],Employees_Data[[#This Row],[Last Name]])</f>
        <v>Alia Maseud</v>
      </c>
      <c r="B496" s="53">
        <v>2125</v>
      </c>
      <c r="C496" s="54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497" spans="1:3" x14ac:dyDescent="0.35">
      <c r="A497" s="40" t="str">
        <f>_xlfn.TEXTJOIN(" ",TRUE,Employees_Data[[#This Row],[First Name]],Employees_Data[[#This Row],[Last Name]])</f>
        <v>Asra Abuhani</v>
      </c>
      <c r="B497" s="55">
        <v>3059</v>
      </c>
      <c r="C497" s="56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498" spans="1:3" x14ac:dyDescent="0.35">
      <c r="A498" s="36" t="str">
        <f>_xlfn.TEXTJOIN(" ",TRUE,Employees_Data[[#This Row],[First Name]],Employees_Data[[#This Row],[Last Name]])</f>
        <v>Ahmad Alshamy</v>
      </c>
      <c r="B498" s="53">
        <v>2077</v>
      </c>
      <c r="C498" s="54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499" spans="1:3" x14ac:dyDescent="0.35">
      <c r="A499" s="40" t="str">
        <f>_xlfn.TEXTJOIN(" ",TRUE,Employees_Data[[#This Row],[First Name]],Employees_Data[[#This Row],[Last Name]])</f>
        <v>Baha Eusqul</v>
      </c>
      <c r="B499" s="55">
        <v>1962</v>
      </c>
      <c r="C499" s="56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500" spans="1:3" x14ac:dyDescent="0.35">
      <c r="A500" s="36" t="str">
        <f>_xlfn.TEXTJOIN(" ",TRUE,Employees_Data[[#This Row],[First Name]],Employees_Data[[#This Row],[Last Name]])</f>
        <v>Muhamad Hylmyh</v>
      </c>
      <c r="B500" s="53">
        <v>1573</v>
      </c>
      <c r="C500" s="54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501" spans="1:3" x14ac:dyDescent="0.35">
      <c r="A501" s="40" t="str">
        <f>_xlfn.TEXTJOIN(" ",TRUE,Employees_Data[[#This Row],[First Name]],Employees_Data[[#This Row],[Last Name]])</f>
        <v>Khadijah Turkamani</v>
      </c>
      <c r="B501" s="55">
        <v>882</v>
      </c>
      <c r="C501" s="56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502" spans="1:3" x14ac:dyDescent="0.35">
      <c r="A502" s="36" t="str">
        <f>_xlfn.TEXTJOIN(" ",TRUE,Employees_Data[[#This Row],[First Name]],Employees_Data[[#This Row],[Last Name]])</f>
        <v>Asra Jameah</v>
      </c>
      <c r="B502" s="53">
        <v>1036</v>
      </c>
      <c r="C502" s="54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503" spans="1:3" x14ac:dyDescent="0.35">
      <c r="A503" s="40" t="str">
        <f>_xlfn.TEXTJOIN(" ",TRUE,Employees_Data[[#This Row],[First Name]],Employees_Data[[#This Row],[Last Name]])</f>
        <v>Akram Alhulwanii</v>
      </c>
      <c r="B503" s="55">
        <v>2790</v>
      </c>
      <c r="C503" s="56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504" spans="1:3" x14ac:dyDescent="0.35">
      <c r="A504" s="36" t="str">
        <f>_xlfn.TEXTJOIN(" ",TRUE,Employees_Data[[#This Row],[First Name]],Employees_Data[[#This Row],[Last Name]])</f>
        <v>Samir Almisri</v>
      </c>
      <c r="B504" s="53">
        <v>1951</v>
      </c>
      <c r="C504" s="54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505" spans="1:3" x14ac:dyDescent="0.35">
      <c r="A505" s="40" t="str">
        <f>_xlfn.TEXTJOIN(" ",TRUE,Employees_Data[[#This Row],[First Name]],Employees_Data[[#This Row],[Last Name]])</f>
        <v>Ahmad Iidris</v>
      </c>
      <c r="B505" s="55">
        <v>2255</v>
      </c>
      <c r="C505" s="56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506" spans="1:3" x14ac:dyDescent="0.35">
      <c r="A506" s="36" t="str">
        <f>_xlfn.TEXTJOIN(" ",TRUE,Employees_Data[[#This Row],[First Name]],Employees_Data[[#This Row],[Last Name]])</f>
        <v>Khawla Dawi</v>
      </c>
      <c r="B506" s="53">
        <v>3388</v>
      </c>
      <c r="C506" s="54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507" spans="1:3" x14ac:dyDescent="0.35">
      <c r="A507" s="40" t="str">
        <f>_xlfn.TEXTJOIN(" ",TRUE,Employees_Data[[#This Row],[First Name]],Employees_Data[[#This Row],[Last Name]])</f>
        <v>Rayid Zazana</v>
      </c>
      <c r="B507" s="55">
        <v>707</v>
      </c>
      <c r="C507" s="56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508" spans="1:3" x14ac:dyDescent="0.35">
      <c r="A508" s="36" t="str">
        <f>_xlfn.TEXTJOIN(" ",TRUE,Employees_Data[[#This Row],[First Name]],Employees_Data[[#This Row],[Last Name]])</f>
        <v>Razan Iybw</v>
      </c>
      <c r="B508" s="53">
        <v>1161</v>
      </c>
      <c r="C508" s="54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509" spans="1:3" x14ac:dyDescent="0.35">
      <c r="A509" s="40" t="str">
        <f>_xlfn.TEXTJOIN(" ",TRUE,Employees_Data[[#This Row],[First Name]],Employees_Data[[#This Row],[Last Name]])</f>
        <v>Jamil Ghabur</v>
      </c>
      <c r="B509" s="55">
        <v>1165</v>
      </c>
      <c r="C509" s="56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510" spans="1:3" x14ac:dyDescent="0.35">
      <c r="A510" s="36" t="str">
        <f>_xlfn.TEXTJOIN(" ",TRUE,Employees_Data[[#This Row],[First Name]],Employees_Data[[#This Row],[Last Name]])</f>
        <v>Alaa Sultan</v>
      </c>
      <c r="B510" s="53">
        <v>1351</v>
      </c>
      <c r="C510" s="54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511" spans="1:3" x14ac:dyDescent="0.35">
      <c r="A511" s="40" t="str">
        <f>_xlfn.TEXTJOIN(" ",TRUE,Employees_Data[[#This Row],[First Name]],Employees_Data[[#This Row],[Last Name]])</f>
        <v>Sultan Taysir</v>
      </c>
      <c r="B511" s="55">
        <v>1406</v>
      </c>
      <c r="C511" s="56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512" spans="1:3" x14ac:dyDescent="0.35">
      <c r="A512" s="36" t="str">
        <f>_xlfn.TEXTJOIN(" ",TRUE,Employees_Data[[#This Row],[First Name]],Employees_Data[[#This Row],[Last Name]])</f>
        <v>Hanan Kurdiun</v>
      </c>
      <c r="B512" s="53">
        <v>1699</v>
      </c>
      <c r="C512" s="54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513" spans="1:3" x14ac:dyDescent="0.35">
      <c r="A513" s="40" t="str">
        <f>_xlfn.TEXTJOIN(" ",TRUE,Employees_Data[[#This Row],[First Name]],Employees_Data[[#This Row],[Last Name]])</f>
        <v>Basil Salih</v>
      </c>
      <c r="B513" s="55">
        <v>3007</v>
      </c>
      <c r="C513" s="56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514" spans="1:3" x14ac:dyDescent="0.35">
      <c r="A514" s="36" t="str">
        <f>_xlfn.TEXTJOIN(" ",TRUE,Employees_Data[[#This Row],[First Name]],Employees_Data[[#This Row],[Last Name]])</f>
        <v>Rita Dib</v>
      </c>
      <c r="B514" s="53">
        <v>879</v>
      </c>
      <c r="C514" s="54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515" spans="1:3" x14ac:dyDescent="0.35">
      <c r="A515" s="40" t="str">
        <f>_xlfn.TEXTJOIN(" ",TRUE,Employees_Data[[#This Row],[First Name]],Employees_Data[[#This Row],[Last Name]])</f>
        <v>Muhamad Alghush</v>
      </c>
      <c r="B515" s="55">
        <v>2537</v>
      </c>
      <c r="C515" s="56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516" spans="1:3" x14ac:dyDescent="0.35">
      <c r="A516" s="36" t="str">
        <f>_xlfn.TEXTJOIN(" ",TRUE,Employees_Data[[#This Row],[First Name]],Employees_Data[[#This Row],[Last Name]])</f>
        <v>Muhamad Iismaeil</v>
      </c>
      <c r="B516" s="53">
        <v>2663</v>
      </c>
      <c r="C516" s="54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517" spans="1:3" x14ac:dyDescent="0.35">
      <c r="A517" s="40" t="str">
        <f>_xlfn.TEXTJOIN(" ",TRUE,Employees_Data[[#This Row],[First Name]],Employees_Data[[#This Row],[Last Name]])</f>
        <v>Khaldun Alsaedi</v>
      </c>
      <c r="B517" s="55">
        <v>2494</v>
      </c>
      <c r="C517" s="56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518" spans="1:3" x14ac:dyDescent="0.35">
      <c r="A518" s="36" t="str">
        <f>_xlfn.TEXTJOIN(" ",TRUE,Employees_Data[[#This Row],[First Name]],Employees_Data[[#This Row],[Last Name]])</f>
        <v>Ghaliah Eibad</v>
      </c>
      <c r="B518" s="53">
        <v>2585</v>
      </c>
      <c r="C518" s="54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519" spans="1:3" x14ac:dyDescent="0.35">
      <c r="A519" s="40" t="str">
        <f>_xlfn.TEXTJOIN(" ",TRUE,Employees_Data[[#This Row],[First Name]],Employees_Data[[#This Row],[Last Name]])</f>
        <v>Muhamad Alsaedi</v>
      </c>
      <c r="B519" s="55">
        <v>1776</v>
      </c>
      <c r="C519" s="56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520" spans="1:3" x14ac:dyDescent="0.35">
      <c r="A520" s="36" t="str">
        <f>_xlfn.TEXTJOIN(" ",TRUE,Employees_Data[[#This Row],[First Name]],Employees_Data[[#This Row],[Last Name]])</f>
        <v>Eala Zaniqa</v>
      </c>
      <c r="B520" s="53">
        <v>3055</v>
      </c>
      <c r="C520" s="54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521" spans="1:3" x14ac:dyDescent="0.35">
      <c r="A521" s="40" t="str">
        <f>_xlfn.TEXTJOIN(" ",TRUE,Employees_Data[[#This Row],[First Name]],Employees_Data[[#This Row],[Last Name]])</f>
        <v>Ayham Sharfah</v>
      </c>
      <c r="B521" s="55">
        <v>1707</v>
      </c>
      <c r="C521" s="56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522" spans="1:3" x14ac:dyDescent="0.35">
      <c r="A522" s="36" t="str">
        <f>_xlfn.TEXTJOIN(" ",TRUE,Employees_Data[[#This Row],[First Name]],Employees_Data[[#This Row],[Last Name]])</f>
        <v>Ahmad Kazeur</v>
      </c>
      <c r="B522" s="53">
        <v>2719</v>
      </c>
      <c r="C522" s="54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523" spans="1:3" x14ac:dyDescent="0.35">
      <c r="A523" s="40" t="str">
        <f>_xlfn.TEXTJOIN(" ",TRUE,Employees_Data[[#This Row],[First Name]],Employees_Data[[#This Row],[Last Name]])</f>
        <v>Mujdi Kiwan</v>
      </c>
      <c r="B523" s="55">
        <v>1715</v>
      </c>
      <c r="C523" s="56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524" spans="1:3" x14ac:dyDescent="0.35">
      <c r="A524" s="36" t="str">
        <f>_xlfn.TEXTJOIN(" ",TRUE,Employees_Data[[#This Row],[First Name]],Employees_Data[[#This Row],[Last Name]])</f>
        <v>Muhamad Altynawi</v>
      </c>
      <c r="B524" s="53">
        <v>2181</v>
      </c>
      <c r="C524" s="54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525" spans="1:3" x14ac:dyDescent="0.35">
      <c r="A525" s="40" t="str">
        <f>_xlfn.TEXTJOIN(" ",TRUE,Employees_Data[[#This Row],[First Name]],Employees_Data[[#This Row],[Last Name]])</f>
        <v>Lama Alhasan</v>
      </c>
      <c r="B525" s="55">
        <v>1382</v>
      </c>
      <c r="C525" s="56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526" spans="1:3" x14ac:dyDescent="0.35">
      <c r="A526" s="36" t="str">
        <f>_xlfn.TEXTJOIN(" ",TRUE,Employees_Data[[#This Row],[First Name]],Employees_Data[[#This Row],[Last Name]])</f>
        <v>Lama Almisri</v>
      </c>
      <c r="B526" s="53">
        <v>3350</v>
      </c>
      <c r="C526" s="54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527" spans="1:3" x14ac:dyDescent="0.35">
      <c r="A527" s="40" t="str">
        <f>_xlfn.TEXTJOIN(" ",TRUE,Employees_Data[[#This Row],[First Name]],Employees_Data[[#This Row],[Last Name]])</f>
        <v>Thayir Hamuwda</v>
      </c>
      <c r="B527" s="55">
        <v>1710</v>
      </c>
      <c r="C527" s="56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528" spans="1:3" x14ac:dyDescent="0.35">
      <c r="A528" s="36" t="str">
        <f>_xlfn.TEXTJOIN(" ",TRUE,Employees_Data[[#This Row],[First Name]],Employees_Data[[#This Row],[Last Name]])</f>
        <v>Abdallah Zakariaa</v>
      </c>
      <c r="B528" s="53">
        <v>2785</v>
      </c>
      <c r="C528" s="54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529" spans="1:3" x14ac:dyDescent="0.35">
      <c r="A529" s="40" t="str">
        <f>_xlfn.TEXTJOIN(" ",TRUE,Employees_Data[[#This Row],[First Name]],Employees_Data[[#This Row],[Last Name]])</f>
        <v>Ikhlas Alhasan</v>
      </c>
      <c r="B529" s="55">
        <v>2425</v>
      </c>
      <c r="C529" s="56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530" spans="1:3" x14ac:dyDescent="0.35">
      <c r="A530" s="36" t="str">
        <f>_xlfn.TEXTJOIN(" ",TRUE,Employees_Data[[#This Row],[First Name]],Employees_Data[[#This Row],[Last Name]])</f>
        <v>Muhamad Jzayrly</v>
      </c>
      <c r="B530" s="53">
        <v>1117</v>
      </c>
      <c r="C530" s="54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531" spans="1:3" x14ac:dyDescent="0.35">
      <c r="A531" s="40" t="str">
        <f>_xlfn.TEXTJOIN(" ",TRUE,Employees_Data[[#This Row],[First Name]],Employees_Data[[#This Row],[Last Name]])</f>
        <v>Husam Badr</v>
      </c>
      <c r="B531" s="55">
        <v>1112</v>
      </c>
      <c r="C531" s="56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532" spans="1:3" x14ac:dyDescent="0.35">
      <c r="A532" s="36" t="str">
        <f>_xlfn.TEXTJOIN(" ",TRUE,Employees_Data[[#This Row],[First Name]],Employees_Data[[#This Row],[Last Name]])</f>
        <v>Rami Hunun</v>
      </c>
      <c r="B532" s="53">
        <v>1928</v>
      </c>
      <c r="C532" s="54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533" spans="1:3" x14ac:dyDescent="0.35">
      <c r="A533" s="40" t="str">
        <f>_xlfn.TEXTJOIN(" ",TRUE,Employees_Data[[#This Row],[First Name]],Employees_Data[[#This Row],[Last Name]])</f>
        <v>Alia Abu</v>
      </c>
      <c r="B533" s="55">
        <v>3300</v>
      </c>
      <c r="C533" s="56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534" spans="1:3" x14ac:dyDescent="0.35">
      <c r="A534" s="36" t="str">
        <f>_xlfn.TEXTJOIN(" ",TRUE,Employees_Data[[#This Row],[First Name]],Employees_Data[[#This Row],[Last Name]])</f>
        <v>Samir Sariji</v>
      </c>
      <c r="B534" s="53">
        <v>2378</v>
      </c>
      <c r="C534" s="54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535" spans="1:3" x14ac:dyDescent="0.35">
      <c r="A535" s="40" t="str">
        <f>_xlfn.TEXTJOIN(" ",TRUE,Employees_Data[[#This Row],[First Name]],Employees_Data[[#This Row],[Last Name]])</f>
        <v>Muhamad Albieli</v>
      </c>
      <c r="B535" s="55">
        <v>3138</v>
      </c>
      <c r="C535" s="56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536" spans="1:3" x14ac:dyDescent="0.35">
      <c r="A536" s="36" t="str">
        <f>_xlfn.TEXTJOIN(" ",TRUE,Employees_Data[[#This Row],[First Name]],Employees_Data[[#This Row],[Last Name]])</f>
        <v>Ahmad Eyd Bndqjy</v>
      </c>
      <c r="B536" s="53">
        <v>1981</v>
      </c>
      <c r="C536" s="54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537" spans="1:3" x14ac:dyDescent="0.35">
      <c r="A537" s="40" t="str">
        <f>_xlfn.TEXTJOIN(" ",TRUE,Employees_Data[[#This Row],[First Name]],Employees_Data[[#This Row],[Last Name]])</f>
        <v>Maria Lulu</v>
      </c>
      <c r="B537" s="55">
        <v>1056</v>
      </c>
      <c r="C537" s="56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538" spans="1:3" x14ac:dyDescent="0.35">
      <c r="A538" s="36" t="str">
        <f>_xlfn.TEXTJOIN(" ",TRUE,Employees_Data[[#This Row],[First Name]],Employees_Data[[#This Row],[Last Name]])</f>
        <v>Muhamad Shhybr</v>
      </c>
      <c r="B538" s="53">
        <v>3295</v>
      </c>
      <c r="C538" s="54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539" spans="1:3" x14ac:dyDescent="0.35">
      <c r="A539" s="40" t="str">
        <f>_xlfn.TEXTJOIN(" ",TRUE,Employees_Data[[#This Row],[First Name]],Employees_Data[[#This Row],[Last Name]])</f>
        <v>Abdalbasit Aljazayiriu</v>
      </c>
      <c r="B539" s="55">
        <v>1022</v>
      </c>
      <c r="C539" s="56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540" spans="1:3" x14ac:dyDescent="0.35">
      <c r="A540" s="36" t="str">
        <f>_xlfn.TEXTJOIN(" ",TRUE,Employees_Data[[#This Row],[First Name]],Employees_Data[[#This Row],[Last Name]])</f>
        <v>Bilal Aywbi</v>
      </c>
      <c r="B540" s="53">
        <v>969</v>
      </c>
      <c r="C540" s="54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541" spans="1:3" x14ac:dyDescent="0.35">
      <c r="A541" s="40" t="str">
        <f>_xlfn.TEXTJOIN(" ",TRUE,Employees_Data[[#This Row],[First Name]],Employees_Data[[#This Row],[Last Name]])</f>
        <v>Ahmad Dabana</v>
      </c>
      <c r="B541" s="55">
        <v>3354</v>
      </c>
      <c r="C541" s="56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542" spans="1:3" x14ac:dyDescent="0.35">
      <c r="A542" s="36" t="str">
        <f>_xlfn.TEXTJOIN(" ",TRUE,Employees_Data[[#This Row],[First Name]],Employees_Data[[#This Row],[Last Name]])</f>
        <v>Fawaz Ghazal</v>
      </c>
      <c r="B542" s="53">
        <v>2123</v>
      </c>
      <c r="C542" s="54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543" spans="1:3" x14ac:dyDescent="0.35">
      <c r="A543" s="40" t="str">
        <f>_xlfn.TEXTJOIN(" ",TRUE,Employees_Data[[#This Row],[First Name]],Employees_Data[[#This Row],[Last Name]])</f>
        <v>Bisam Altahhan</v>
      </c>
      <c r="B543" s="55">
        <v>897</v>
      </c>
      <c r="C543" s="56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544" spans="1:3" x14ac:dyDescent="0.35">
      <c r="A544" s="36" t="str">
        <f>_xlfn.TEXTJOIN(" ",TRUE,Employees_Data[[#This Row],[First Name]],Employees_Data[[#This Row],[Last Name]])</f>
        <v>Muhamad Amir</v>
      </c>
      <c r="B544" s="53">
        <v>2925</v>
      </c>
      <c r="C544" s="54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545" spans="1:3" x14ac:dyDescent="0.35">
      <c r="A545" s="40" t="str">
        <f>_xlfn.TEXTJOIN(" ",TRUE,Employees_Data[[#This Row],[First Name]],Employees_Data[[#This Row],[Last Name]])</f>
        <v>Lilas Nafae</v>
      </c>
      <c r="B545" s="55">
        <v>1895</v>
      </c>
      <c r="C545" s="56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546" spans="1:3" x14ac:dyDescent="0.35">
      <c r="A546" s="36" t="str">
        <f>_xlfn.TEXTJOIN(" ",TRUE,Employees_Data[[#This Row],[First Name]],Employees_Data[[#This Row],[Last Name]])</f>
        <v>Muhamad Ayman</v>
      </c>
      <c r="B546" s="53">
        <v>2191</v>
      </c>
      <c r="C546" s="54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547" spans="1:3" x14ac:dyDescent="0.35">
      <c r="A547" s="40" t="str">
        <f>_xlfn.TEXTJOIN(" ",TRUE,Employees_Data[[#This Row],[First Name]],Employees_Data[[#This Row],[Last Name]])</f>
        <v>Ranim Earabi</v>
      </c>
      <c r="B547" s="55">
        <v>3130</v>
      </c>
      <c r="C547" s="56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548" spans="1:3" x14ac:dyDescent="0.35">
      <c r="A548" s="36" t="str">
        <f>_xlfn.TEXTJOIN(" ",TRUE,Employees_Data[[#This Row],[First Name]],Employees_Data[[#This Row],[Last Name]])</f>
        <v>Amani Altujjar</v>
      </c>
      <c r="B548" s="53">
        <v>2654</v>
      </c>
      <c r="C548" s="54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549" spans="1:3" x14ac:dyDescent="0.35">
      <c r="A549" s="40" t="str">
        <f>_xlfn.TEXTJOIN(" ",TRUE,Employees_Data[[#This Row],[First Name]],Employees_Data[[#This Row],[Last Name]])</f>
        <v>Muhamad Rashid</v>
      </c>
      <c r="B549" s="55">
        <v>859</v>
      </c>
      <c r="C549" s="56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550" spans="1:3" x14ac:dyDescent="0.35">
      <c r="A550" s="36" t="str">
        <f>_xlfn.TEXTJOIN(" ",TRUE,Employees_Data[[#This Row],[First Name]],Employees_Data[[#This Row],[Last Name]])</f>
        <v>Amin Hamid</v>
      </c>
      <c r="B550" s="53">
        <v>1113</v>
      </c>
      <c r="C550" s="54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551" spans="1:3" x14ac:dyDescent="0.35">
      <c r="A551" s="40" t="str">
        <f>_xlfn.TEXTJOIN(" ",TRUE,Employees_Data[[#This Row],[First Name]],Employees_Data[[#This Row],[Last Name]])</f>
        <v>Khalid Jameah</v>
      </c>
      <c r="B551" s="55">
        <v>1234</v>
      </c>
      <c r="C551" s="56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552" spans="1:3" x14ac:dyDescent="0.35">
      <c r="A552" s="36" t="str">
        <f>_xlfn.TEXTJOIN(" ",TRUE,Employees_Data[[#This Row],[First Name]],Employees_Data[[#This Row],[Last Name]])</f>
        <v>Fahd Shaykh</v>
      </c>
      <c r="B552" s="53">
        <v>2647</v>
      </c>
      <c r="C552" s="54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553" spans="1:3" x14ac:dyDescent="0.35">
      <c r="A553" s="40" t="str">
        <f>_xlfn.TEXTJOIN(" ",TRUE,Employees_Data[[#This Row],[First Name]],Employees_Data[[#This Row],[Last Name]])</f>
        <v>Lilas Kashik</v>
      </c>
      <c r="B553" s="55">
        <v>2200</v>
      </c>
      <c r="C553" s="56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554" spans="1:3" x14ac:dyDescent="0.35">
      <c r="A554" s="36" t="str">
        <f>_xlfn.TEXTJOIN(" ",TRUE,Employees_Data[[#This Row],[First Name]],Employees_Data[[#This Row],[Last Name]])</f>
        <v>Fatima Hasan</v>
      </c>
      <c r="B554" s="53">
        <v>2381</v>
      </c>
      <c r="C554" s="54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555" spans="1:3" x14ac:dyDescent="0.35">
      <c r="A555" s="40" t="str">
        <f>_xlfn.TEXTJOIN(" ",TRUE,Employees_Data[[#This Row],[First Name]],Employees_Data[[#This Row],[Last Name]])</f>
        <v>Diea Dakhal</v>
      </c>
      <c r="B555" s="55">
        <v>2329</v>
      </c>
      <c r="C555" s="56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556" spans="1:3" x14ac:dyDescent="0.35">
      <c r="A556" s="36" t="str">
        <f>_xlfn.TEXTJOIN(" ",TRUE,Employees_Data[[#This Row],[First Name]],Employees_Data[[#This Row],[Last Name]])</f>
        <v>Amir Karishati</v>
      </c>
      <c r="B556" s="53">
        <v>1075</v>
      </c>
      <c r="C556" s="54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557" spans="1:3" x14ac:dyDescent="0.35">
      <c r="A557" s="40" t="str">
        <f>_xlfn.TEXTJOIN(" ",TRUE,Employees_Data[[#This Row],[First Name]],Employees_Data[[#This Row],[Last Name]])</f>
        <v>Madlin Alsaed</v>
      </c>
      <c r="B557" s="55">
        <v>3110</v>
      </c>
      <c r="C557" s="56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558" spans="1:3" x14ac:dyDescent="0.35">
      <c r="A558" s="36" t="str">
        <f>_xlfn.TEXTJOIN(" ",TRUE,Employees_Data[[#This Row],[First Name]],Employees_Data[[#This Row],[Last Name]])</f>
        <v>Adnan Aleaqla</v>
      </c>
      <c r="B558" s="53">
        <v>2777</v>
      </c>
      <c r="C558" s="54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559" spans="1:3" x14ac:dyDescent="0.35">
      <c r="A559" s="40" t="str">
        <f>_xlfn.TEXTJOIN(" ",TRUE,Employees_Data[[#This Row],[First Name]],Employees_Data[[#This Row],[Last Name]])</f>
        <v>Muhamad Eursaly</v>
      </c>
      <c r="B559" s="55">
        <v>2306</v>
      </c>
      <c r="C559" s="56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560" spans="1:3" x14ac:dyDescent="0.35">
      <c r="A560" s="36" t="str">
        <f>_xlfn.TEXTJOIN(" ",TRUE,Employees_Data[[#This Row],[First Name]],Employees_Data[[#This Row],[Last Name]])</f>
        <v>Ranya Alaishhab</v>
      </c>
      <c r="B560" s="53">
        <v>1213</v>
      </c>
      <c r="C560" s="54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561" spans="1:3" x14ac:dyDescent="0.35">
      <c r="A561" s="40" t="str">
        <f>_xlfn.TEXTJOIN(" ",TRUE,Employees_Data[[#This Row],[First Name]],Employees_Data[[#This Row],[Last Name]])</f>
        <v>Rulaa Shannar</v>
      </c>
      <c r="B561" s="55">
        <v>2680</v>
      </c>
      <c r="C561" s="56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562" spans="1:3" x14ac:dyDescent="0.35">
      <c r="A562" s="36" t="str">
        <f>_xlfn.TEXTJOIN(" ",TRUE,Employees_Data[[#This Row],[First Name]],Employees_Data[[#This Row],[Last Name]])</f>
        <v>Aynas Alhiwat</v>
      </c>
      <c r="B562" s="53">
        <v>2204</v>
      </c>
      <c r="C562" s="54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563" spans="1:3" x14ac:dyDescent="0.35">
      <c r="A563" s="40" t="str">
        <f>_xlfn.TEXTJOIN(" ",TRUE,Employees_Data[[#This Row],[First Name]],Employees_Data[[#This Row],[Last Name]])</f>
        <v>Sara Tabanaj</v>
      </c>
      <c r="B563" s="55">
        <v>1297</v>
      </c>
      <c r="C563" s="56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564" spans="1:3" x14ac:dyDescent="0.35">
      <c r="A564" s="36" t="str">
        <f>_xlfn.TEXTJOIN(" ",TRUE,Employees_Data[[#This Row],[First Name]],Employees_Data[[#This Row],[Last Name]])</f>
        <v>Abd Allah Aldahan</v>
      </c>
      <c r="B564" s="53">
        <v>3024</v>
      </c>
      <c r="C564" s="54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565" spans="1:3" x14ac:dyDescent="0.35">
      <c r="A565" s="40" t="str">
        <f>_xlfn.TEXTJOIN(" ",TRUE,Employees_Data[[#This Row],[First Name]],Employees_Data[[#This Row],[Last Name]])</f>
        <v>Muhamad Ramzi</v>
      </c>
      <c r="B565" s="55">
        <v>2228</v>
      </c>
      <c r="C565" s="56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566" spans="1:3" x14ac:dyDescent="0.35">
      <c r="A566" s="36" t="str">
        <f>_xlfn.TEXTJOIN(" ",TRUE,Employees_Data[[#This Row],[First Name]],Employees_Data[[#This Row],[Last Name]])</f>
        <v>Jan Mikayiylian</v>
      </c>
      <c r="B566" s="53">
        <v>2009</v>
      </c>
      <c r="C566" s="54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567" spans="1:3" x14ac:dyDescent="0.35">
      <c r="A567" s="40" t="str">
        <f>_xlfn.TEXTJOIN(" ",TRUE,Employees_Data[[#This Row],[First Name]],Employees_Data[[#This Row],[Last Name]])</f>
        <v>Almuthanaa Alsaediu</v>
      </c>
      <c r="B567" s="55">
        <v>2573</v>
      </c>
      <c r="C567" s="56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568" spans="1:3" x14ac:dyDescent="0.35">
      <c r="A568" s="36" t="str">
        <f>_xlfn.TEXTJOIN(" ",TRUE,Employees_Data[[#This Row],[First Name]],Employees_Data[[#This Row],[Last Name]])</f>
        <v>Emad Dulul</v>
      </c>
      <c r="B568" s="53">
        <v>1938</v>
      </c>
      <c r="C568" s="54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569" spans="1:3" x14ac:dyDescent="0.35">
      <c r="A569" s="40" t="str">
        <f>_xlfn.TEXTJOIN(" ",TRUE,Employees_Data[[#This Row],[First Name]],Employees_Data[[#This Row],[Last Name]])</f>
        <v>Sarah Haydar</v>
      </c>
      <c r="B569" s="55">
        <v>1208</v>
      </c>
      <c r="C569" s="56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570" spans="1:3" x14ac:dyDescent="0.35">
      <c r="A570" s="36" t="str">
        <f>_xlfn.TEXTJOIN(" ",TRUE,Employees_Data[[#This Row],[First Name]],Employees_Data[[#This Row],[Last Name]])</f>
        <v>Abdalkarim Shueayb</v>
      </c>
      <c r="B570" s="53">
        <v>2342</v>
      </c>
      <c r="C570" s="54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571" spans="1:3" x14ac:dyDescent="0.35">
      <c r="A571" s="40" t="str">
        <f>_xlfn.TEXTJOIN(" ",TRUE,Employees_Data[[#This Row],[First Name]],Employees_Data[[#This Row],[Last Name]])</f>
        <v>Muhamad Khayr</v>
      </c>
      <c r="B571" s="55">
        <v>3244</v>
      </c>
      <c r="C571" s="56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572" spans="1:3" x14ac:dyDescent="0.35">
      <c r="A572" s="36" t="str">
        <f>_xlfn.TEXTJOIN(" ",TRUE,Employees_Data[[#This Row],[First Name]],Employees_Data[[#This Row],[Last Name]])</f>
        <v>Shadi Qitan</v>
      </c>
      <c r="B572" s="53">
        <v>2613</v>
      </c>
      <c r="C572" s="54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573" spans="1:3" x14ac:dyDescent="0.35">
      <c r="A573" s="40" t="str">
        <f>_xlfn.TEXTJOIN(" ",TRUE,Employees_Data[[#This Row],[First Name]],Employees_Data[[#This Row],[Last Name]])</f>
        <v>Muhamad Rajab</v>
      </c>
      <c r="B573" s="55">
        <v>2263</v>
      </c>
      <c r="C573" s="56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574" spans="1:3" x14ac:dyDescent="0.35">
      <c r="A574" s="36" t="str">
        <f>_xlfn.TEXTJOIN(" ",TRUE,Employees_Data[[#This Row],[First Name]],Employees_Data[[#This Row],[Last Name]])</f>
        <v>Khalid Alkhawam</v>
      </c>
      <c r="B574" s="53">
        <v>3157</v>
      </c>
      <c r="C574" s="54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575" spans="1:3" x14ac:dyDescent="0.35">
      <c r="A575" s="40" t="str">
        <f>_xlfn.TEXTJOIN(" ",TRUE,Employees_Data[[#This Row],[First Name]],Employees_Data[[#This Row],[Last Name]])</f>
        <v>Muhamad Asamh</v>
      </c>
      <c r="B575" s="55">
        <v>2519</v>
      </c>
      <c r="C575" s="56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576" spans="1:3" x14ac:dyDescent="0.35">
      <c r="A576" s="36" t="str">
        <f>_xlfn.TEXTJOIN(" ",TRUE,Employees_Data[[#This Row],[First Name]],Employees_Data[[#This Row],[Last Name]])</f>
        <v>Alaa Alyusif</v>
      </c>
      <c r="B576" s="53">
        <v>3019</v>
      </c>
      <c r="C576" s="54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577" spans="1:3" x14ac:dyDescent="0.35">
      <c r="A577" s="40" t="str">
        <f>_xlfn.TEXTJOIN(" ",TRUE,Employees_Data[[#This Row],[First Name]],Employees_Data[[#This Row],[Last Name]])</f>
        <v>Asym Aleaqqad</v>
      </c>
      <c r="B577" s="55">
        <v>3048</v>
      </c>
      <c r="C577" s="56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578" spans="1:3" x14ac:dyDescent="0.35">
      <c r="A578" s="36" t="str">
        <f>_xlfn.TEXTJOIN(" ",TRUE,Employees_Data[[#This Row],[First Name]],Employees_Data[[#This Row],[Last Name]])</f>
        <v>Ahmad Dahman</v>
      </c>
      <c r="B578" s="53">
        <v>1523</v>
      </c>
      <c r="C578" s="54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579" spans="1:3" x14ac:dyDescent="0.35">
      <c r="A579" s="40" t="str">
        <f>_xlfn.TEXTJOIN(" ",TRUE,Employees_Data[[#This Row],[First Name]],Employees_Data[[#This Row],[Last Name]])</f>
        <v>Oqba Alqintar</v>
      </c>
      <c r="B579" s="55">
        <v>2197</v>
      </c>
      <c r="C579" s="56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580" spans="1:3" x14ac:dyDescent="0.35">
      <c r="A580" s="36" t="str">
        <f>_xlfn.TEXTJOIN(" ",TRUE,Employees_Data[[#This Row],[First Name]],Employees_Data[[#This Row],[Last Name]])</f>
        <v>Rahaf Laylanaan</v>
      </c>
      <c r="B580" s="53">
        <v>1870</v>
      </c>
      <c r="C580" s="54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581" spans="1:3" x14ac:dyDescent="0.35">
      <c r="A581" s="40" t="str">
        <f>_xlfn.TEXTJOIN(" ",TRUE,Employees_Data[[#This Row],[First Name]],Employees_Data[[#This Row],[Last Name]])</f>
        <v>Muhamad Rajab</v>
      </c>
      <c r="B581" s="55">
        <v>1058</v>
      </c>
      <c r="C581" s="56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582" spans="1:3" x14ac:dyDescent="0.35">
      <c r="A582" s="36" t="str">
        <f>_xlfn.TEXTJOIN(" ",TRUE,Employees_Data[[#This Row],[First Name]],Employees_Data[[#This Row],[Last Name]])</f>
        <v>Ramadan Muhii Aldiyn</v>
      </c>
      <c r="B582" s="53">
        <v>1257</v>
      </c>
      <c r="C582" s="54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583" spans="1:3" x14ac:dyDescent="0.35">
      <c r="A583" s="40" t="str">
        <f>_xlfn.TEXTJOIN(" ",TRUE,Employees_Data[[#This Row],[First Name]],Employees_Data[[#This Row],[Last Name]])</f>
        <v>Zaynab Eirat</v>
      </c>
      <c r="B583" s="55">
        <v>819</v>
      </c>
      <c r="C583" s="56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584" spans="1:3" x14ac:dyDescent="0.35">
      <c r="A584" s="36" t="str">
        <f>_xlfn.TEXTJOIN(" ",TRUE,Employees_Data[[#This Row],[First Name]],Employees_Data[[#This Row],[Last Name]])</f>
        <v>Salah Aldiyn Altibae</v>
      </c>
      <c r="B584" s="53">
        <v>3068</v>
      </c>
      <c r="C584" s="54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585" spans="1:3" x14ac:dyDescent="0.35">
      <c r="A585" s="40" t="str">
        <f>_xlfn.TEXTJOIN(" ",TRUE,Employees_Data[[#This Row],[First Name]],Employees_Data[[#This Row],[Last Name]])</f>
        <v>Faras Alghandur</v>
      </c>
      <c r="B585" s="55">
        <v>1814</v>
      </c>
      <c r="C585" s="56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586" spans="1:3" x14ac:dyDescent="0.35">
      <c r="A586" s="36" t="str">
        <f>_xlfn.TEXTJOIN(" ",TRUE,Employees_Data[[#This Row],[First Name]],Employees_Data[[#This Row],[Last Name]])</f>
        <v>Husam Tamim</v>
      </c>
      <c r="B586" s="53">
        <v>1076</v>
      </c>
      <c r="C586" s="54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587" spans="1:3" x14ac:dyDescent="0.35">
      <c r="A587" s="40" t="str">
        <f>_xlfn.TEXTJOIN(" ",TRUE,Employees_Data[[#This Row],[First Name]],Employees_Data[[#This Row],[Last Name]])</f>
        <v>Ayat Byd</v>
      </c>
      <c r="B587" s="55">
        <v>3120</v>
      </c>
      <c r="C587" s="56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588" spans="1:3" x14ac:dyDescent="0.35">
      <c r="A588" s="36" t="str">
        <f>_xlfn.TEXTJOIN(" ",TRUE,Employees_Data[[#This Row],[First Name]],Employees_Data[[#This Row],[Last Name]])</f>
        <v>Rima Daly</v>
      </c>
      <c r="B588" s="53">
        <v>1359</v>
      </c>
      <c r="C588" s="54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589" spans="1:3" x14ac:dyDescent="0.35">
      <c r="A589" s="40" t="str">
        <f>_xlfn.TEXTJOIN(" ",TRUE,Employees_Data[[#This Row],[First Name]],Employees_Data[[#This Row],[Last Name]])</f>
        <v>Muhamad Almunajid</v>
      </c>
      <c r="B589" s="55">
        <v>3391</v>
      </c>
      <c r="C589" s="56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590" spans="1:3" x14ac:dyDescent="0.35">
      <c r="A590" s="36" t="str">
        <f>_xlfn.TEXTJOIN(" ",TRUE,Employees_Data[[#This Row],[First Name]],Employees_Data[[#This Row],[Last Name]])</f>
        <v>Eynas Muhamad</v>
      </c>
      <c r="B590" s="53">
        <v>1892</v>
      </c>
      <c r="C590" s="54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591" spans="1:3" x14ac:dyDescent="0.35">
      <c r="A591" s="40" t="str">
        <f>_xlfn.TEXTJOIN(" ",TRUE,Employees_Data[[#This Row],[First Name]],Employees_Data[[#This Row],[Last Name]])</f>
        <v>Ahmad Ahmid</v>
      </c>
      <c r="B591" s="55">
        <v>2639</v>
      </c>
      <c r="C591" s="56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592" spans="1:3" x14ac:dyDescent="0.35">
      <c r="A592" s="36" t="str">
        <f>_xlfn.TEXTJOIN(" ",TRUE,Employees_Data[[#This Row],[First Name]],Employees_Data[[#This Row],[Last Name]])</f>
        <v>Madlin Aljabaei</v>
      </c>
      <c r="B592" s="53">
        <v>1580</v>
      </c>
      <c r="C592" s="54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593" spans="1:3" x14ac:dyDescent="0.35">
      <c r="A593" s="40" t="str">
        <f>_xlfn.TEXTJOIN(" ",TRUE,Employees_Data[[#This Row],[First Name]],Employees_Data[[#This Row],[Last Name]])</f>
        <v>Ali Alqadri</v>
      </c>
      <c r="B593" s="55">
        <v>2186</v>
      </c>
      <c r="C593" s="56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594" spans="1:3" x14ac:dyDescent="0.35">
      <c r="A594" s="36" t="str">
        <f>_xlfn.TEXTJOIN(" ",TRUE,Employees_Data[[#This Row],[First Name]],Employees_Data[[#This Row],[Last Name]])</f>
        <v>Muhamad Dib</v>
      </c>
      <c r="B594" s="53">
        <v>1574</v>
      </c>
      <c r="C594" s="54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595" spans="1:3" x14ac:dyDescent="0.35">
      <c r="A595" s="40" t="str">
        <f>_xlfn.TEXTJOIN(" ",TRUE,Employees_Data[[#This Row],[First Name]],Employees_Data[[#This Row],[Last Name]])</f>
        <v>Hanan Bradiei</v>
      </c>
      <c r="B595" s="55">
        <v>2013</v>
      </c>
      <c r="C595" s="56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596" spans="1:3" x14ac:dyDescent="0.35">
      <c r="A596" s="36" t="str">
        <f>_xlfn.TEXTJOIN(" ",TRUE,Employees_Data[[#This Row],[First Name]],Employees_Data[[#This Row],[Last Name]])</f>
        <v>Danah Suirkili</v>
      </c>
      <c r="B596" s="53">
        <v>2075</v>
      </c>
      <c r="C596" s="54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597" spans="1:3" x14ac:dyDescent="0.35">
      <c r="A597" s="40" t="str">
        <f>_xlfn.TEXTJOIN(" ",TRUE,Employees_Data[[#This Row],[First Name]],Employees_Data[[#This Row],[Last Name]])</f>
        <v>Ghada Darakal</v>
      </c>
      <c r="B597" s="55">
        <v>1372</v>
      </c>
      <c r="C597" s="56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598" spans="1:3" x14ac:dyDescent="0.35">
      <c r="A598" s="36" t="str">
        <f>_xlfn.TEXTJOIN(" ",TRUE,Employees_Data[[#This Row],[First Name]],Employees_Data[[#This Row],[Last Name]])</f>
        <v>Mazin Bihtiti</v>
      </c>
      <c r="B598" s="53">
        <v>2026</v>
      </c>
      <c r="C598" s="54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599" spans="1:3" x14ac:dyDescent="0.35">
      <c r="A599" s="40" t="str">
        <f>_xlfn.TEXTJOIN(" ",TRUE,Employees_Data[[#This Row],[First Name]],Employees_Data[[#This Row],[Last Name]])</f>
        <v>Ridwan Alshulyan</v>
      </c>
      <c r="B599" s="55">
        <v>1351</v>
      </c>
      <c r="C599" s="56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600" spans="1:3" x14ac:dyDescent="0.35">
      <c r="A600" s="36" t="str">
        <f>_xlfn.TEXTJOIN(" ",TRUE,Employees_Data[[#This Row],[First Name]],Employees_Data[[#This Row],[Last Name]])</f>
        <v>Ali Barghaly</v>
      </c>
      <c r="B600" s="53">
        <v>1111</v>
      </c>
      <c r="C600" s="54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601" spans="1:3" x14ac:dyDescent="0.35">
      <c r="A601" s="40" t="str">
        <f>_xlfn.TEXTJOIN(" ",TRUE,Employees_Data[[#This Row],[First Name]],Employees_Data[[#This Row],[Last Name]])</f>
        <v>Iad Badran</v>
      </c>
      <c r="B601" s="55">
        <v>1554</v>
      </c>
      <c r="C601" s="56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602" spans="1:3" x14ac:dyDescent="0.35">
      <c r="A602" s="36" t="str">
        <f>_xlfn.TEXTJOIN(" ",TRUE,Employees_Data[[#This Row],[First Name]],Employees_Data[[#This Row],[Last Name]])</f>
        <v>Abdalrhmin Shwk</v>
      </c>
      <c r="B602" s="53">
        <v>3057</v>
      </c>
      <c r="C602" s="54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603" spans="1:3" x14ac:dyDescent="0.35">
      <c r="A603" s="40" t="str">
        <f>_xlfn.TEXTJOIN(" ",TRUE,Employees_Data[[#This Row],[First Name]],Employees_Data[[#This Row],[Last Name]])</f>
        <v>Husam Aldiyn</v>
      </c>
      <c r="B603" s="55">
        <v>1733</v>
      </c>
      <c r="C603" s="56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604" spans="1:3" x14ac:dyDescent="0.35">
      <c r="A604" s="36" t="str">
        <f>_xlfn.TEXTJOIN(" ",TRUE,Employees_Data[[#This Row],[First Name]],Employees_Data[[#This Row],[Last Name]])</f>
        <v>Ahmad Hamuwdatan</v>
      </c>
      <c r="B604" s="53">
        <v>1511</v>
      </c>
      <c r="C604" s="54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605" spans="1:3" x14ac:dyDescent="0.35">
      <c r="A605" s="40" t="str">
        <f>_xlfn.TEXTJOIN(" ",TRUE,Employees_Data[[#This Row],[First Name]],Employees_Data[[#This Row],[Last Name]])</f>
        <v>Ahmad Laylana</v>
      </c>
      <c r="B605" s="55">
        <v>2542</v>
      </c>
      <c r="C605" s="56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606" spans="1:3" x14ac:dyDescent="0.35">
      <c r="A606" s="36" t="str">
        <f>_xlfn.TEXTJOIN(" ",TRUE,Employees_Data[[#This Row],[First Name]],Employees_Data[[#This Row],[Last Name]])</f>
        <v>Shuruq Aljuju</v>
      </c>
      <c r="B606" s="53">
        <v>1573</v>
      </c>
      <c r="C606" s="54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607" spans="1:3" x14ac:dyDescent="0.35">
      <c r="A607" s="40" t="str">
        <f>_xlfn.TEXTJOIN(" ",TRUE,Employees_Data[[#This Row],[First Name]],Employees_Data[[#This Row],[Last Name]])</f>
        <v>Muhamad Alshahrur</v>
      </c>
      <c r="B607" s="55">
        <v>2604</v>
      </c>
      <c r="C607" s="56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608" spans="1:3" x14ac:dyDescent="0.35">
      <c r="A608" s="36" t="str">
        <f>_xlfn.TEXTJOIN(" ",TRUE,Employees_Data[[#This Row],[First Name]],Employees_Data[[#This Row],[Last Name]])</f>
        <v>Rafif Khalf</v>
      </c>
      <c r="B608" s="53">
        <v>3152</v>
      </c>
      <c r="C608" s="54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609" spans="1:3" x14ac:dyDescent="0.35">
      <c r="A609" s="40" t="str">
        <f>_xlfn.TEXTJOIN(" ",TRUE,Employees_Data[[#This Row],[First Name]],Employees_Data[[#This Row],[Last Name]])</f>
        <v>Muhamad Alkhatib</v>
      </c>
      <c r="B609" s="55">
        <v>2655</v>
      </c>
      <c r="C609" s="56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610" spans="1:3" x14ac:dyDescent="0.35">
      <c r="A610" s="36" t="str">
        <f>_xlfn.TEXTJOIN(" ",TRUE,Employees_Data[[#This Row],[First Name]],Employees_Data[[#This Row],[Last Name]])</f>
        <v>Muhamad Albarnawi</v>
      </c>
      <c r="B610" s="53">
        <v>1405</v>
      </c>
      <c r="C610" s="54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611" spans="1:3" x14ac:dyDescent="0.35">
      <c r="A611" s="40" t="str">
        <f>_xlfn.TEXTJOIN(" ",TRUE,Employees_Data[[#This Row],[First Name]],Employees_Data[[#This Row],[Last Name]])</f>
        <v>Ali Almiqdad</v>
      </c>
      <c r="B611" s="55">
        <v>3100</v>
      </c>
      <c r="C611" s="56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612" spans="1:3" x14ac:dyDescent="0.35">
      <c r="A612" s="36" t="str">
        <f>_xlfn.TEXTJOIN(" ",TRUE,Employees_Data[[#This Row],[First Name]],Employees_Data[[#This Row],[Last Name]])</f>
        <v>Ranya Faris</v>
      </c>
      <c r="B612" s="53">
        <v>2729</v>
      </c>
      <c r="C612" s="54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613" spans="1:3" x14ac:dyDescent="0.35">
      <c r="A613" s="40" t="str">
        <f>_xlfn.TEXTJOIN(" ",TRUE,Employees_Data[[#This Row],[First Name]],Employees_Data[[#This Row],[Last Name]])</f>
        <v>Ali Alshaykh</v>
      </c>
      <c r="B613" s="55">
        <v>1467</v>
      </c>
      <c r="C613" s="56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614" spans="1:3" x14ac:dyDescent="0.35">
      <c r="A614" s="36" t="str">
        <f>_xlfn.TEXTJOIN(" ",TRUE,Employees_Data[[#This Row],[First Name]],Employees_Data[[#This Row],[Last Name]])</f>
        <v>Iin Kafa</v>
      </c>
      <c r="B614" s="53">
        <v>1612</v>
      </c>
      <c r="C614" s="54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615" spans="1:3" x14ac:dyDescent="0.35">
      <c r="A615" s="40" t="str">
        <f>_xlfn.TEXTJOIN(" ",TRUE,Employees_Data[[#This Row],[First Name]],Employees_Data[[#This Row],[Last Name]])</f>
        <v>Muhamad Almaghribi</v>
      </c>
      <c r="B615" s="55">
        <v>2901</v>
      </c>
      <c r="C615" s="56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616" spans="1:3" x14ac:dyDescent="0.35">
      <c r="A616" s="36" t="str">
        <f>_xlfn.TEXTJOIN(" ",TRUE,Employees_Data[[#This Row],[First Name]],Employees_Data[[#This Row],[Last Name]])</f>
        <v>Sami Aldrwysh</v>
      </c>
      <c r="B616" s="53">
        <v>1999</v>
      </c>
      <c r="C616" s="54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617" spans="1:3" x14ac:dyDescent="0.35">
      <c r="A617" s="40" t="str">
        <f>_xlfn.TEXTJOIN(" ",TRUE,Employees_Data[[#This Row],[First Name]],Employees_Data[[#This Row],[Last Name]])</f>
        <v>Samah Alkhatib</v>
      </c>
      <c r="B617" s="55">
        <v>705</v>
      </c>
      <c r="C617" s="56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618" spans="1:3" x14ac:dyDescent="0.35">
      <c r="A618" s="36" t="str">
        <f>_xlfn.TEXTJOIN(" ",TRUE,Employees_Data[[#This Row],[First Name]],Employees_Data[[#This Row],[Last Name]])</f>
        <v>Eala Hatim</v>
      </c>
      <c r="B618" s="53">
        <v>3311</v>
      </c>
      <c r="C618" s="54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619" spans="1:3" x14ac:dyDescent="0.35">
      <c r="A619" s="40" t="str">
        <f>_xlfn.TEXTJOIN(" ",TRUE,Employees_Data[[#This Row],[First Name]],Employees_Data[[#This Row],[Last Name]])</f>
        <v>Dalia Nahlawi</v>
      </c>
      <c r="B619" s="55">
        <v>2516</v>
      </c>
      <c r="C619" s="56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620" spans="1:3" x14ac:dyDescent="0.35">
      <c r="A620" s="36" t="str">
        <f>_xlfn.TEXTJOIN(" ",TRUE,Employees_Data[[#This Row],[First Name]],Employees_Data[[#This Row],[Last Name]])</f>
        <v>Rabye' Alzrqawy</v>
      </c>
      <c r="B620" s="53">
        <v>2000</v>
      </c>
      <c r="C620" s="54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621" spans="1:3" x14ac:dyDescent="0.35">
      <c r="A621" s="40" t="str">
        <f>_xlfn.TEXTJOIN(" ",TRUE,Employees_Data[[#This Row],[First Name]],Employees_Data[[#This Row],[Last Name]])</f>
        <v>Kholoud Huquq</v>
      </c>
      <c r="B621" s="55">
        <v>2860</v>
      </c>
      <c r="C621" s="56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622" spans="1:3" x14ac:dyDescent="0.35">
      <c r="A622" s="36" t="str">
        <f>_xlfn.TEXTJOIN(" ",TRUE,Employees_Data[[#This Row],[First Name]],Employees_Data[[#This Row],[Last Name]])</f>
        <v>Ibrahim Alqatish</v>
      </c>
      <c r="B622" s="53">
        <v>943</v>
      </c>
      <c r="C622" s="54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623" spans="1:3" x14ac:dyDescent="0.35">
      <c r="A623" s="40" t="str">
        <f>_xlfn.TEXTJOIN(" ",TRUE,Employees_Data[[#This Row],[First Name]],Employees_Data[[#This Row],[Last Name]])</f>
        <v>Salih Altawil</v>
      </c>
      <c r="B623" s="55">
        <v>1018</v>
      </c>
      <c r="C623" s="56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624" spans="1:3" x14ac:dyDescent="0.35">
      <c r="A624" s="36" t="str">
        <f>_xlfn.TEXTJOIN(" ",TRUE,Employees_Data[[#This Row],[First Name]],Employees_Data[[#This Row],[Last Name]])</f>
        <v>Sami Alsyd Ahmad</v>
      </c>
      <c r="B624" s="53">
        <v>1835</v>
      </c>
      <c r="C624" s="54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625" spans="1:3" x14ac:dyDescent="0.35">
      <c r="A625" s="40" t="str">
        <f>_xlfn.TEXTJOIN(" ",TRUE,Employees_Data[[#This Row],[First Name]],Employees_Data[[#This Row],[Last Name]])</f>
        <v>Zahir Aleitar</v>
      </c>
      <c r="B625" s="55">
        <v>2192</v>
      </c>
      <c r="C625" s="56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626" spans="1:3" x14ac:dyDescent="0.35">
      <c r="A626" s="36" t="str">
        <f>_xlfn.TEXTJOIN(" ",TRUE,Employees_Data[[#This Row],[First Name]],Employees_Data[[#This Row],[Last Name]])</f>
        <v>Fatir Alealiu</v>
      </c>
      <c r="B626" s="53">
        <v>2875</v>
      </c>
      <c r="C626" s="54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627" spans="1:3" x14ac:dyDescent="0.35">
      <c r="A627" s="40" t="str">
        <f>_xlfn.TEXTJOIN(" ",TRUE,Employees_Data[[#This Row],[First Name]],Employees_Data[[#This Row],[Last Name]])</f>
        <v>Samir Alealiu</v>
      </c>
      <c r="B627" s="55">
        <v>1332</v>
      </c>
      <c r="C627" s="56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628" spans="1:3" x14ac:dyDescent="0.35">
      <c r="A628" s="36" t="str">
        <f>_xlfn.TEXTJOIN(" ",TRUE,Employees_Data[[#This Row],[First Name]],Employees_Data[[#This Row],[Last Name]])</f>
        <v>Muhamad Sulayman</v>
      </c>
      <c r="B628" s="53">
        <v>2023</v>
      </c>
      <c r="C628" s="54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629" spans="1:3" x14ac:dyDescent="0.35">
      <c r="A629" s="40" t="str">
        <f>_xlfn.TEXTJOIN(" ",TRUE,Employees_Data[[#This Row],[First Name]],Employees_Data[[#This Row],[Last Name]])</f>
        <v>Muhamad Suqabani</v>
      </c>
      <c r="B629" s="55">
        <v>2094</v>
      </c>
      <c r="C629" s="56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630" spans="1:3" x14ac:dyDescent="0.35">
      <c r="A630" s="36" t="str">
        <f>_xlfn.TEXTJOIN(" ",TRUE,Employees_Data[[#This Row],[First Name]],Employees_Data[[#This Row],[Last Name]])</f>
        <v>Muhamad Aldubbas</v>
      </c>
      <c r="B630" s="53">
        <v>3006</v>
      </c>
      <c r="C630" s="54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631" spans="1:3" x14ac:dyDescent="0.35">
      <c r="A631" s="40" t="str">
        <f>_xlfn.TEXTJOIN(" ",TRUE,Employees_Data[[#This Row],[First Name]],Employees_Data[[#This Row],[Last Name]])</f>
        <v>Hamzaa Astitih</v>
      </c>
      <c r="B631" s="55">
        <v>2717</v>
      </c>
      <c r="C631" s="56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632" spans="1:3" x14ac:dyDescent="0.35">
      <c r="A632" s="36" t="str">
        <f>_xlfn.TEXTJOIN(" ",TRUE,Employees_Data[[#This Row],[First Name]],Employees_Data[[#This Row],[Last Name]])</f>
        <v>Sulayman Zinu</v>
      </c>
      <c r="B632" s="53">
        <v>3135</v>
      </c>
      <c r="C632" s="54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633" spans="1:3" x14ac:dyDescent="0.35">
      <c r="A633" s="40" t="str">
        <f>_xlfn.TEXTJOIN(" ",TRUE,Employees_Data[[#This Row],[First Name]],Employees_Data[[#This Row],[Last Name]])</f>
        <v>Alaa Alrifaei</v>
      </c>
      <c r="B633" s="55">
        <v>2334</v>
      </c>
      <c r="C633" s="56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634" spans="1:3" x14ac:dyDescent="0.35">
      <c r="A634" s="36" t="str">
        <f>_xlfn.TEXTJOIN(" ",TRUE,Employees_Data[[#This Row],[First Name]],Employees_Data[[#This Row],[Last Name]])</f>
        <v>Rasha Alrifaei</v>
      </c>
      <c r="B634" s="53">
        <v>1661</v>
      </c>
      <c r="C634" s="54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635" spans="1:3" x14ac:dyDescent="0.35">
      <c r="A635" s="40" t="str">
        <f>_xlfn.TEXTJOIN(" ",TRUE,Employees_Data[[#This Row],[First Name]],Employees_Data[[#This Row],[Last Name]])</f>
        <v>Bayan Darbika</v>
      </c>
      <c r="B635" s="55">
        <v>1230</v>
      </c>
      <c r="C635" s="56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636" spans="1:3" x14ac:dyDescent="0.35">
      <c r="A636" s="36" t="str">
        <f>_xlfn.TEXTJOIN(" ",TRUE,Employees_Data[[#This Row],[First Name]],Employees_Data[[#This Row],[Last Name]])</f>
        <v>Iin Almunzilijiu</v>
      </c>
      <c r="B636" s="53">
        <v>1483</v>
      </c>
      <c r="C636" s="54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637" spans="1:3" x14ac:dyDescent="0.35">
      <c r="A637" s="40" t="str">
        <f>_xlfn.TEXTJOIN(" ",TRUE,Employees_Data[[#This Row],[First Name]],Employees_Data[[#This Row],[Last Name]])</f>
        <v>Abd Alwahhab Aldhiyab</v>
      </c>
      <c r="B637" s="55">
        <v>2462</v>
      </c>
      <c r="C637" s="56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638" spans="1:3" x14ac:dyDescent="0.35">
      <c r="A638" s="36" t="str">
        <f>_xlfn.TEXTJOIN(" ",TRUE,Employees_Data[[#This Row],[First Name]],Employees_Data[[#This Row],[Last Name]])</f>
        <v>Hanan Salahi</v>
      </c>
      <c r="B638" s="53">
        <v>2180</v>
      </c>
      <c r="C638" s="54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639" spans="1:3" x14ac:dyDescent="0.35">
      <c r="A639" s="40" t="str">
        <f>_xlfn.TEXTJOIN(" ",TRUE,Employees_Data[[#This Row],[First Name]],Employees_Data[[#This Row],[Last Name]])</f>
        <v>Mari Ayuwb</v>
      </c>
      <c r="B639" s="55">
        <v>943</v>
      </c>
      <c r="C639" s="56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640" spans="1:3" x14ac:dyDescent="0.35">
      <c r="A640" s="36" t="str">
        <f>_xlfn.TEXTJOIN(" ",TRUE,Employees_Data[[#This Row],[First Name]],Employees_Data[[#This Row],[Last Name]])</f>
        <v>Omar Shawqi</v>
      </c>
      <c r="B640" s="53">
        <v>2489</v>
      </c>
      <c r="C640" s="54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641" spans="1:3" x14ac:dyDescent="0.35">
      <c r="A641" s="40" t="str">
        <f>_xlfn.TEXTJOIN(" ",TRUE,Employees_Data[[#This Row],[First Name]],Employees_Data[[#This Row],[Last Name]])</f>
        <v>Tariq Aldhahabi</v>
      </c>
      <c r="B641" s="55">
        <v>2279</v>
      </c>
      <c r="C641" s="56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642" spans="1:3" x14ac:dyDescent="0.35">
      <c r="A642" s="36" t="str">
        <f>_xlfn.TEXTJOIN(" ",TRUE,Employees_Data[[#This Row],[First Name]],Employees_Data[[#This Row],[Last Name]])</f>
        <v>Rama Asead</v>
      </c>
      <c r="B642" s="53">
        <v>840</v>
      </c>
      <c r="C642" s="54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643" spans="1:3" x14ac:dyDescent="0.35">
      <c r="A643" s="40" t="str">
        <f>_xlfn.TEXTJOIN(" ",TRUE,Employees_Data[[#This Row],[First Name]],Employees_Data[[#This Row],[Last Name]])</f>
        <v>Ghayth Eali</v>
      </c>
      <c r="B643" s="55">
        <v>1601</v>
      </c>
      <c r="C643" s="56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644" spans="1:3" x14ac:dyDescent="0.35">
      <c r="A644" s="36" t="str">
        <f>_xlfn.TEXTJOIN(" ",TRUE,Employees_Data[[#This Row],[First Name]],Employees_Data[[#This Row],[Last Name]])</f>
        <v>Mahir Eabuwd</v>
      </c>
      <c r="B644" s="53">
        <v>1414</v>
      </c>
      <c r="C644" s="54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645" spans="1:3" x14ac:dyDescent="0.35">
      <c r="A645" s="40" t="str">
        <f>_xlfn.TEXTJOIN(" ",TRUE,Employees_Data[[#This Row],[First Name]],Employees_Data[[#This Row],[Last Name]])</f>
        <v>Muwmin Almujahid</v>
      </c>
      <c r="B645" s="55">
        <v>905</v>
      </c>
      <c r="C645" s="56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646" spans="1:3" x14ac:dyDescent="0.35">
      <c r="A646" s="36" t="str">
        <f>_xlfn.TEXTJOIN(" ",TRUE,Employees_Data[[#This Row],[First Name]],Employees_Data[[#This Row],[Last Name]])</f>
        <v>Dima Drwysh</v>
      </c>
      <c r="B646" s="53">
        <v>2525</v>
      </c>
      <c r="C646" s="54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647" spans="1:3" x14ac:dyDescent="0.35">
      <c r="A647" s="40" t="str">
        <f>_xlfn.TEXTJOIN(" ",TRUE,Employees_Data[[#This Row],[First Name]],Employees_Data[[#This Row],[Last Name]])</f>
        <v>Muhamad Khalid</v>
      </c>
      <c r="B647" s="55">
        <v>1412</v>
      </c>
      <c r="C647" s="56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648" spans="1:3" x14ac:dyDescent="0.35">
      <c r="A648" s="36" t="str">
        <f>_xlfn.TEXTJOIN(" ",TRUE,Employees_Data[[#This Row],[First Name]],Employees_Data[[#This Row],[Last Name]])</f>
        <v>Diea Filyun</v>
      </c>
      <c r="B648" s="53">
        <v>2397</v>
      </c>
      <c r="C648" s="54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649" spans="1:3" x14ac:dyDescent="0.35">
      <c r="A649" s="40" t="str">
        <f>_xlfn.TEXTJOIN(" ",TRUE,Employees_Data[[#This Row],[First Name]],Employees_Data[[#This Row],[Last Name]])</f>
        <v>Muhamad Tasbihji</v>
      </c>
      <c r="B649" s="55">
        <v>1153</v>
      </c>
      <c r="C649" s="56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650" spans="1:3" x14ac:dyDescent="0.35">
      <c r="A650" s="36" t="str">
        <f>_xlfn.TEXTJOIN(" ",TRUE,Employees_Data[[#This Row],[First Name]],Employees_Data[[#This Row],[Last Name]])</f>
        <v>Mazin Shumut</v>
      </c>
      <c r="B650" s="53">
        <v>2091</v>
      </c>
      <c r="C650" s="54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651" spans="1:3" x14ac:dyDescent="0.35">
      <c r="A651" s="40" t="str">
        <f>_xlfn.TEXTJOIN(" ",TRUE,Employees_Data[[#This Row],[First Name]],Employees_Data[[#This Row],[Last Name]])</f>
        <v>Omar Zaqzuq</v>
      </c>
      <c r="B651" s="55">
        <v>1444</v>
      </c>
      <c r="C651" s="56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652" spans="1:3" x14ac:dyDescent="0.35">
      <c r="A652" s="36" t="str">
        <f>_xlfn.TEXTJOIN(" ",TRUE,Employees_Data[[#This Row],[First Name]],Employees_Data[[#This Row],[Last Name]])</f>
        <v>Yasmin Eamir</v>
      </c>
      <c r="B652" s="53">
        <v>2360</v>
      </c>
      <c r="C652" s="54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653" spans="1:3" x14ac:dyDescent="0.35">
      <c r="A653" s="40" t="str">
        <f>_xlfn.TEXTJOIN(" ",TRUE,Employees_Data[[#This Row],[First Name]],Employees_Data[[#This Row],[Last Name]])</f>
        <v>Muhamad Haydar</v>
      </c>
      <c r="B653" s="55">
        <v>2576</v>
      </c>
      <c r="C653" s="56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654" spans="1:3" x14ac:dyDescent="0.35">
      <c r="A654" s="36" t="str">
        <f>_xlfn.TEXTJOIN(" ",TRUE,Employees_Data[[#This Row],[First Name]],Employees_Data[[#This Row],[Last Name]])</f>
        <v>Muhamad Ratib</v>
      </c>
      <c r="B654" s="53">
        <v>2376</v>
      </c>
      <c r="C654" s="54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655" spans="1:3" x14ac:dyDescent="0.35">
      <c r="A655" s="40" t="str">
        <f>_xlfn.TEXTJOIN(" ",TRUE,Employees_Data[[#This Row],[First Name]],Employees_Data[[#This Row],[Last Name]])</f>
        <v>Muayid Siedih</v>
      </c>
      <c r="B655" s="55">
        <v>2924</v>
      </c>
      <c r="C655" s="56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656" spans="1:3" x14ac:dyDescent="0.35">
      <c r="A656" s="36" t="str">
        <f>_xlfn.TEXTJOIN(" ",TRUE,Employees_Data[[#This Row],[First Name]],Employees_Data[[#This Row],[Last Name]])</f>
        <v>Husam Alhamd</v>
      </c>
      <c r="B656" s="53">
        <v>2548</v>
      </c>
      <c r="C656" s="54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657" spans="1:3" x14ac:dyDescent="0.35">
      <c r="A657" s="40" t="str">
        <f>_xlfn.TEXTJOIN(" ",TRUE,Employees_Data[[#This Row],[First Name]],Employees_Data[[#This Row],[Last Name]])</f>
        <v>Abdalkrim Fadal</v>
      </c>
      <c r="B657" s="55">
        <v>841</v>
      </c>
      <c r="C657" s="56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658" spans="1:3" x14ac:dyDescent="0.35">
      <c r="A658" s="36" t="str">
        <f>_xlfn.TEXTJOIN(" ",TRUE,Employees_Data[[#This Row],[First Name]],Employees_Data[[#This Row],[Last Name]])</f>
        <v>Bayan Eurnus</v>
      </c>
      <c r="B658" s="53">
        <v>3017</v>
      </c>
      <c r="C658" s="54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659" spans="1:3" x14ac:dyDescent="0.35">
      <c r="A659" s="40" t="str">
        <f>_xlfn.TEXTJOIN(" ",TRUE,Employees_Data[[#This Row],[First Name]],Employees_Data[[#This Row],[Last Name]])</f>
        <v>Abd Almueiyn Eitaya</v>
      </c>
      <c r="B659" s="55">
        <v>1077</v>
      </c>
      <c r="C659" s="56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660" spans="1:3" x14ac:dyDescent="0.35">
      <c r="A660" s="36" t="str">
        <f>_xlfn.TEXTJOIN(" ",TRUE,Employees_Data[[#This Row],[First Name]],Employees_Data[[#This Row],[Last Name]])</f>
        <v>Sahar Qisam</v>
      </c>
      <c r="B660" s="53">
        <v>3316</v>
      </c>
      <c r="C660" s="54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661" spans="1:3" x14ac:dyDescent="0.35">
      <c r="A661" s="40" t="str">
        <f>_xlfn.TEXTJOIN(" ",TRUE,Employees_Data[[#This Row],[First Name]],Employees_Data[[#This Row],[Last Name]])</f>
        <v>Rafat Musaa</v>
      </c>
      <c r="B661" s="55">
        <v>2188</v>
      </c>
      <c r="C661" s="56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662" spans="1:3" x14ac:dyDescent="0.35">
      <c r="A662" s="36" t="str">
        <f>_xlfn.TEXTJOIN(" ",TRUE,Employees_Data[[#This Row],[First Name]],Employees_Data[[#This Row],[Last Name]])</f>
        <v>Shafiq Almalih</v>
      </c>
      <c r="B662" s="53">
        <v>1684</v>
      </c>
      <c r="C662" s="54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663" spans="1:3" x14ac:dyDescent="0.35">
      <c r="A663" s="40" t="str">
        <f>_xlfn.TEXTJOIN(" ",TRUE,Employees_Data[[#This Row],[First Name]],Employees_Data[[#This Row],[Last Name]])</f>
        <v>Raghad Aghasi</v>
      </c>
      <c r="B663" s="55">
        <v>716</v>
      </c>
      <c r="C663" s="56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664" spans="1:3" x14ac:dyDescent="0.35">
      <c r="A664" s="36" t="str">
        <f>_xlfn.TEXTJOIN(" ",TRUE,Employees_Data[[#This Row],[First Name]],Employees_Data[[#This Row],[Last Name]])</f>
        <v>Ruba Alhumwi</v>
      </c>
      <c r="B664" s="53">
        <v>2703</v>
      </c>
      <c r="C664" s="54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665" spans="1:3" x14ac:dyDescent="0.35">
      <c r="A665" s="40" t="str">
        <f>_xlfn.TEXTJOIN(" ",TRUE,Employees_Data[[#This Row],[First Name]],Employees_Data[[#This Row],[Last Name]])</f>
        <v>Bilal Alqalish</v>
      </c>
      <c r="B665" s="55">
        <v>2361</v>
      </c>
      <c r="C665" s="56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666" spans="1:3" x14ac:dyDescent="0.35">
      <c r="A666" s="36" t="str">
        <f>_xlfn.TEXTJOIN(" ",TRUE,Employees_Data[[#This Row],[First Name]],Employees_Data[[#This Row],[Last Name]])</f>
        <v>Muhamad Almisri</v>
      </c>
      <c r="B666" s="53">
        <v>1797</v>
      </c>
      <c r="C666" s="54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667" spans="1:3" x14ac:dyDescent="0.35">
      <c r="A667" s="40" t="str">
        <f>_xlfn.TEXTJOIN(" ",TRUE,Employees_Data[[#This Row],[First Name]],Employees_Data[[#This Row],[Last Name]])</f>
        <v>Husayn Hawria</v>
      </c>
      <c r="B667" s="55">
        <v>2252</v>
      </c>
      <c r="C667" s="56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668" spans="1:3" x14ac:dyDescent="0.35">
      <c r="A668" s="36" t="str">
        <f>_xlfn.TEXTJOIN(" ",TRUE,Employees_Data[[#This Row],[First Name]],Employees_Data[[#This Row],[Last Name]])</f>
        <v>Safa Alshahadat</v>
      </c>
      <c r="B668" s="53">
        <v>2486</v>
      </c>
      <c r="C668" s="54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669" spans="1:3" x14ac:dyDescent="0.35">
      <c r="A669" s="40" t="str">
        <f>_xlfn.TEXTJOIN(" ",TRUE,Employees_Data[[#This Row],[First Name]],Employees_Data[[#This Row],[Last Name]])</f>
        <v>Ahmad Aldiyk</v>
      </c>
      <c r="B669" s="55">
        <v>1197</v>
      </c>
      <c r="C669" s="56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670" spans="1:3" x14ac:dyDescent="0.35">
      <c r="A670" s="36" t="str">
        <f>_xlfn.TEXTJOIN(" ",TRUE,Employees_Data[[#This Row],[First Name]],Employees_Data[[#This Row],[Last Name]])</f>
        <v>Hind Almueasaeas</v>
      </c>
      <c r="B670" s="53">
        <v>3389</v>
      </c>
      <c r="C670" s="54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671" spans="1:3" x14ac:dyDescent="0.35">
      <c r="A671" s="40" t="str">
        <f>_xlfn.TEXTJOIN(" ",TRUE,Employees_Data[[#This Row],[First Name]],Employees_Data[[#This Row],[Last Name]])</f>
        <v>Dania Earmush</v>
      </c>
      <c r="B671" s="55">
        <v>2760</v>
      </c>
      <c r="C671" s="56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672" spans="1:3" x14ac:dyDescent="0.35">
      <c r="A672" s="36" t="str">
        <f>_xlfn.TEXTJOIN(" ",TRUE,Employees_Data[[#This Row],[First Name]],Employees_Data[[#This Row],[Last Name]])</f>
        <v>Ayly Bahriin</v>
      </c>
      <c r="B672" s="53">
        <v>1232</v>
      </c>
      <c r="C672" s="54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673" spans="1:3" x14ac:dyDescent="0.35">
      <c r="A673" s="40" t="str">
        <f>_xlfn.TEXTJOIN(" ",TRUE,Employees_Data[[#This Row],[First Name]],Employees_Data[[#This Row],[Last Name]])</f>
        <v>Jihan Nadir</v>
      </c>
      <c r="B673" s="55">
        <v>1045</v>
      </c>
      <c r="C673" s="56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674" spans="1:3" x14ac:dyDescent="0.35">
      <c r="A674" s="36" t="str">
        <f>_xlfn.TEXTJOIN(" ",TRUE,Employees_Data[[#This Row],[First Name]],Employees_Data[[#This Row],[Last Name]])</f>
        <v>Muhamad Sharif Aldaghly</v>
      </c>
      <c r="B674" s="53">
        <v>3257</v>
      </c>
      <c r="C674" s="54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675" spans="1:3" x14ac:dyDescent="0.35">
      <c r="A675" s="40" t="str">
        <f>_xlfn.TEXTJOIN(" ",TRUE,Employees_Data[[#This Row],[First Name]],Employees_Data[[#This Row],[Last Name]])</f>
        <v>Emara bwalsibae</v>
      </c>
      <c r="B675" s="55">
        <v>3026</v>
      </c>
      <c r="C675" s="56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676" spans="1:3" x14ac:dyDescent="0.35">
      <c r="A676" s="36" t="str">
        <f>_xlfn.TEXTJOIN(" ",TRUE,Employees_Data[[#This Row],[First Name]],Employees_Data[[#This Row],[Last Name]])</f>
        <v>Razzan Alhusayni</v>
      </c>
      <c r="B676" s="53">
        <v>1898</v>
      </c>
      <c r="C676" s="54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677" spans="1:3" x14ac:dyDescent="0.35">
      <c r="A677" s="40" t="str">
        <f>_xlfn.TEXTJOIN(" ",TRUE,Employees_Data[[#This Row],[First Name]],Employees_Data[[#This Row],[Last Name]])</f>
        <v>Ghassan Aljamal</v>
      </c>
      <c r="B677" s="55">
        <v>2778</v>
      </c>
      <c r="C677" s="56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678" spans="1:3" x14ac:dyDescent="0.35">
      <c r="A678" s="36" t="str">
        <f>_xlfn.TEXTJOIN(" ",TRUE,Employees_Data[[#This Row],[First Name]],Employees_Data[[#This Row],[Last Name]])</f>
        <v>Omar Kahulus</v>
      </c>
      <c r="B678" s="53">
        <v>2880</v>
      </c>
      <c r="C678" s="54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679" spans="1:3" x14ac:dyDescent="0.35">
      <c r="A679" s="40" t="str">
        <f>_xlfn.TEXTJOIN(" ",TRUE,Employees_Data[[#This Row],[First Name]],Employees_Data[[#This Row],[Last Name]])</f>
        <v>Amjad Nasir</v>
      </c>
      <c r="B679" s="55">
        <v>2815</v>
      </c>
      <c r="C679" s="56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680" spans="1:3" x14ac:dyDescent="0.35">
      <c r="A680" s="36" t="str">
        <f>_xlfn.TEXTJOIN(" ",TRUE,Employees_Data[[#This Row],[First Name]],Employees_Data[[#This Row],[Last Name]])</f>
        <v>Iman Ghrz Aldiyn</v>
      </c>
      <c r="B680" s="53">
        <v>1134</v>
      </c>
      <c r="C680" s="54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681" spans="1:3" x14ac:dyDescent="0.35">
      <c r="A681" s="40" t="str">
        <f>_xlfn.TEXTJOIN(" ",TRUE,Employees_Data[[#This Row],[First Name]],Employees_Data[[#This Row],[Last Name]])</f>
        <v>Alysia Alyaghshiu</v>
      </c>
      <c r="B681" s="55">
        <v>3334</v>
      </c>
      <c r="C681" s="56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682" spans="1:3" x14ac:dyDescent="0.35">
      <c r="A682" s="36" t="str">
        <f>_xlfn.TEXTJOIN(" ",TRUE,Employees_Data[[#This Row],[First Name]],Employees_Data[[#This Row],[Last Name]])</f>
        <v>Ayham Alqadi</v>
      </c>
      <c r="B682" s="53">
        <v>2574</v>
      </c>
      <c r="C682" s="54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683" spans="1:3" x14ac:dyDescent="0.35">
      <c r="A683" s="40" t="str">
        <f>_xlfn.TEXTJOIN(" ",TRUE,Employees_Data[[#This Row],[First Name]],Employees_Data[[#This Row],[Last Name]])</f>
        <v>Diea Shuelan</v>
      </c>
      <c r="B683" s="55">
        <v>1123</v>
      </c>
      <c r="C683" s="56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684" spans="1:3" x14ac:dyDescent="0.35">
      <c r="A684" s="36" t="str">
        <f>_xlfn.TEXTJOIN(" ",TRUE,Employees_Data[[#This Row],[First Name]],Employees_Data[[#This Row],[Last Name]])</f>
        <v>Husam Alsaed</v>
      </c>
      <c r="B684" s="53">
        <v>2147</v>
      </c>
      <c r="C684" s="54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685" spans="1:3" x14ac:dyDescent="0.35">
      <c r="A685" s="40" t="str">
        <f>_xlfn.TEXTJOIN(" ",TRUE,Employees_Data[[#This Row],[First Name]],Employees_Data[[#This Row],[Last Name]])</f>
        <v>Asd Bwfaeur</v>
      </c>
      <c r="B685" s="55">
        <v>2929</v>
      </c>
      <c r="C685" s="56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686" spans="1:3" x14ac:dyDescent="0.35">
      <c r="A686" s="36" t="str">
        <f>_xlfn.TEXTJOIN(" ",TRUE,Employees_Data[[#This Row],[First Name]],Employees_Data[[#This Row],[Last Name]])</f>
        <v>Sari Hanna</v>
      </c>
      <c r="B686" s="53">
        <v>1452</v>
      </c>
      <c r="C686" s="54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687" spans="1:3" x14ac:dyDescent="0.35">
      <c r="A687" s="40" t="str">
        <f>_xlfn.TEXTJOIN(" ",TRUE,Employees_Data[[#This Row],[First Name]],Employees_Data[[#This Row],[Last Name]])</f>
        <v>Eubayda Kayd</v>
      </c>
      <c r="B687" s="55">
        <v>3237</v>
      </c>
      <c r="C687" s="56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688" spans="1:3" x14ac:dyDescent="0.35">
      <c r="A688" s="36" t="str">
        <f>_xlfn.TEXTJOIN(" ",TRUE,Employees_Data[[#This Row],[First Name]],Employees_Data[[#This Row],[Last Name]])</f>
        <v>Khalil Alkalu</v>
      </c>
      <c r="B688" s="53">
        <v>2819</v>
      </c>
      <c r="C688" s="54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689" spans="1:3" x14ac:dyDescent="0.35">
      <c r="A689" s="40" t="str">
        <f>_xlfn.TEXTJOIN(" ",TRUE,Employees_Data[[#This Row],[First Name]],Employees_Data[[#This Row],[Last Name]])</f>
        <v>Muhamad Shrbjy</v>
      </c>
      <c r="B689" s="55">
        <v>2069</v>
      </c>
      <c r="C689" s="56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  <row r="690" spans="1:3" x14ac:dyDescent="0.35">
      <c r="A690" s="44" t="str">
        <f>_xlfn.TEXTJOIN(" ",TRUE,Employees_Data[[#This Row],[First Name]],Employees_Data[[#This Row],[Last Name]])</f>
        <v>Abd Albasit AlAhmar</v>
      </c>
      <c r="B690" s="57">
        <v>2606</v>
      </c>
      <c r="C690" s="58" t="str">
        <f>IFERROR(IF(Salary_Category[[#This Row],[Monthly Salary]]&gt;7000,"High",IF(AND(Salary_Category[[#This Row],[Monthly Salary]]&gt;=4000,Salary_Category[[#This Row],[Monthly Salary]]&lt;=7000),"Medium","Low")),"Not Found")</f>
        <v>Low</v>
      </c>
    </row>
  </sheetData>
  <conditionalFormatting sqref="A2:A690">
    <cfRule type="containsBlanks" dxfId="26" priority="4">
      <formula>LEN(TRIM(A2))=0</formula>
    </cfRule>
  </conditionalFormatting>
  <conditionalFormatting sqref="B2:B690">
    <cfRule type="containsBlanks" dxfId="25" priority="3">
      <formula>LEN(TRIM(B2))=0</formula>
    </cfRule>
  </conditionalFormatting>
  <conditionalFormatting sqref="C1:C690">
    <cfRule type="containsText" dxfId="24" priority="1" operator="containsText" text="Low">
      <formula>NOT(ISERROR(SEARCH("Low",C1)))</formula>
    </cfRule>
  </conditionalFormatting>
  <conditionalFormatting sqref="C2:C690">
    <cfRule type="containsBlanks" dxfId="23" priority="2">
      <formula>LEN(TRIM(C2))=0</formula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1E804-F0AA-4FA7-AA4D-AB85EFD184B0}">
  <dimension ref="A1:C690"/>
  <sheetViews>
    <sheetView workbookViewId="0">
      <selection activeCell="C3" sqref="C3"/>
    </sheetView>
  </sheetViews>
  <sheetFormatPr defaultRowHeight="15.5" x14ac:dyDescent="0.35"/>
  <cols>
    <col min="1" max="1" width="22.33203125" bestFit="1" customWidth="1"/>
    <col min="3" max="3" width="18.6640625" bestFit="1" customWidth="1"/>
  </cols>
  <sheetData>
    <row r="1" spans="1:3" x14ac:dyDescent="0.35">
      <c r="A1" s="32" t="s">
        <v>24</v>
      </c>
      <c r="B1" s="33" t="s">
        <v>10</v>
      </c>
      <c r="C1" s="35" t="s">
        <v>914</v>
      </c>
    </row>
    <row r="2" spans="1:3" x14ac:dyDescent="0.35">
      <c r="A2" s="36" t="str">
        <f>_xlfn.TEXTJOIN(" ",TRUE,Employees_Data[[#This Row],[First Name]],Employees_Data[[#This Row],[Last Name]])</f>
        <v>Ghadir Hmshw</v>
      </c>
      <c r="B2" s="37">
        <f ca="1">DATEDIF(Employees!$F2,TODAY(),"Y")</f>
        <v>8</v>
      </c>
      <c r="C2" s="48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3" spans="1:3" x14ac:dyDescent="0.35">
      <c r="A3" s="40" t="str">
        <f>_xlfn.TEXTJOIN(" ",TRUE,Employees_Data[[#This Row],[First Name]],Employees_Data[[#This Row],[Last Name]])</f>
        <v>Omar Hishan</v>
      </c>
      <c r="B3" s="41">
        <f ca="1">DATEDIF(Employees!$F3,TODAY(),"Y")</f>
        <v>6</v>
      </c>
      <c r="C3" s="49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4" spans="1:3" x14ac:dyDescent="0.35">
      <c r="A4" s="36" t="str">
        <f>_xlfn.TEXTJOIN(" ",TRUE,Employees_Data[[#This Row],[First Name]],Employees_Data[[#This Row],[Last Name]])</f>
        <v>Ailya Sharaf</v>
      </c>
      <c r="B4" s="37">
        <f ca="1">DATEDIF(Employees!$F4,TODAY(),"Y")</f>
        <v>9</v>
      </c>
      <c r="C4" s="48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5" spans="1:3" x14ac:dyDescent="0.35">
      <c r="A5" s="40" t="str">
        <f>_xlfn.TEXTJOIN(" ",TRUE,Employees_Data[[#This Row],[First Name]],Employees_Data[[#This Row],[Last Name]])</f>
        <v>Lwiy Qbany</v>
      </c>
      <c r="B5" s="41">
        <f ca="1">DATEDIF(Employees!$F5,TODAY(),"Y")</f>
        <v>8</v>
      </c>
      <c r="C5" s="49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6" spans="1:3" x14ac:dyDescent="0.35">
      <c r="A6" s="36" t="str">
        <f>_xlfn.TEXTJOIN(" ",TRUE,Employees_Data[[#This Row],[First Name]],Employees_Data[[#This Row],[Last Name]])</f>
        <v>Ahmad Bikri</v>
      </c>
      <c r="B6" s="37">
        <f ca="1">DATEDIF(Employees!$F6,TODAY(),"Y")</f>
        <v>6</v>
      </c>
      <c r="C6" s="48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7" spans="1:3" x14ac:dyDescent="0.35">
      <c r="A7" s="40" t="str">
        <f>_xlfn.TEXTJOIN(" ",TRUE,Employees_Data[[#This Row],[First Name]],Employees_Data[[#This Row],[Last Name]])</f>
        <v>Muhamad Zueitr</v>
      </c>
      <c r="B7" s="41">
        <f ca="1">DATEDIF(Employees!$F7,TODAY(),"Y")</f>
        <v>10</v>
      </c>
      <c r="C7" s="49" t="str">
        <f ca="1">IFERROR(IF(Experience_Level[[#This Row],[Years]]&gt;=10,"Senior",IF(AND(Experience_Level[[#This Row],[Years]]&gt;=5,Experience_Level[[#This Row],[Years]]&lt;=9),"Mid-Level","Junior")),"Not Found")</f>
        <v>Senior</v>
      </c>
    </row>
    <row r="8" spans="1:3" x14ac:dyDescent="0.35">
      <c r="A8" s="36" t="str">
        <f>_xlfn.TEXTJOIN(" ",TRUE,Employees_Data[[#This Row],[First Name]],Employees_Data[[#This Row],[Last Name]])</f>
        <v>Iin Alhalaliu</v>
      </c>
      <c r="B8" s="37">
        <f ca="1">DATEDIF(Employees!$F8,TODAY(),"Y")</f>
        <v>6</v>
      </c>
      <c r="C8" s="48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9" spans="1:3" x14ac:dyDescent="0.35">
      <c r="A9" s="40" t="str">
        <f>_xlfn.TEXTJOIN(" ",TRUE,Employees_Data[[#This Row],[First Name]],Employees_Data[[#This Row],[Last Name]])</f>
        <v>Muhamad Alaya</v>
      </c>
      <c r="B9" s="41">
        <f ca="1">DATEDIF(Employees!$F9,TODAY(),"Y")</f>
        <v>8</v>
      </c>
      <c r="C9" s="49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10" spans="1:3" x14ac:dyDescent="0.35">
      <c r="A10" s="36" t="str">
        <f>_xlfn.TEXTJOIN(" ",TRUE,Employees_Data[[#This Row],[First Name]],Employees_Data[[#This Row],[Last Name]])</f>
        <v>Susin Almilat</v>
      </c>
      <c r="B10" s="37">
        <f ca="1">DATEDIF(Employees!$F10,TODAY(),"Y")</f>
        <v>8</v>
      </c>
      <c r="C10" s="48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11" spans="1:3" x14ac:dyDescent="0.35">
      <c r="A11" s="40" t="str">
        <f>_xlfn.TEXTJOIN(" ",TRUE,Employees_Data[[#This Row],[First Name]],Employees_Data[[#This Row],[Last Name]])</f>
        <v>Muhamad Alrifaei</v>
      </c>
      <c r="B11" s="41">
        <f ca="1">DATEDIF(Employees!$F11,TODAY(),"Y")</f>
        <v>6</v>
      </c>
      <c r="C11" s="49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12" spans="1:3" x14ac:dyDescent="0.35">
      <c r="A12" s="36" t="str">
        <f>_xlfn.TEXTJOIN(" ",TRUE,Employees_Data[[#This Row],[First Name]],Employees_Data[[#This Row],[Last Name]])</f>
        <v>Muhamad Alqadah</v>
      </c>
      <c r="B12" s="37">
        <f ca="1">DATEDIF(Employees!$F12,TODAY(),"Y")</f>
        <v>8</v>
      </c>
      <c r="C12" s="48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13" spans="1:3" x14ac:dyDescent="0.35">
      <c r="A13" s="40" t="str">
        <f>_xlfn.TEXTJOIN(" ",TRUE,Employees_Data[[#This Row],[First Name]],Employees_Data[[#This Row],[Last Name]])</f>
        <v>Muhamad Iad</v>
      </c>
      <c r="B13" s="41">
        <f ca="1">DATEDIF(Employees!$F13,TODAY(),"Y")</f>
        <v>8</v>
      </c>
      <c r="C13" s="49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14" spans="1:3" x14ac:dyDescent="0.35">
      <c r="A14" s="36" t="str">
        <f>_xlfn.TEXTJOIN(" ",TRUE,Employees_Data[[#This Row],[First Name]],Employees_Data[[#This Row],[Last Name]])</f>
        <v>Razaan Nasif</v>
      </c>
      <c r="B14" s="37">
        <f ca="1">DATEDIF(Employees!$F14,TODAY(),"Y")</f>
        <v>7</v>
      </c>
      <c r="C14" s="48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15" spans="1:3" x14ac:dyDescent="0.35">
      <c r="A15" s="40" t="str">
        <f>_xlfn.TEXTJOIN(" ",TRUE,Employees_Data[[#This Row],[First Name]],Employees_Data[[#This Row],[Last Name]])</f>
        <v>Iilian Dbs</v>
      </c>
      <c r="B15" s="41">
        <f ca="1">DATEDIF(Employees!$F15,TODAY(),"Y")</f>
        <v>10</v>
      </c>
      <c r="C15" s="49" t="str">
        <f ca="1">IFERROR(IF(Experience_Level[[#This Row],[Years]]&gt;=10,"Senior",IF(AND(Experience_Level[[#This Row],[Years]]&gt;=5,Experience_Level[[#This Row],[Years]]&lt;=9),"Mid-Level","Junior")),"Not Found")</f>
        <v>Senior</v>
      </c>
    </row>
    <row r="16" spans="1:3" x14ac:dyDescent="0.35">
      <c r="A16" s="36" t="str">
        <f>_xlfn.TEXTJOIN(" ",TRUE,Employees_Data[[#This Row],[First Name]],Employees_Data[[#This Row],[Last Name]])</f>
        <v>Bayan Qdw</v>
      </c>
      <c r="B16" s="37">
        <f ca="1">DATEDIF(Employees!$F16,TODAY(),"Y")</f>
        <v>7</v>
      </c>
      <c r="C16" s="48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17" spans="1:3" x14ac:dyDescent="0.35">
      <c r="A17" s="40" t="str">
        <f>_xlfn.TEXTJOIN(" ",TRUE,Employees_Data[[#This Row],[First Name]],Employees_Data[[#This Row],[Last Name]])</f>
        <v>Alaa Muhamad</v>
      </c>
      <c r="B17" s="41">
        <f ca="1">DATEDIF(Employees!$F17,TODAY(),"Y")</f>
        <v>7</v>
      </c>
      <c r="C17" s="49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18" spans="1:3" x14ac:dyDescent="0.35">
      <c r="A18" s="36" t="str">
        <f>_xlfn.TEXTJOIN(" ",TRUE,Employees_Data[[#This Row],[First Name]],Employees_Data[[#This Row],[Last Name]])</f>
        <v>Sandra Aljurmqaniu</v>
      </c>
      <c r="B18" s="37">
        <f ca="1">DATEDIF(Employees!$F18,TODAY(),"Y")</f>
        <v>10</v>
      </c>
      <c r="C18" s="48" t="str">
        <f ca="1">IFERROR(IF(Experience_Level[[#This Row],[Years]]&gt;=10,"Senior",IF(AND(Experience_Level[[#This Row],[Years]]&gt;=5,Experience_Level[[#This Row],[Years]]&lt;=9),"Mid-Level","Junior")),"Not Found")</f>
        <v>Senior</v>
      </c>
    </row>
    <row r="19" spans="1:3" x14ac:dyDescent="0.35">
      <c r="A19" s="40" t="str">
        <f>_xlfn.TEXTJOIN(" ",TRUE,Employees_Data[[#This Row],[First Name]],Employees_Data[[#This Row],[Last Name]])</f>
        <v>Farahad Husayn</v>
      </c>
      <c r="B19" s="41">
        <f ca="1">DATEDIF(Employees!$F19,TODAY(),"Y")</f>
        <v>8</v>
      </c>
      <c r="C19" s="49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20" spans="1:3" x14ac:dyDescent="0.35">
      <c r="A20" s="36" t="str">
        <f>_xlfn.TEXTJOIN(" ",TRUE,Employees_Data[[#This Row],[First Name]],Employees_Data[[#This Row],[Last Name]])</f>
        <v>Ahed Salim</v>
      </c>
      <c r="B20" s="37">
        <f ca="1">DATEDIF(Employees!$F20,TODAY(),"Y")</f>
        <v>8</v>
      </c>
      <c r="C20" s="48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21" spans="1:3" x14ac:dyDescent="0.35">
      <c r="A21" s="40" t="str">
        <f>_xlfn.TEXTJOIN(" ",TRUE,Employees_Data[[#This Row],[First Name]],Employees_Data[[#This Row],[Last Name]])</f>
        <v>Ayham Tutwnji</v>
      </c>
      <c r="B21" s="41">
        <f ca="1">DATEDIF(Employees!$F21,TODAY(),"Y")</f>
        <v>7</v>
      </c>
      <c r="C21" s="49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22" spans="1:3" x14ac:dyDescent="0.35">
      <c r="A22" s="36" t="str">
        <f>_xlfn.TEXTJOIN(" ",TRUE,Employees_Data[[#This Row],[First Name]],Employees_Data[[#This Row],[Last Name]])</f>
        <v>Samir Alsafdi</v>
      </c>
      <c r="B22" s="37">
        <f ca="1">DATEDIF(Employees!$F22,TODAY(),"Y")</f>
        <v>5</v>
      </c>
      <c r="C22" s="48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23" spans="1:3" x14ac:dyDescent="0.35">
      <c r="A23" s="40" t="str">
        <f>_xlfn.TEXTJOIN(" ",TRUE,Employees_Data[[#This Row],[First Name]],Employees_Data[[#This Row],[Last Name]])</f>
        <v>Bilal Jalal</v>
      </c>
      <c r="B23" s="41">
        <f ca="1">DATEDIF(Employees!$F23,TODAY(),"Y")</f>
        <v>7</v>
      </c>
      <c r="C23" s="49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24" spans="1:3" x14ac:dyDescent="0.35">
      <c r="A24" s="36" t="str">
        <f>_xlfn.TEXTJOIN(" ",TRUE,Employees_Data[[#This Row],[First Name]],Employees_Data[[#This Row],[Last Name]])</f>
        <v>Riad Sahalul</v>
      </c>
      <c r="B24" s="37">
        <f ca="1">DATEDIF(Employees!$F24,TODAY(),"Y")</f>
        <v>6</v>
      </c>
      <c r="C24" s="48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25" spans="1:3" x14ac:dyDescent="0.35">
      <c r="A25" s="40" t="str">
        <f>_xlfn.TEXTJOIN(" ",TRUE,Employees_Data[[#This Row],[First Name]],Employees_Data[[#This Row],[Last Name]])</f>
        <v>Ahmad Ahmad</v>
      </c>
      <c r="B25" s="41">
        <f ca="1">DATEDIF(Employees!$F25,TODAY(),"Y")</f>
        <v>7</v>
      </c>
      <c r="C25" s="49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26" spans="1:3" x14ac:dyDescent="0.35">
      <c r="A26" s="36" t="str">
        <f>_xlfn.TEXTJOIN(" ",TRUE,Employees_Data[[#This Row],[First Name]],Employees_Data[[#This Row],[Last Name]])</f>
        <v>Muhamad Altarah</v>
      </c>
      <c r="B26" s="37">
        <f ca="1">DATEDIF(Employees!$F26,TODAY(),"Y")</f>
        <v>5</v>
      </c>
      <c r="C26" s="48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27" spans="1:3" x14ac:dyDescent="0.35">
      <c r="A27" s="40" t="str">
        <f>_xlfn.TEXTJOIN(" ",TRUE,Employees_Data[[#This Row],[First Name]],Employees_Data[[#This Row],[Last Name]])</f>
        <v>Lwna Abu</v>
      </c>
      <c r="B27" s="41">
        <f ca="1">DATEDIF(Employees!$F27,TODAY(),"Y")</f>
        <v>6</v>
      </c>
      <c r="C27" s="49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28" spans="1:3" x14ac:dyDescent="0.35">
      <c r="A28" s="36" t="str">
        <f>_xlfn.TEXTJOIN(" ",TRUE,Employees_Data[[#This Row],[First Name]],Employees_Data[[#This Row],[Last Name]])</f>
        <v>Jalal Almuluhi</v>
      </c>
      <c r="B28" s="37">
        <f ca="1">DATEDIF(Employees!$F28,TODAY(),"Y")</f>
        <v>7</v>
      </c>
      <c r="C28" s="48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29" spans="1:3" x14ac:dyDescent="0.35">
      <c r="A29" s="40" t="str">
        <f>_xlfn.TEXTJOIN(" ",TRUE,Employees_Data[[#This Row],[First Name]],Employees_Data[[#This Row],[Last Name]])</f>
        <v>Rana Mius</v>
      </c>
      <c r="B29" s="41">
        <f ca="1">DATEDIF(Employees!$F29,TODAY(),"Y")</f>
        <v>7</v>
      </c>
      <c r="C29" s="49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30" spans="1:3" x14ac:dyDescent="0.35">
      <c r="A30" s="36" t="str">
        <f>_xlfn.TEXTJOIN(" ",TRUE,Employees_Data[[#This Row],[First Name]],Employees_Data[[#This Row],[Last Name]])</f>
        <v>Lina Aljabaan</v>
      </c>
      <c r="B30" s="37">
        <f ca="1">DATEDIF(Employees!$F30,TODAY(),"Y")</f>
        <v>6</v>
      </c>
      <c r="C30" s="48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31" spans="1:3" x14ac:dyDescent="0.35">
      <c r="A31" s="40" t="str">
        <f>_xlfn.TEXTJOIN(" ",TRUE,Employees_Data[[#This Row],[First Name]],Employees_Data[[#This Row],[Last Name]])</f>
        <v>Rami Shanan</v>
      </c>
      <c r="B31" s="41">
        <f ca="1">DATEDIF(Employees!$F31,TODAY(),"Y")</f>
        <v>7</v>
      </c>
      <c r="C31" s="49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32" spans="1:3" x14ac:dyDescent="0.35">
      <c r="A32" s="36" t="str">
        <f>_xlfn.TEXTJOIN(" ",TRUE,Employees_Data[[#This Row],[First Name]],Employees_Data[[#This Row],[Last Name]])</f>
        <v>Eala Alhaj</v>
      </c>
      <c r="B32" s="37">
        <f ca="1">DATEDIF(Employees!$F32,TODAY(),"Y")</f>
        <v>6</v>
      </c>
      <c r="C32" s="48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33" spans="1:3" x14ac:dyDescent="0.35">
      <c r="A33" s="40" t="str">
        <f>_xlfn.TEXTJOIN(" ",TRUE,Employees_Data[[#This Row],[First Name]],Employees_Data[[#This Row],[Last Name]])</f>
        <v>Ghalib Zakianiin</v>
      </c>
      <c r="B33" s="41">
        <f ca="1">DATEDIF(Employees!$F33,TODAY(),"Y")</f>
        <v>7</v>
      </c>
      <c r="C33" s="49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34" spans="1:3" x14ac:dyDescent="0.35">
      <c r="A34" s="36" t="str">
        <f>_xlfn.TEXTJOIN(" ",TRUE,Employees_Data[[#This Row],[First Name]],Employees_Data[[#This Row],[Last Name]])</f>
        <v>Muhamad Eurul</v>
      </c>
      <c r="B34" s="37">
        <f ca="1">DATEDIF(Employees!$F34,TODAY(),"Y")</f>
        <v>9</v>
      </c>
      <c r="C34" s="48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35" spans="1:3" x14ac:dyDescent="0.35">
      <c r="A35" s="40" t="str">
        <f>_xlfn.TEXTJOIN(" ",TRUE,Employees_Data[[#This Row],[First Name]],Employees_Data[[#This Row],[Last Name]])</f>
        <v>Eizat Ghanim</v>
      </c>
      <c r="B35" s="41">
        <f ca="1">DATEDIF(Employees!$F35,TODAY(),"Y")</f>
        <v>9</v>
      </c>
      <c r="C35" s="49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36" spans="1:3" x14ac:dyDescent="0.35">
      <c r="A36" s="36" t="str">
        <f>_xlfn.TEXTJOIN(" ",TRUE,Employees_Data[[#This Row],[First Name]],Employees_Data[[#This Row],[Last Name]])</f>
        <v>Ahmad Swyd</v>
      </c>
      <c r="B36" s="37">
        <f ca="1">DATEDIF(Employees!$F36,TODAY(),"Y")</f>
        <v>9</v>
      </c>
      <c r="C36" s="48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37" spans="1:3" x14ac:dyDescent="0.35">
      <c r="A37" s="40" t="str">
        <f>_xlfn.TEXTJOIN(" ",TRUE,Employees_Data[[#This Row],[First Name]],Employees_Data[[#This Row],[Last Name]])</f>
        <v>Muhamad Aleass</v>
      </c>
      <c r="B37" s="41">
        <f ca="1">DATEDIF(Employees!$F37,TODAY(),"Y")</f>
        <v>7</v>
      </c>
      <c r="C37" s="49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38" spans="1:3" x14ac:dyDescent="0.35">
      <c r="A38" s="36" t="str">
        <f>_xlfn.TEXTJOIN(" ",TRUE,Employees_Data[[#This Row],[First Name]],Employees_Data[[#This Row],[Last Name]])</f>
        <v>Rima AlAsfar</v>
      </c>
      <c r="B38" s="37">
        <f ca="1">DATEDIF(Employees!$F38,TODAY(),"Y")</f>
        <v>10</v>
      </c>
      <c r="C38" s="48" t="str">
        <f ca="1">IFERROR(IF(Experience_Level[[#This Row],[Years]]&gt;=10,"Senior",IF(AND(Experience_Level[[#This Row],[Years]]&gt;=5,Experience_Level[[#This Row],[Years]]&lt;=9),"Mid-Level","Junior")),"Not Found")</f>
        <v>Senior</v>
      </c>
    </row>
    <row r="39" spans="1:3" x14ac:dyDescent="0.35">
      <c r="A39" s="40" t="str">
        <f>_xlfn.TEXTJOIN(" ",TRUE,Employees_Data[[#This Row],[First Name]],Employees_Data[[#This Row],[Last Name]])</f>
        <v>Zayn Aleabdyn Zaetar</v>
      </c>
      <c r="B39" s="41">
        <f ca="1">DATEDIF(Employees!$F39,TODAY(),"Y")</f>
        <v>5</v>
      </c>
      <c r="C39" s="49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40" spans="1:3" x14ac:dyDescent="0.35">
      <c r="A40" s="36" t="str">
        <f>_xlfn.TEXTJOIN(" ",TRUE,Employees_Data[[#This Row],[First Name]],Employees_Data[[#This Row],[Last Name]])</f>
        <v>Hazim Alshshatim</v>
      </c>
      <c r="B40" s="37">
        <f ca="1">DATEDIF(Employees!$F40,TODAY(),"Y")</f>
        <v>8</v>
      </c>
      <c r="C40" s="48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41" spans="1:3" x14ac:dyDescent="0.35">
      <c r="A41" s="40" t="str">
        <f>_xlfn.TEXTJOIN(" ",TRUE,Employees_Data[[#This Row],[First Name]],Employees_Data[[#This Row],[Last Name]])</f>
        <v>Dia Alshahf</v>
      </c>
      <c r="B41" s="41">
        <f ca="1">DATEDIF(Employees!$F41,TODAY(),"Y")</f>
        <v>7</v>
      </c>
      <c r="C41" s="49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42" spans="1:3" x14ac:dyDescent="0.35">
      <c r="A42" s="36" t="str">
        <f>_xlfn.TEXTJOIN(" ",TRUE,Employees_Data[[#This Row],[First Name]],Employees_Data[[#This Row],[Last Name]])</f>
        <v>Ayham Almusaa</v>
      </c>
      <c r="B42" s="37">
        <f ca="1">DATEDIF(Employees!$F42,TODAY(),"Y")</f>
        <v>7</v>
      </c>
      <c r="C42" s="48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43" spans="1:3" x14ac:dyDescent="0.35">
      <c r="A43" s="40" t="str">
        <f>_xlfn.TEXTJOIN(" ",TRUE,Employees_Data[[#This Row],[First Name]],Employees_Data[[#This Row],[Last Name]])</f>
        <v>Abd Allatif Mabrukh</v>
      </c>
      <c r="B43" s="41">
        <f ca="1">DATEDIF(Employees!$F43,TODAY(),"Y")</f>
        <v>5</v>
      </c>
      <c r="C43" s="49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44" spans="1:3" x14ac:dyDescent="0.35">
      <c r="A44" s="36" t="str">
        <f>_xlfn.TEXTJOIN(" ",TRUE,Employees_Data[[#This Row],[First Name]],Employees_Data[[#This Row],[Last Name]])</f>
        <v>Salim Abumaeun</v>
      </c>
      <c r="B44" s="37">
        <f ca="1">DATEDIF(Employees!$F44,TODAY(),"Y")</f>
        <v>9</v>
      </c>
      <c r="C44" s="48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45" spans="1:3" x14ac:dyDescent="0.35">
      <c r="A45" s="40" t="str">
        <f>_xlfn.TEXTJOIN(" ",TRUE,Employees_Data[[#This Row],[First Name]],Employees_Data[[#This Row],[Last Name]])</f>
        <v>Rafat Hamza</v>
      </c>
      <c r="B45" s="41">
        <f ca="1">DATEDIF(Employees!$F45,TODAY(),"Y")</f>
        <v>6</v>
      </c>
      <c r="C45" s="49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46" spans="1:3" x14ac:dyDescent="0.35">
      <c r="A46" s="36" t="str">
        <f>_xlfn.TEXTJOIN(" ",TRUE,Employees_Data[[#This Row],[First Name]],Employees_Data[[#This Row],[Last Name]])</f>
        <v>Ahmad Laylana</v>
      </c>
      <c r="B46" s="37">
        <f ca="1">DATEDIF(Employees!$F46,TODAY(),"Y")</f>
        <v>9</v>
      </c>
      <c r="C46" s="48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47" spans="1:3" x14ac:dyDescent="0.35">
      <c r="A47" s="40" t="str">
        <f>_xlfn.TEXTJOIN(" ",TRUE,Employees_Data[[#This Row],[First Name]],Employees_Data[[#This Row],[Last Name]])</f>
        <v>Lobnaa Khalifih</v>
      </c>
      <c r="B47" s="41">
        <f ca="1">DATEDIF(Employees!$F47,TODAY(),"Y")</f>
        <v>6</v>
      </c>
      <c r="C47" s="49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48" spans="1:3" x14ac:dyDescent="0.35">
      <c r="A48" s="36" t="str">
        <f>_xlfn.TEXTJOIN(" ",TRUE,Employees_Data[[#This Row],[First Name]],Employees_Data[[#This Row],[Last Name]])</f>
        <v>Sami Alkhujih</v>
      </c>
      <c r="B48" s="37">
        <f ca="1">DATEDIF(Employees!$F48,TODAY(),"Y")</f>
        <v>7</v>
      </c>
      <c r="C48" s="48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49" spans="1:3" x14ac:dyDescent="0.35">
      <c r="A49" s="40" t="str">
        <f>_xlfn.TEXTJOIN(" ",TRUE,Employees_Data[[#This Row],[First Name]],Employees_Data[[#This Row],[Last Name]])</f>
        <v>Salam Alealbi</v>
      </c>
      <c r="B49" s="41">
        <f ca="1">DATEDIF(Employees!$F49,TODAY(),"Y")</f>
        <v>10</v>
      </c>
      <c r="C49" s="49" t="str">
        <f ca="1">IFERROR(IF(Experience_Level[[#This Row],[Years]]&gt;=10,"Senior",IF(AND(Experience_Level[[#This Row],[Years]]&gt;=5,Experience_Level[[#This Row],[Years]]&lt;=9),"Mid-Level","Junior")),"Not Found")</f>
        <v>Senior</v>
      </c>
    </row>
    <row r="50" spans="1:3" x14ac:dyDescent="0.35">
      <c r="A50" s="36" t="str">
        <f>_xlfn.TEXTJOIN(" ",TRUE,Employees_Data[[#This Row],[First Name]],Employees_Data[[#This Row],[Last Name]])</f>
        <v>Rim Almusaa</v>
      </c>
      <c r="B50" s="37">
        <f ca="1">DATEDIF(Employees!$F50,TODAY(),"Y")</f>
        <v>6</v>
      </c>
      <c r="C50" s="48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51" spans="1:3" x14ac:dyDescent="0.35">
      <c r="A51" s="40" t="str">
        <f>_xlfn.TEXTJOIN(" ",TRUE,Employees_Data[[#This Row],[First Name]],Employees_Data[[#This Row],[Last Name]])</f>
        <v>Ghada Aleasimii</v>
      </c>
      <c r="B51" s="41">
        <f ca="1">DATEDIF(Employees!$F51,TODAY(),"Y")</f>
        <v>7</v>
      </c>
      <c r="C51" s="49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52" spans="1:3" x14ac:dyDescent="0.35">
      <c r="A52" s="36" t="str">
        <f>_xlfn.TEXTJOIN(" ",TRUE,Employees_Data[[#This Row],[First Name]],Employees_Data[[#This Row],[Last Name]])</f>
        <v>Abd Alwahhab Muhamad</v>
      </c>
      <c r="B52" s="37">
        <f ca="1">DATEDIF(Employees!$F52,TODAY(),"Y")</f>
        <v>7</v>
      </c>
      <c r="C52" s="48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53" spans="1:3" x14ac:dyDescent="0.35">
      <c r="A53" s="40" t="str">
        <f>_xlfn.TEXTJOIN(" ",TRUE,Employees_Data[[#This Row],[First Name]],Employees_Data[[#This Row],[Last Name]])</f>
        <v>Ayman Eubayd</v>
      </c>
      <c r="B53" s="41">
        <f ca="1">DATEDIF(Employees!$F53,TODAY(),"Y")</f>
        <v>7</v>
      </c>
      <c r="C53" s="49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54" spans="1:3" x14ac:dyDescent="0.35">
      <c r="A54" s="36" t="str">
        <f>_xlfn.TEXTJOIN(" ",TRUE,Employees_Data[[#This Row],[First Name]],Employees_Data[[#This Row],[Last Name]])</f>
        <v>Faras Karim</v>
      </c>
      <c r="B54" s="37">
        <f ca="1">DATEDIF(Employees!$F54,TODAY(),"Y")</f>
        <v>6</v>
      </c>
      <c r="C54" s="48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55" spans="1:3" x14ac:dyDescent="0.35">
      <c r="A55" s="40" t="str">
        <f>_xlfn.TEXTJOIN(" ",TRUE,Employees_Data[[#This Row],[First Name]],Employees_Data[[#This Row],[Last Name]])</f>
        <v>Shadi Salayk</v>
      </c>
      <c r="B55" s="41">
        <f ca="1">DATEDIF(Employees!$F55,TODAY(),"Y")</f>
        <v>7</v>
      </c>
      <c r="C55" s="49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56" spans="1:3" x14ac:dyDescent="0.35">
      <c r="A56" s="36" t="str">
        <f>_xlfn.TEXTJOIN(" ",TRUE,Employees_Data[[#This Row],[First Name]],Employees_Data[[#This Row],[Last Name]])</f>
        <v>Eubay Alttahir</v>
      </c>
      <c r="B56" s="37">
        <f ca="1">DATEDIF(Employees!$F56,TODAY(),"Y")</f>
        <v>10</v>
      </c>
      <c r="C56" s="48" t="str">
        <f ca="1">IFERROR(IF(Experience_Level[[#This Row],[Years]]&gt;=10,"Senior",IF(AND(Experience_Level[[#This Row],[Years]]&gt;=5,Experience_Level[[#This Row],[Years]]&lt;=9),"Mid-Level","Junior")),"Not Found")</f>
        <v>Senior</v>
      </c>
    </row>
    <row r="57" spans="1:3" x14ac:dyDescent="0.35">
      <c r="A57" s="40" t="str">
        <f>_xlfn.TEXTJOIN(" ",TRUE,Employees_Data[[#This Row],[First Name]],Employees_Data[[#This Row],[Last Name]])</f>
        <v>Abd Alhadi Alzzahir</v>
      </c>
      <c r="B57" s="41">
        <f ca="1">DATEDIF(Employees!$F57,TODAY(),"Y")</f>
        <v>8</v>
      </c>
      <c r="C57" s="49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58" spans="1:3" x14ac:dyDescent="0.35">
      <c r="A58" s="36" t="str">
        <f>_xlfn.TEXTJOIN(" ",TRUE,Employees_Data[[#This Row],[First Name]],Employees_Data[[#This Row],[Last Name]])</f>
        <v>Majdulin Ashbrh</v>
      </c>
      <c r="B58" s="37">
        <f ca="1">DATEDIF(Employees!$F58,TODAY(),"Y")</f>
        <v>7</v>
      </c>
      <c r="C58" s="48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59" spans="1:3" x14ac:dyDescent="0.35">
      <c r="A59" s="40" t="str">
        <f>_xlfn.TEXTJOIN(" ",TRUE,Employees_Data[[#This Row],[First Name]],Employees_Data[[#This Row],[Last Name]])</f>
        <v>Aylyn Dahadal</v>
      </c>
      <c r="B59" s="41">
        <f ca="1">DATEDIF(Employees!$F59,TODAY(),"Y")</f>
        <v>6</v>
      </c>
      <c r="C59" s="49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60" spans="1:3" x14ac:dyDescent="0.35">
      <c r="A60" s="36" t="str">
        <f>_xlfn.TEXTJOIN(" ",TRUE,Employees_Data[[#This Row],[First Name]],Employees_Data[[#This Row],[Last Name]])</f>
        <v>Tala Tuish</v>
      </c>
      <c r="B60" s="37">
        <f ca="1">DATEDIF(Employees!$F60,TODAY(),"Y")</f>
        <v>7</v>
      </c>
      <c r="C60" s="48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61" spans="1:3" x14ac:dyDescent="0.35">
      <c r="A61" s="40" t="str">
        <f>_xlfn.TEXTJOIN(" ",TRUE,Employees_Data[[#This Row],[First Name]],Employees_Data[[#This Row],[Last Name]])</f>
        <v>Muhamad Qarh</v>
      </c>
      <c r="B61" s="41">
        <f ca="1">DATEDIF(Employees!$F61,TODAY(),"Y")</f>
        <v>7</v>
      </c>
      <c r="C61" s="49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62" spans="1:3" x14ac:dyDescent="0.35">
      <c r="A62" s="36" t="str">
        <f>_xlfn.TEXTJOIN(" ",TRUE,Employees_Data[[#This Row],[First Name]],Employees_Data[[#This Row],[Last Name]])</f>
        <v>Eala Almisri</v>
      </c>
      <c r="B62" s="37">
        <f ca="1">DATEDIF(Employees!$F62,TODAY(),"Y")</f>
        <v>7</v>
      </c>
      <c r="C62" s="48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63" spans="1:3" x14ac:dyDescent="0.35">
      <c r="A63" s="40" t="str">
        <f>_xlfn.TEXTJOIN(" ",TRUE,Employees_Data[[#This Row],[First Name]],Employees_Data[[#This Row],[Last Name]])</f>
        <v>Muhamad Alzaybq</v>
      </c>
      <c r="B63" s="41">
        <f ca="1">DATEDIF(Employees!$F63,TODAY(),"Y")</f>
        <v>7</v>
      </c>
      <c r="C63" s="49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64" spans="1:3" x14ac:dyDescent="0.35">
      <c r="A64" s="36" t="str">
        <f>_xlfn.TEXTJOIN(" ",TRUE,Employees_Data[[#This Row],[First Name]],Employees_Data[[#This Row],[Last Name]])</f>
        <v>Muhamad Asamy</v>
      </c>
      <c r="B64" s="37">
        <f ca="1">DATEDIF(Employees!$F64,TODAY(),"Y")</f>
        <v>9</v>
      </c>
      <c r="C64" s="48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65" spans="1:3" x14ac:dyDescent="0.35">
      <c r="A65" s="40" t="str">
        <f>_xlfn.TEXTJOIN(" ",TRUE,Employees_Data[[#This Row],[First Name]],Employees_Data[[#This Row],[Last Name]])</f>
        <v>Ahmad Alealbi</v>
      </c>
      <c r="B65" s="41">
        <f ca="1">DATEDIF(Employees!$F65,TODAY(),"Y")</f>
        <v>10</v>
      </c>
      <c r="C65" s="49" t="str">
        <f ca="1">IFERROR(IF(Experience_Level[[#This Row],[Years]]&gt;=10,"Senior",IF(AND(Experience_Level[[#This Row],[Years]]&gt;=5,Experience_Level[[#This Row],[Years]]&lt;=9),"Mid-Level","Junior")),"Not Found")</f>
        <v>Senior</v>
      </c>
    </row>
    <row r="66" spans="1:3" x14ac:dyDescent="0.35">
      <c r="A66" s="36" t="str">
        <f>_xlfn.TEXTJOIN(" ",TRUE,Employees_Data[[#This Row],[First Name]],Employees_Data[[#This Row],[Last Name]])</f>
        <v>Ibrahim Almasri</v>
      </c>
      <c r="B66" s="37">
        <f ca="1">DATEDIF(Employees!$F66,TODAY(),"Y")</f>
        <v>8</v>
      </c>
      <c r="C66" s="48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67" spans="1:3" x14ac:dyDescent="0.35">
      <c r="A67" s="40" t="str">
        <f>_xlfn.TEXTJOIN(" ",TRUE,Employees_Data[[#This Row],[First Name]],Employees_Data[[#This Row],[Last Name]])</f>
        <v>Hamdah Alkhalifa</v>
      </c>
      <c r="B67" s="41">
        <f ca="1">DATEDIF(Employees!$F67,TODAY(),"Y")</f>
        <v>7</v>
      </c>
      <c r="C67" s="49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68" spans="1:3" x14ac:dyDescent="0.35">
      <c r="A68" s="36" t="str">
        <f>_xlfn.TEXTJOIN(" ",TRUE,Employees_Data[[#This Row],[First Name]],Employees_Data[[#This Row],[Last Name]])</f>
        <v>Muhamad Jawish</v>
      </c>
      <c r="B68" s="37">
        <f ca="1">DATEDIF(Employees!$F68,TODAY(),"Y")</f>
        <v>6</v>
      </c>
      <c r="C68" s="48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69" spans="1:3" x14ac:dyDescent="0.35">
      <c r="A69" s="40" t="str">
        <f>_xlfn.TEXTJOIN(" ",TRUE,Employees_Data[[#This Row],[First Name]],Employees_Data[[#This Row],[Last Name]])</f>
        <v>Muwmin Almudhin</v>
      </c>
      <c r="B69" s="41">
        <f ca="1">DATEDIF(Employees!$F69,TODAY(),"Y")</f>
        <v>6</v>
      </c>
      <c r="C69" s="49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70" spans="1:3" x14ac:dyDescent="0.35">
      <c r="A70" s="36" t="str">
        <f>_xlfn.TEXTJOIN(" ",TRUE,Employees_Data[[#This Row],[First Name]],Employees_Data[[#This Row],[Last Name]])</f>
        <v>Ahmad Zayd</v>
      </c>
      <c r="B70" s="37">
        <f ca="1">DATEDIF(Employees!$F70,TODAY(),"Y")</f>
        <v>8</v>
      </c>
      <c r="C70" s="48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71" spans="1:3" x14ac:dyDescent="0.35">
      <c r="A71" s="40" t="str">
        <f>_xlfn.TEXTJOIN(" ",TRUE,Employees_Data[[#This Row],[First Name]],Employees_Data[[#This Row],[Last Name]])</f>
        <v>Layzaan Nabulsi</v>
      </c>
      <c r="B71" s="41">
        <f ca="1">DATEDIF(Employees!$F71,TODAY(),"Y")</f>
        <v>6</v>
      </c>
      <c r="C71" s="49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72" spans="1:3" x14ac:dyDescent="0.35">
      <c r="A72" s="36" t="str">
        <f>_xlfn.TEXTJOIN(" ",TRUE,Employees_Data[[#This Row],[First Name]],Employees_Data[[#This Row],[Last Name]])</f>
        <v>Sarih Eammar</v>
      </c>
      <c r="B72" s="37">
        <f ca="1">DATEDIF(Employees!$F72,TODAY(),"Y")</f>
        <v>8</v>
      </c>
      <c r="C72" s="48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73" spans="1:3" x14ac:dyDescent="0.35">
      <c r="A73" s="40" t="str">
        <f>_xlfn.TEXTJOIN(" ",TRUE,Employees_Data[[#This Row],[First Name]],Employees_Data[[#This Row],[Last Name]])</f>
        <v>Karam Hutayniun</v>
      </c>
      <c r="B73" s="41">
        <f ca="1">DATEDIF(Employees!$F73,TODAY(),"Y")</f>
        <v>9</v>
      </c>
      <c r="C73" s="49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74" spans="1:3" x14ac:dyDescent="0.35">
      <c r="A74" s="36" t="str">
        <f>_xlfn.TEXTJOIN(" ",TRUE,Employees_Data[[#This Row],[First Name]],Employees_Data[[#This Row],[Last Name]])</f>
        <v>Shahad Shanan</v>
      </c>
      <c r="B74" s="37">
        <f ca="1">DATEDIF(Employees!$F74,TODAY(),"Y")</f>
        <v>7</v>
      </c>
      <c r="C74" s="48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75" spans="1:3" x14ac:dyDescent="0.35">
      <c r="A75" s="40" t="str">
        <f>_xlfn.TEXTJOIN(" ",TRUE,Employees_Data[[#This Row],[First Name]],Employees_Data[[#This Row],[Last Name]])</f>
        <v>Salah Ramadan</v>
      </c>
      <c r="B75" s="41">
        <f ca="1">DATEDIF(Employees!$F75,TODAY(),"Y")</f>
        <v>8</v>
      </c>
      <c r="C75" s="49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76" spans="1:3" x14ac:dyDescent="0.35">
      <c r="A76" s="36" t="str">
        <f>_xlfn.TEXTJOIN(" ",TRUE,Employees_Data[[#This Row],[First Name]],Employees_Data[[#This Row],[Last Name]])</f>
        <v>Sami Alkhayrat</v>
      </c>
      <c r="B76" s="37">
        <f ca="1">DATEDIF(Employees!$F76,TODAY(),"Y")</f>
        <v>5</v>
      </c>
      <c r="C76" s="48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77" spans="1:3" x14ac:dyDescent="0.35">
      <c r="A77" s="40" t="str">
        <f>_xlfn.TEXTJOIN(" ",TRUE,Employees_Data[[#This Row],[First Name]],Employees_Data[[#This Row],[Last Name]])</f>
        <v>Khalid Snan</v>
      </c>
      <c r="B77" s="41">
        <f ca="1">DATEDIF(Employees!$F77,TODAY(),"Y")</f>
        <v>6</v>
      </c>
      <c r="C77" s="49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78" spans="1:3" x14ac:dyDescent="0.35">
      <c r="A78" s="36" t="str">
        <f>_xlfn.TEXTJOIN(" ",TRUE,Employees_Data[[#This Row],[First Name]],Employees_Data[[#This Row],[Last Name]])</f>
        <v>Salam Alkhatib</v>
      </c>
      <c r="B78" s="37">
        <f ca="1">DATEDIF(Employees!$F78,TODAY(),"Y")</f>
        <v>8</v>
      </c>
      <c r="C78" s="48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79" spans="1:3" x14ac:dyDescent="0.35">
      <c r="A79" s="40" t="str">
        <f>_xlfn.TEXTJOIN(" ",TRUE,Employees_Data[[#This Row],[First Name]],Employees_Data[[#This Row],[Last Name]])</f>
        <v>Darar Alshiyraziu</v>
      </c>
      <c r="B79" s="41">
        <f ca="1">DATEDIF(Employees!$F79,TODAY(),"Y")</f>
        <v>6</v>
      </c>
      <c r="C79" s="49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80" spans="1:3" x14ac:dyDescent="0.35">
      <c r="A80" s="36" t="str">
        <f>_xlfn.TEXTJOIN(" ",TRUE,Employees_Data[[#This Row],[First Name]],Employees_Data[[#This Row],[Last Name]])</f>
        <v>Mazin Yusif</v>
      </c>
      <c r="B80" s="37">
        <f ca="1">DATEDIF(Employees!$F80,TODAY(),"Y")</f>
        <v>7</v>
      </c>
      <c r="C80" s="48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81" spans="1:3" x14ac:dyDescent="0.35">
      <c r="A81" s="40" t="str">
        <f>_xlfn.TEXTJOIN(" ",TRUE,Employees_Data[[#This Row],[First Name]],Employees_Data[[#This Row],[Last Name]])</f>
        <v>Rasha Naeim</v>
      </c>
      <c r="B81" s="41">
        <f ca="1">DATEDIF(Employees!$F81,TODAY(),"Y")</f>
        <v>7</v>
      </c>
      <c r="C81" s="49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82" spans="1:3" x14ac:dyDescent="0.35">
      <c r="A82" s="36" t="str">
        <f>_xlfn.TEXTJOIN(" ",TRUE,Employees_Data[[#This Row],[First Name]],Employees_Data[[#This Row],[Last Name]])</f>
        <v>Eamra Alshueranii</v>
      </c>
      <c r="B82" s="37">
        <f ca="1">DATEDIF(Employees!$F82,TODAY(),"Y")</f>
        <v>10</v>
      </c>
      <c r="C82" s="48" t="str">
        <f ca="1">IFERROR(IF(Experience_Level[[#This Row],[Years]]&gt;=10,"Senior",IF(AND(Experience_Level[[#This Row],[Years]]&gt;=5,Experience_Level[[#This Row],[Years]]&lt;=9),"Mid-Level","Junior")),"Not Found")</f>
        <v>Senior</v>
      </c>
    </row>
    <row r="83" spans="1:3" x14ac:dyDescent="0.35">
      <c r="A83" s="40" t="str">
        <f>_xlfn.TEXTJOIN(" ",TRUE,Employees_Data[[#This Row],[First Name]],Employees_Data[[#This Row],[Last Name]])</f>
        <v>Amira Akrym</v>
      </c>
      <c r="B83" s="41">
        <f ca="1">DATEDIF(Employees!$F83,TODAY(),"Y")</f>
        <v>10</v>
      </c>
      <c r="C83" s="49" t="str">
        <f ca="1">IFERROR(IF(Experience_Level[[#This Row],[Years]]&gt;=10,"Senior",IF(AND(Experience_Level[[#This Row],[Years]]&gt;=5,Experience_Level[[#This Row],[Years]]&lt;=9),"Mid-Level","Junior")),"Not Found")</f>
        <v>Senior</v>
      </c>
    </row>
    <row r="84" spans="1:3" x14ac:dyDescent="0.35">
      <c r="A84" s="36" t="str">
        <f>_xlfn.TEXTJOIN(" ",TRUE,Employees_Data[[#This Row],[First Name]],Employees_Data[[#This Row],[Last Name]])</f>
        <v>Muhamad Hamzat</v>
      </c>
      <c r="B84" s="37">
        <f ca="1">DATEDIF(Employees!$F84,TODAY(),"Y")</f>
        <v>6</v>
      </c>
      <c r="C84" s="48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85" spans="1:3" x14ac:dyDescent="0.35">
      <c r="A85" s="40" t="str">
        <f>_xlfn.TEXTJOIN(" ",TRUE,Employees_Data[[#This Row],[First Name]],Employees_Data[[#This Row],[Last Name]])</f>
        <v>Muhamad Khayr</v>
      </c>
      <c r="B85" s="41">
        <f ca="1">DATEDIF(Employees!$F85,TODAY(),"Y")</f>
        <v>8</v>
      </c>
      <c r="C85" s="49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86" spans="1:3" x14ac:dyDescent="0.35">
      <c r="A86" s="36" t="str">
        <f>_xlfn.TEXTJOIN(" ",TRUE,Employees_Data[[#This Row],[First Name]],Employees_Data[[#This Row],[Last Name]])</f>
        <v>Abd Almalik Nazal</v>
      </c>
      <c r="B86" s="37">
        <f ca="1">DATEDIF(Employees!$F86,TODAY(),"Y")</f>
        <v>8</v>
      </c>
      <c r="C86" s="48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87" spans="1:3" x14ac:dyDescent="0.35">
      <c r="A87" s="40" t="str">
        <f>_xlfn.TEXTJOIN(" ",TRUE,Employees_Data[[#This Row],[First Name]],Employees_Data[[#This Row],[Last Name]])</f>
        <v>Rabya Kiwan</v>
      </c>
      <c r="B87" s="41">
        <f ca="1">DATEDIF(Employees!$F87,TODAY(),"Y")</f>
        <v>7</v>
      </c>
      <c r="C87" s="49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88" spans="1:3" x14ac:dyDescent="0.35">
      <c r="A88" s="36" t="str">
        <f>_xlfn.TEXTJOIN(" ",TRUE,Employees_Data[[#This Row],[First Name]],Employees_Data[[#This Row],[Last Name]])</f>
        <v>Muhamad Khayr</v>
      </c>
      <c r="B88" s="37">
        <f ca="1">DATEDIF(Employees!$F88,TODAY(),"Y")</f>
        <v>7</v>
      </c>
      <c r="C88" s="48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89" spans="1:3" x14ac:dyDescent="0.35">
      <c r="A89" s="40" t="str">
        <f>_xlfn.TEXTJOIN(" ",TRUE,Employees_Data[[#This Row],[First Name]],Employees_Data[[#This Row],[Last Name]])</f>
        <v>Samah Almaydanii</v>
      </c>
      <c r="B89" s="41">
        <f ca="1">DATEDIF(Employees!$F89,TODAY(),"Y")</f>
        <v>9</v>
      </c>
      <c r="C89" s="49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90" spans="1:3" x14ac:dyDescent="0.35">
      <c r="A90" s="36" t="str">
        <f>_xlfn.TEXTJOIN(" ",TRUE,Employees_Data[[#This Row],[First Name]],Employees_Data[[#This Row],[Last Name]])</f>
        <v>Ali Watar</v>
      </c>
      <c r="B90" s="37">
        <f ca="1">DATEDIF(Employees!$F90,TODAY(),"Y")</f>
        <v>6</v>
      </c>
      <c r="C90" s="48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91" spans="1:3" x14ac:dyDescent="0.35">
      <c r="A91" s="40" t="str">
        <f>_xlfn.TEXTJOIN(" ",TRUE,Employees_Data[[#This Row],[First Name]],Employees_Data[[#This Row],[Last Name]])</f>
        <v>Darin Ghunum</v>
      </c>
      <c r="B91" s="41">
        <f ca="1">DATEDIF(Employees!$F91,TODAY(),"Y")</f>
        <v>7</v>
      </c>
      <c r="C91" s="49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92" spans="1:3" x14ac:dyDescent="0.35">
      <c r="A92" s="36" t="str">
        <f>_xlfn.TEXTJOIN(" ",TRUE,Employees_Data[[#This Row],[First Name]],Employees_Data[[#This Row],[Last Name]])</f>
        <v>Faras Alhamal</v>
      </c>
      <c r="B92" s="37">
        <f ca="1">DATEDIF(Employees!$F92,TODAY(),"Y")</f>
        <v>6</v>
      </c>
      <c r="C92" s="48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93" spans="1:3" x14ac:dyDescent="0.35">
      <c r="A93" s="40" t="str">
        <f>_xlfn.TEXTJOIN(" ",TRUE,Employees_Data[[#This Row],[First Name]],Employees_Data[[#This Row],[Last Name]])</f>
        <v>Amal Asamy</v>
      </c>
      <c r="B93" s="41">
        <f ca="1">DATEDIF(Employees!$F93,TODAY(),"Y")</f>
        <v>8</v>
      </c>
      <c r="C93" s="49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94" spans="1:3" x14ac:dyDescent="0.35">
      <c r="A94" s="36" t="str">
        <f>_xlfn.TEXTJOIN(" ",TRUE,Employees_Data[[#This Row],[First Name]],Employees_Data[[#This Row],[Last Name]])</f>
        <v>Razan AlAhmad</v>
      </c>
      <c r="B94" s="37">
        <f ca="1">DATEDIF(Employees!$F94,TODAY(),"Y")</f>
        <v>7</v>
      </c>
      <c r="C94" s="48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95" spans="1:3" x14ac:dyDescent="0.35">
      <c r="A95" s="40" t="str">
        <f>_xlfn.TEXTJOIN(" ",TRUE,Employees_Data[[#This Row],[First Name]],Employees_Data[[#This Row],[Last Name]])</f>
        <v>Muhamad Kharasah</v>
      </c>
      <c r="B95" s="41">
        <f ca="1">DATEDIF(Employees!$F95,TODAY(),"Y")</f>
        <v>7</v>
      </c>
      <c r="C95" s="49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96" spans="1:3" x14ac:dyDescent="0.35">
      <c r="A96" s="36" t="str">
        <f>_xlfn.TEXTJOIN(" ",TRUE,Employees_Data[[#This Row],[First Name]],Employees_Data[[#This Row],[Last Name]])</f>
        <v>Tariq Bryghl</v>
      </c>
      <c r="B96" s="37">
        <f ca="1">DATEDIF(Employees!$F96,TODAY(),"Y")</f>
        <v>5</v>
      </c>
      <c r="C96" s="48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97" spans="1:3" x14ac:dyDescent="0.35">
      <c r="A97" s="40" t="str">
        <f>_xlfn.TEXTJOIN(" ",TRUE,Employees_Data[[#This Row],[First Name]],Employees_Data[[#This Row],[Last Name]])</f>
        <v>Muhamad Husayn</v>
      </c>
      <c r="B97" s="41">
        <f ca="1">DATEDIF(Employees!$F97,TODAY(),"Y")</f>
        <v>9</v>
      </c>
      <c r="C97" s="49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98" spans="1:3" x14ac:dyDescent="0.35">
      <c r="A98" s="36" t="str">
        <f>_xlfn.TEXTJOIN(" ",TRUE,Employees_Data[[#This Row],[First Name]],Employees_Data[[#This Row],[Last Name]])</f>
        <v>Fadi Aleid</v>
      </c>
      <c r="B98" s="37">
        <f ca="1">DATEDIF(Employees!$F98,TODAY(),"Y")</f>
        <v>8</v>
      </c>
      <c r="C98" s="48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99" spans="1:3" x14ac:dyDescent="0.35">
      <c r="A99" s="40" t="str">
        <f>_xlfn.TEXTJOIN(" ",TRUE,Employees_Data[[#This Row],[First Name]],Employees_Data[[#This Row],[Last Name]])</f>
        <v>Tariq Abuzahir</v>
      </c>
      <c r="B99" s="41">
        <f ca="1">DATEDIF(Employees!$F99,TODAY(),"Y")</f>
        <v>9</v>
      </c>
      <c r="C99" s="49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100" spans="1:3" x14ac:dyDescent="0.35">
      <c r="A100" s="36" t="str">
        <f>_xlfn.TEXTJOIN(" ",TRUE,Employees_Data[[#This Row],[First Name]],Employees_Data[[#This Row],[Last Name]])</f>
        <v>Mazin Eubayd</v>
      </c>
      <c r="B100" s="37">
        <f ca="1">DATEDIF(Employees!$F100,TODAY(),"Y")</f>
        <v>7</v>
      </c>
      <c r="C100" s="48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101" spans="1:3" x14ac:dyDescent="0.35">
      <c r="A101" s="40" t="str">
        <f>_xlfn.TEXTJOIN(" ",TRUE,Employees_Data[[#This Row],[First Name]],Employees_Data[[#This Row],[Last Name]])</f>
        <v>Lina Aljabr</v>
      </c>
      <c r="B101" s="41">
        <f ca="1">DATEDIF(Employees!$F101,TODAY(),"Y")</f>
        <v>8</v>
      </c>
      <c r="C101" s="49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102" spans="1:3" x14ac:dyDescent="0.35">
      <c r="A102" s="36" t="str">
        <f>_xlfn.TEXTJOIN(" ",TRUE,Employees_Data[[#This Row],[First Name]],Employees_Data[[#This Row],[Last Name]])</f>
        <v>Muhamad Ayman</v>
      </c>
      <c r="B102" s="37">
        <f ca="1">DATEDIF(Employees!$F102,TODAY(),"Y")</f>
        <v>6</v>
      </c>
      <c r="C102" s="48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103" spans="1:3" x14ac:dyDescent="0.35">
      <c r="A103" s="40" t="str">
        <f>_xlfn.TEXTJOIN(" ",TRUE,Employees_Data[[#This Row],[First Name]],Employees_Data[[#This Row],[Last Name]])</f>
        <v>Ayman Muhamad</v>
      </c>
      <c r="B103" s="41">
        <f ca="1">DATEDIF(Employees!$F103,TODAY(),"Y")</f>
        <v>7</v>
      </c>
      <c r="C103" s="49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104" spans="1:3" x14ac:dyDescent="0.35">
      <c r="A104" s="36" t="str">
        <f>_xlfn.TEXTJOIN(" ",TRUE,Employees_Data[[#This Row],[First Name]],Employees_Data[[#This Row],[Last Name]])</f>
        <v>Ahmad Abu Eadlh</v>
      </c>
      <c r="B104" s="37">
        <f ca="1">DATEDIF(Employees!$F104,TODAY(),"Y")</f>
        <v>6</v>
      </c>
      <c r="C104" s="48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105" spans="1:3" x14ac:dyDescent="0.35">
      <c r="A105" s="40" t="str">
        <f>_xlfn.TEXTJOIN(" ",TRUE,Employees_Data[[#This Row],[First Name]],Employees_Data[[#This Row],[Last Name]])</f>
        <v>Rami Abu Adhan</v>
      </c>
      <c r="B105" s="41">
        <f ca="1">DATEDIF(Employees!$F105,TODAY(),"Y")</f>
        <v>6</v>
      </c>
      <c r="C105" s="49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106" spans="1:3" x14ac:dyDescent="0.35">
      <c r="A106" s="36" t="str">
        <f>_xlfn.TEXTJOIN(" ",TRUE,Employees_Data[[#This Row],[First Name]],Employees_Data[[#This Row],[Last Name]])</f>
        <v>Muhamad Hamzat</v>
      </c>
      <c r="B106" s="37">
        <f ca="1">DATEDIF(Employees!$F106,TODAY(),"Y")</f>
        <v>8</v>
      </c>
      <c r="C106" s="48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107" spans="1:3" x14ac:dyDescent="0.35">
      <c r="A107" s="40" t="str">
        <f>_xlfn.TEXTJOIN(" ",TRUE,Employees_Data[[#This Row],[First Name]],Employees_Data[[#This Row],[Last Name]])</f>
        <v>Ehab Alkhibaz</v>
      </c>
      <c r="B107" s="41">
        <f ca="1">DATEDIF(Employees!$F107,TODAY(),"Y")</f>
        <v>6</v>
      </c>
      <c r="C107" s="49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108" spans="1:3" x14ac:dyDescent="0.35">
      <c r="A108" s="36" t="str">
        <f>_xlfn.TEXTJOIN(" ",TRUE,Employees_Data[[#This Row],[First Name]],Employees_Data[[#This Row],[Last Name]])</f>
        <v>Ibrahim Nabulsi</v>
      </c>
      <c r="B108" s="37">
        <f ca="1">DATEDIF(Employees!$F108,TODAY(),"Y")</f>
        <v>10</v>
      </c>
      <c r="C108" s="48" t="str">
        <f ca="1">IFERROR(IF(Experience_Level[[#This Row],[Years]]&gt;=10,"Senior",IF(AND(Experience_Level[[#This Row],[Years]]&gt;=5,Experience_Level[[#This Row],[Years]]&lt;=9),"Mid-Level","Junior")),"Not Found")</f>
        <v>Senior</v>
      </c>
    </row>
    <row r="109" spans="1:3" x14ac:dyDescent="0.35">
      <c r="A109" s="40" t="str">
        <f>_xlfn.TEXTJOIN(" ",TRUE,Employees_Data[[#This Row],[First Name]],Employees_Data[[#This Row],[Last Name]])</f>
        <v>Ranya Salah Aldiyn</v>
      </c>
      <c r="B109" s="41">
        <f ca="1">DATEDIF(Employees!$F109,TODAY(),"Y")</f>
        <v>7</v>
      </c>
      <c r="C109" s="49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110" spans="1:3" x14ac:dyDescent="0.35">
      <c r="A110" s="36" t="str">
        <f>_xlfn.TEXTJOIN(" ",TRUE,Employees_Data[[#This Row],[First Name]],Employees_Data[[#This Row],[Last Name]])</f>
        <v>Juri Zaytun</v>
      </c>
      <c r="B110" s="37">
        <f ca="1">DATEDIF(Employees!$F110,TODAY(),"Y")</f>
        <v>6</v>
      </c>
      <c r="C110" s="48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111" spans="1:3" x14ac:dyDescent="0.35">
      <c r="A111" s="40" t="str">
        <f>_xlfn.TEXTJOIN(" ",TRUE,Employees_Data[[#This Row],[First Name]],Employees_Data[[#This Row],[Last Name]])</f>
        <v>Sahar Almuhamad</v>
      </c>
      <c r="B111" s="41">
        <f ca="1">DATEDIF(Employees!$F111,TODAY(),"Y")</f>
        <v>8</v>
      </c>
      <c r="C111" s="49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112" spans="1:3" x14ac:dyDescent="0.35">
      <c r="A112" s="36" t="str">
        <f>_xlfn.TEXTJOIN(" ",TRUE,Employees_Data[[#This Row],[First Name]],Employees_Data[[#This Row],[Last Name]])</f>
        <v>Mari Ayly</v>
      </c>
      <c r="B112" s="37">
        <f ca="1">DATEDIF(Employees!$F112,TODAY(),"Y")</f>
        <v>10</v>
      </c>
      <c r="C112" s="48" t="str">
        <f ca="1">IFERROR(IF(Experience_Level[[#This Row],[Years]]&gt;=10,"Senior",IF(AND(Experience_Level[[#This Row],[Years]]&gt;=5,Experience_Level[[#This Row],[Years]]&lt;=9),"Mid-Level","Junior")),"Not Found")</f>
        <v>Senior</v>
      </c>
    </row>
    <row r="113" spans="1:3" x14ac:dyDescent="0.35">
      <c r="A113" s="40" t="str">
        <f>_xlfn.TEXTJOIN(" ",TRUE,Employees_Data[[#This Row],[First Name]],Employees_Data[[#This Row],[Last Name]])</f>
        <v>Ali Alhuri</v>
      </c>
      <c r="B113" s="41">
        <f ca="1">DATEDIF(Employees!$F113,TODAY(),"Y")</f>
        <v>7</v>
      </c>
      <c r="C113" s="49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114" spans="1:3" x14ac:dyDescent="0.35">
      <c r="A114" s="36" t="str">
        <f>_xlfn.TEXTJOIN(" ",TRUE,Employees_Data[[#This Row],[First Name]],Employees_Data[[#This Row],[Last Name]])</f>
        <v>Dania Almala</v>
      </c>
      <c r="B114" s="37">
        <f ca="1">DATEDIF(Employees!$F114,TODAY(),"Y")</f>
        <v>10</v>
      </c>
      <c r="C114" s="48" t="str">
        <f ca="1">IFERROR(IF(Experience_Level[[#This Row],[Years]]&gt;=10,"Senior",IF(AND(Experience_Level[[#This Row],[Years]]&gt;=5,Experience_Level[[#This Row],[Years]]&lt;=9),"Mid-Level","Junior")),"Not Found")</f>
        <v>Senior</v>
      </c>
    </row>
    <row r="115" spans="1:3" x14ac:dyDescent="0.35">
      <c r="A115" s="40" t="str">
        <f>_xlfn.TEXTJOIN(" ",TRUE,Employees_Data[[#This Row],[First Name]],Employees_Data[[#This Row],[Last Name]])</f>
        <v>Rym Alsydawi</v>
      </c>
      <c r="B115" s="41">
        <f ca="1">DATEDIF(Employees!$F115,TODAY(),"Y")</f>
        <v>9</v>
      </c>
      <c r="C115" s="49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116" spans="1:3" x14ac:dyDescent="0.35">
      <c r="A116" s="36" t="str">
        <f>_xlfn.TEXTJOIN(" ",TRUE,Employees_Data[[#This Row],[First Name]],Employees_Data[[#This Row],[Last Name]])</f>
        <v>Mahir Alshear</v>
      </c>
      <c r="B116" s="37">
        <f ca="1">DATEDIF(Employees!$F116,TODAY(),"Y")</f>
        <v>7</v>
      </c>
      <c r="C116" s="48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117" spans="1:3" x14ac:dyDescent="0.35">
      <c r="A117" s="40" t="str">
        <f>_xlfn.TEXTJOIN(" ",TRUE,Employees_Data[[#This Row],[First Name]],Employees_Data[[#This Row],[Last Name]])</f>
        <v>Ibrahim Alhamid</v>
      </c>
      <c r="B117" s="41">
        <f ca="1">DATEDIF(Employees!$F117,TODAY(),"Y")</f>
        <v>7</v>
      </c>
      <c r="C117" s="49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118" spans="1:3" x14ac:dyDescent="0.35">
      <c r="A118" s="36" t="str">
        <f>_xlfn.TEXTJOIN(" ",TRUE,Employees_Data[[#This Row],[First Name]],Employees_Data[[#This Row],[Last Name]])</f>
        <v>Muhamad Alkhayr</v>
      </c>
      <c r="B118" s="37">
        <f ca="1">DATEDIF(Employees!$F118,TODAY(),"Y")</f>
        <v>7</v>
      </c>
      <c r="C118" s="48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119" spans="1:3" x14ac:dyDescent="0.35">
      <c r="A119" s="40" t="str">
        <f>_xlfn.TEXTJOIN(" ",TRUE,Employees_Data[[#This Row],[First Name]],Employees_Data[[#This Row],[Last Name]])</f>
        <v>Muhamad Bashshar</v>
      </c>
      <c r="B119" s="41">
        <f ca="1">DATEDIF(Employees!$F119,TODAY(),"Y")</f>
        <v>8</v>
      </c>
      <c r="C119" s="49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120" spans="1:3" x14ac:dyDescent="0.35">
      <c r="A120" s="36" t="str">
        <f>_xlfn.TEXTJOIN(" ",TRUE,Employees_Data[[#This Row],[First Name]],Employees_Data[[#This Row],[Last Name]])</f>
        <v>Muhamad Jhad</v>
      </c>
      <c r="B120" s="37">
        <f ca="1">DATEDIF(Employees!$F120,TODAY(),"Y")</f>
        <v>7</v>
      </c>
      <c r="C120" s="48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121" spans="1:3" x14ac:dyDescent="0.35">
      <c r="A121" s="40" t="str">
        <f>_xlfn.TEXTJOIN(" ",TRUE,Employees_Data[[#This Row],[First Name]],Employees_Data[[#This Row],[Last Name]])</f>
        <v>Limays Ghrz</v>
      </c>
      <c r="B121" s="41">
        <f ca="1">DATEDIF(Employees!$F121,TODAY(),"Y")</f>
        <v>9</v>
      </c>
      <c r="C121" s="49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122" spans="1:3" x14ac:dyDescent="0.35">
      <c r="A122" s="36" t="str">
        <f>_xlfn.TEXTJOIN(" ",TRUE,Employees_Data[[#This Row],[First Name]],Employees_Data[[#This Row],[Last Name]])</f>
        <v>Zaydun Jabir</v>
      </c>
      <c r="B122" s="37">
        <f ca="1">DATEDIF(Employees!$F122,TODAY(),"Y")</f>
        <v>7</v>
      </c>
      <c r="C122" s="48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123" spans="1:3" x14ac:dyDescent="0.35">
      <c r="A123" s="40" t="str">
        <f>_xlfn.TEXTJOIN(" ",TRUE,Employees_Data[[#This Row],[First Name]],Employees_Data[[#This Row],[Last Name]])</f>
        <v>Fatima Zaetar</v>
      </c>
      <c r="B123" s="41">
        <f ca="1">DATEDIF(Employees!$F123,TODAY(),"Y")</f>
        <v>7</v>
      </c>
      <c r="C123" s="49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124" spans="1:3" x14ac:dyDescent="0.35">
      <c r="A124" s="36" t="str">
        <f>_xlfn.TEXTJOIN(" ",TRUE,Employees_Data[[#This Row],[First Name]],Employees_Data[[#This Row],[Last Name]])</f>
        <v>Tariq Shakir</v>
      </c>
      <c r="B124" s="37">
        <f ca="1">DATEDIF(Employees!$F124,TODAY(),"Y")</f>
        <v>5</v>
      </c>
      <c r="C124" s="48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125" spans="1:3" x14ac:dyDescent="0.35">
      <c r="A125" s="40" t="str">
        <f>_xlfn.TEXTJOIN(" ",TRUE,Employees_Data[[#This Row],[First Name]],Employees_Data[[#This Row],[Last Name]])</f>
        <v>Ruyda Alhamadii</v>
      </c>
      <c r="B125" s="41">
        <f ca="1">DATEDIF(Employees!$F125,TODAY(),"Y")</f>
        <v>8</v>
      </c>
      <c r="C125" s="49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126" spans="1:3" x14ac:dyDescent="0.35">
      <c r="A126" s="36" t="str">
        <f>_xlfn.TEXTJOIN(" ",TRUE,Employees_Data[[#This Row],[First Name]],Employees_Data[[#This Row],[Last Name]])</f>
        <v>Anwar Almaseud</v>
      </c>
      <c r="B126" s="37">
        <f ca="1">DATEDIF(Employees!$F126,TODAY(),"Y")</f>
        <v>9</v>
      </c>
      <c r="C126" s="48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127" spans="1:3" x14ac:dyDescent="0.35">
      <c r="A127" s="40" t="str">
        <f>_xlfn.TEXTJOIN(" ",TRUE,Employees_Data[[#This Row],[First Name]],Employees_Data[[#This Row],[Last Name]])</f>
        <v>Fayaruz Sabih</v>
      </c>
      <c r="B127" s="41">
        <f ca="1">DATEDIF(Employees!$F127,TODAY(),"Y")</f>
        <v>7</v>
      </c>
      <c r="C127" s="49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128" spans="1:3" x14ac:dyDescent="0.35">
      <c r="A128" s="36" t="str">
        <f>_xlfn.TEXTJOIN(" ",TRUE,Employees_Data[[#This Row],[First Name]],Employees_Data[[#This Row],[Last Name]])</f>
        <v>Jwny Alrashid</v>
      </c>
      <c r="B128" s="37">
        <f ca="1">DATEDIF(Employees!$F128,TODAY(),"Y")</f>
        <v>9</v>
      </c>
      <c r="C128" s="48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129" spans="1:3" x14ac:dyDescent="0.35">
      <c r="A129" s="40" t="str">
        <f>_xlfn.TEXTJOIN(" ",TRUE,Employees_Data[[#This Row],[First Name]],Employees_Data[[#This Row],[Last Name]])</f>
        <v>Karam Kiali</v>
      </c>
      <c r="B129" s="41">
        <f ca="1">DATEDIF(Employees!$F129,TODAY(),"Y")</f>
        <v>8</v>
      </c>
      <c r="C129" s="49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130" spans="1:3" x14ac:dyDescent="0.35">
      <c r="A130" s="36" t="str">
        <f>_xlfn.TEXTJOIN(" ",TRUE,Employees_Data[[#This Row],[First Name]],Employees_Data[[#This Row],[Last Name]])</f>
        <v>Jamal Alhalib</v>
      </c>
      <c r="B130" s="37">
        <f ca="1">DATEDIF(Employees!$F130,TODAY(),"Y")</f>
        <v>6</v>
      </c>
      <c r="C130" s="48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131" spans="1:3" x14ac:dyDescent="0.35">
      <c r="A131" s="40" t="str">
        <f>_xlfn.TEXTJOIN(" ",TRUE,Employees_Data[[#This Row],[First Name]],Employees_Data[[#This Row],[Last Name]])</f>
        <v>Suzan Alsawis</v>
      </c>
      <c r="B131" s="41">
        <f ca="1">DATEDIF(Employees!$F131,TODAY(),"Y")</f>
        <v>7</v>
      </c>
      <c r="C131" s="49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132" spans="1:3" x14ac:dyDescent="0.35">
      <c r="A132" s="36" t="str">
        <f>_xlfn.TEXTJOIN(" ",TRUE,Employees_Data[[#This Row],[First Name]],Employees_Data[[#This Row],[Last Name]])</f>
        <v>Alaa Efan</v>
      </c>
      <c r="B132" s="37">
        <f ca="1">DATEDIF(Employees!$F132,TODAY(),"Y")</f>
        <v>7</v>
      </c>
      <c r="C132" s="48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133" spans="1:3" x14ac:dyDescent="0.35">
      <c r="A133" s="40" t="str">
        <f>_xlfn.TEXTJOIN(" ",TRUE,Employees_Data[[#This Row],[First Name]],Employees_Data[[#This Row],[Last Name]])</f>
        <v>Jihad Aldarawasha</v>
      </c>
      <c r="B133" s="41">
        <f ca="1">DATEDIF(Employees!$F133,TODAY(),"Y")</f>
        <v>9</v>
      </c>
      <c r="C133" s="49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134" spans="1:3" x14ac:dyDescent="0.35">
      <c r="A134" s="36" t="str">
        <f>_xlfn.TEXTJOIN(" ",TRUE,Employees_Data[[#This Row],[First Name]],Employees_Data[[#This Row],[Last Name]])</f>
        <v>Muhamad Khalid</v>
      </c>
      <c r="B134" s="37">
        <f ca="1">DATEDIF(Employees!$F134,TODAY(),"Y")</f>
        <v>8</v>
      </c>
      <c r="C134" s="48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135" spans="1:3" x14ac:dyDescent="0.35">
      <c r="A135" s="40" t="str">
        <f>_xlfn.TEXTJOIN(" ",TRUE,Employees_Data[[#This Row],[First Name]],Employees_Data[[#This Row],[Last Name]])</f>
        <v>Haithim Hujah</v>
      </c>
      <c r="B135" s="41">
        <f ca="1">DATEDIF(Employees!$F135,TODAY(),"Y")</f>
        <v>9</v>
      </c>
      <c r="C135" s="49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136" spans="1:3" x14ac:dyDescent="0.35">
      <c r="A136" s="36" t="str">
        <f>_xlfn.TEXTJOIN(" ",TRUE,Employees_Data[[#This Row],[First Name]],Employees_Data[[#This Row],[Last Name]])</f>
        <v>Duhana Alakhris</v>
      </c>
      <c r="B136" s="37">
        <f ca="1">DATEDIF(Employees!$F136,TODAY(),"Y")</f>
        <v>8</v>
      </c>
      <c r="C136" s="48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137" spans="1:3" x14ac:dyDescent="0.35">
      <c r="A137" s="40" t="str">
        <f>_xlfn.TEXTJOIN(" ",TRUE,Employees_Data[[#This Row],[First Name]],Employees_Data[[#This Row],[Last Name]])</f>
        <v>Eazalidin Almala</v>
      </c>
      <c r="B137" s="41">
        <f ca="1">DATEDIF(Employees!$F137,TODAY(),"Y")</f>
        <v>6</v>
      </c>
      <c r="C137" s="49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138" spans="1:3" x14ac:dyDescent="0.35">
      <c r="A138" s="36" t="str">
        <f>_xlfn.TEXTJOIN(" ",TRUE,Employees_Data[[#This Row],[First Name]],Employees_Data[[#This Row],[Last Name]])</f>
        <v>Habib Klizli</v>
      </c>
      <c r="B138" s="37">
        <f ca="1">DATEDIF(Employees!$F138,TODAY(),"Y")</f>
        <v>6</v>
      </c>
      <c r="C138" s="48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139" spans="1:3" x14ac:dyDescent="0.35">
      <c r="A139" s="40" t="str">
        <f>_xlfn.TEXTJOIN(" ",TRUE,Employees_Data[[#This Row],[First Name]],Employees_Data[[#This Row],[Last Name]])</f>
        <v>Rasha Bajubuj</v>
      </c>
      <c r="B139" s="41">
        <f ca="1">DATEDIF(Employees!$F139,TODAY(),"Y")</f>
        <v>6</v>
      </c>
      <c r="C139" s="49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140" spans="1:3" x14ac:dyDescent="0.35">
      <c r="A140" s="36" t="str">
        <f>_xlfn.TEXTJOIN(" ",TRUE,Employees_Data[[#This Row],[First Name]],Employees_Data[[#This Row],[Last Name]])</f>
        <v>Mahir Albaghdadi</v>
      </c>
      <c r="B140" s="37">
        <f ca="1">DATEDIF(Employees!$F140,TODAY(),"Y")</f>
        <v>8</v>
      </c>
      <c r="C140" s="48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141" spans="1:3" x14ac:dyDescent="0.35">
      <c r="A141" s="40" t="str">
        <f>_xlfn.TEXTJOIN(" ",TRUE,Employees_Data[[#This Row],[First Name]],Employees_Data[[#This Row],[Last Name]])</f>
        <v>Alaa Almunzilijiu</v>
      </c>
      <c r="B141" s="41">
        <f ca="1">DATEDIF(Employees!$F141,TODAY(),"Y")</f>
        <v>7</v>
      </c>
      <c r="C141" s="49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142" spans="1:3" x14ac:dyDescent="0.35">
      <c r="A142" s="36" t="str">
        <f>_xlfn.TEXTJOIN(" ",TRUE,Employees_Data[[#This Row],[First Name]],Employees_Data[[#This Row],[Last Name]])</f>
        <v>Labanaa Qaziyha</v>
      </c>
      <c r="B142" s="37">
        <f ca="1">DATEDIF(Employees!$F142,TODAY(),"Y")</f>
        <v>7</v>
      </c>
      <c r="C142" s="48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143" spans="1:3" x14ac:dyDescent="0.35">
      <c r="A143" s="40" t="str">
        <f>_xlfn.TEXTJOIN(" ",TRUE,Employees_Data[[#This Row],[First Name]],Employees_Data[[#This Row],[Last Name]])</f>
        <v>Fatnh Abu</v>
      </c>
      <c r="B143" s="41">
        <f ca="1">DATEDIF(Employees!$F143,TODAY(),"Y")</f>
        <v>5</v>
      </c>
      <c r="C143" s="49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144" spans="1:3" x14ac:dyDescent="0.35">
      <c r="A144" s="36" t="str">
        <f>_xlfn.TEXTJOIN(" ",TRUE,Employees_Data[[#This Row],[First Name]],Employees_Data[[#This Row],[Last Name]])</f>
        <v>Iilyas Dahadal</v>
      </c>
      <c r="B144" s="37">
        <f ca="1">DATEDIF(Employees!$F144,TODAY(),"Y")</f>
        <v>7</v>
      </c>
      <c r="C144" s="48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145" spans="1:3" x14ac:dyDescent="0.35">
      <c r="A145" s="40" t="str">
        <f>_xlfn.TEXTJOIN(" ",TRUE,Employees_Data[[#This Row],[First Name]],Employees_Data[[#This Row],[Last Name]])</f>
        <v>Rim Huaydi</v>
      </c>
      <c r="B145" s="41">
        <f ca="1">DATEDIF(Employees!$F145,TODAY(),"Y")</f>
        <v>7</v>
      </c>
      <c r="C145" s="49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146" spans="1:3" x14ac:dyDescent="0.35">
      <c r="A146" s="36" t="str">
        <f>_xlfn.TEXTJOIN(" ",TRUE,Employees_Data[[#This Row],[First Name]],Employees_Data[[#This Row],[Last Name]])</f>
        <v>Ahmad Muhamad</v>
      </c>
      <c r="B146" s="37">
        <f ca="1">DATEDIF(Employees!$F146,TODAY(),"Y")</f>
        <v>6</v>
      </c>
      <c r="C146" s="48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147" spans="1:3" x14ac:dyDescent="0.35">
      <c r="A147" s="40" t="str">
        <f>_xlfn.TEXTJOIN(" ",TRUE,Employees_Data[[#This Row],[First Name]],Employees_Data[[#This Row],[Last Name]])</f>
        <v>Abd Alruhmin Almahrus</v>
      </c>
      <c r="B147" s="41">
        <f ca="1">DATEDIF(Employees!$F147,TODAY(),"Y")</f>
        <v>7</v>
      </c>
      <c r="C147" s="49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148" spans="1:3" x14ac:dyDescent="0.35">
      <c r="A148" s="36" t="str">
        <f>_xlfn.TEXTJOIN(" ",TRUE,Employees_Data[[#This Row],[First Name]],Employees_Data[[#This Row],[Last Name]])</f>
        <v>Biaism Tyzry</v>
      </c>
      <c r="B148" s="37">
        <f ca="1">DATEDIF(Employees!$F148,TODAY(),"Y")</f>
        <v>6</v>
      </c>
      <c r="C148" s="48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149" spans="1:3" x14ac:dyDescent="0.35">
      <c r="A149" s="40" t="str">
        <f>_xlfn.TEXTJOIN(" ",TRUE,Employees_Data[[#This Row],[First Name]],Employees_Data[[#This Row],[Last Name]])</f>
        <v>Omar Milatu</v>
      </c>
      <c r="B149" s="41">
        <f ca="1">DATEDIF(Employees!$F149,TODAY(),"Y")</f>
        <v>8</v>
      </c>
      <c r="C149" s="49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150" spans="1:3" x14ac:dyDescent="0.35">
      <c r="A150" s="36" t="str">
        <f>_xlfn.TEXTJOIN(" ",TRUE,Employees_Data[[#This Row],[First Name]],Employees_Data[[#This Row],[Last Name]])</f>
        <v>Alyida Nieamah</v>
      </c>
      <c r="B150" s="37">
        <f ca="1">DATEDIF(Employees!$F150,TODAY(),"Y")</f>
        <v>9</v>
      </c>
      <c r="C150" s="48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151" spans="1:3" x14ac:dyDescent="0.35">
      <c r="A151" s="40" t="str">
        <f>_xlfn.TEXTJOIN(" ",TRUE,Employees_Data[[#This Row],[First Name]],Employees_Data[[#This Row],[Last Name]])</f>
        <v>Kamal Hajl</v>
      </c>
      <c r="B151" s="41">
        <f ca="1">DATEDIF(Employees!$F151,TODAY(),"Y")</f>
        <v>9</v>
      </c>
      <c r="C151" s="49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152" spans="1:3" x14ac:dyDescent="0.35">
      <c r="A152" s="36" t="str">
        <f>_xlfn.TEXTJOIN(" ",TRUE,Employees_Data[[#This Row],[First Name]],Employees_Data[[#This Row],[Last Name]])</f>
        <v>Amjad Naghnagh</v>
      </c>
      <c r="B152" s="37">
        <f ca="1">DATEDIF(Employees!$F152,TODAY(),"Y")</f>
        <v>6</v>
      </c>
      <c r="C152" s="48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153" spans="1:3" x14ac:dyDescent="0.35">
      <c r="A153" s="40" t="str">
        <f>_xlfn.TEXTJOIN(" ",TRUE,Employees_Data[[#This Row],[First Name]],Employees_Data[[#This Row],[Last Name]])</f>
        <v>Iin Qisi</v>
      </c>
      <c r="B153" s="41">
        <f ca="1">DATEDIF(Employees!$F153,TODAY(),"Y")</f>
        <v>6</v>
      </c>
      <c r="C153" s="49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154" spans="1:3" x14ac:dyDescent="0.35">
      <c r="A154" s="36" t="str">
        <f>_xlfn.TEXTJOIN(" ",TRUE,Employees_Data[[#This Row],[First Name]],Employees_Data[[#This Row],[Last Name]])</f>
        <v>Basmah Alhabis</v>
      </c>
      <c r="B154" s="37">
        <f ca="1">DATEDIF(Employees!$F154,TODAY(),"Y")</f>
        <v>9</v>
      </c>
      <c r="C154" s="48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155" spans="1:3" x14ac:dyDescent="0.35">
      <c r="A155" s="40" t="str">
        <f>_xlfn.TEXTJOIN(" ",TRUE,Employees_Data[[#This Row],[First Name]],Employees_Data[[#This Row],[Last Name]])</f>
        <v>Eala Dahbur</v>
      </c>
      <c r="B155" s="41">
        <f ca="1">DATEDIF(Employees!$F155,TODAY(),"Y")</f>
        <v>7</v>
      </c>
      <c r="C155" s="49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156" spans="1:3" x14ac:dyDescent="0.35">
      <c r="A156" s="36" t="str">
        <f>_xlfn.TEXTJOIN(" ",TRUE,Employees_Data[[#This Row],[First Name]],Employees_Data[[#This Row],[Last Name]])</f>
        <v>Rwbyna Iibrahim</v>
      </c>
      <c r="B156" s="37">
        <f ca="1">DATEDIF(Employees!$F156,TODAY(),"Y")</f>
        <v>7</v>
      </c>
      <c r="C156" s="48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157" spans="1:3" x14ac:dyDescent="0.35">
      <c r="A157" s="40" t="str">
        <f>_xlfn.TEXTJOIN(" ",TRUE,Employees_Data[[#This Row],[First Name]],Employees_Data[[#This Row],[Last Name]])</f>
        <v>Tariq Salim</v>
      </c>
      <c r="B157" s="41">
        <f ca="1">DATEDIF(Employees!$F157,TODAY(),"Y")</f>
        <v>8</v>
      </c>
      <c r="C157" s="49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158" spans="1:3" x14ac:dyDescent="0.35">
      <c r="A158" s="36" t="str">
        <f>_xlfn.TEXTJOIN(" ",TRUE,Employees_Data[[#This Row],[First Name]],Employees_Data[[#This Row],[Last Name]])</f>
        <v>Basimah Sybea</v>
      </c>
      <c r="B158" s="37">
        <f ca="1">DATEDIF(Employees!$F158,TODAY(),"Y")</f>
        <v>7</v>
      </c>
      <c r="C158" s="48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159" spans="1:3" x14ac:dyDescent="0.35">
      <c r="A159" s="40" t="str">
        <f>_xlfn.TEXTJOIN(" ",TRUE,Employees_Data[[#This Row],[First Name]],Employees_Data[[#This Row],[Last Name]])</f>
        <v>Zunar Eali</v>
      </c>
      <c r="B159" s="41">
        <f ca="1">DATEDIF(Employees!$F159,TODAY(),"Y")</f>
        <v>6</v>
      </c>
      <c r="C159" s="49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160" spans="1:3" x14ac:dyDescent="0.35">
      <c r="A160" s="36" t="str">
        <f>_xlfn.TEXTJOIN(" ",TRUE,Employees_Data[[#This Row],[First Name]],Employees_Data[[#This Row],[Last Name]])</f>
        <v>Rim Mia</v>
      </c>
      <c r="B160" s="37">
        <f ca="1">DATEDIF(Employees!$F160,TODAY(),"Y")</f>
        <v>7</v>
      </c>
      <c r="C160" s="48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161" spans="1:3" x14ac:dyDescent="0.35">
      <c r="A161" s="40" t="str">
        <f>_xlfn.TEXTJOIN(" ",TRUE,Employees_Data[[#This Row],[First Name]],Employees_Data[[#This Row],[Last Name]])</f>
        <v>Lana Alhabash</v>
      </c>
      <c r="B161" s="41">
        <f ca="1">DATEDIF(Employees!$F161,TODAY(),"Y")</f>
        <v>10</v>
      </c>
      <c r="C161" s="49" t="str">
        <f ca="1">IFERROR(IF(Experience_Level[[#This Row],[Years]]&gt;=10,"Senior",IF(AND(Experience_Level[[#This Row],[Years]]&gt;=5,Experience_Level[[#This Row],[Years]]&lt;=9),"Mid-Level","Junior")),"Not Found")</f>
        <v>Senior</v>
      </c>
    </row>
    <row r="162" spans="1:3" x14ac:dyDescent="0.35">
      <c r="A162" s="36" t="str">
        <f>_xlfn.TEXTJOIN(" ",TRUE,Employees_Data[[#This Row],[First Name]],Employees_Data[[#This Row],[Last Name]])</f>
        <v>Muhamad Alshghry</v>
      </c>
      <c r="B162" s="37">
        <f ca="1">DATEDIF(Employees!$F162,TODAY(),"Y")</f>
        <v>6</v>
      </c>
      <c r="C162" s="48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163" spans="1:3" x14ac:dyDescent="0.35">
      <c r="A163" s="40" t="str">
        <f>_xlfn.TEXTJOIN(" ",TRUE,Employees_Data[[#This Row],[First Name]],Employees_Data[[#This Row],[Last Name]])</f>
        <v>Ghazal Hisan</v>
      </c>
      <c r="B163" s="41">
        <f ca="1">DATEDIF(Employees!$F163,TODAY(),"Y")</f>
        <v>6</v>
      </c>
      <c r="C163" s="49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164" spans="1:3" x14ac:dyDescent="0.35">
      <c r="A164" s="36" t="str">
        <f>_xlfn.TEXTJOIN(" ",TRUE,Employees_Data[[#This Row],[First Name]],Employees_Data[[#This Row],[Last Name]])</f>
        <v>Khalil Alzaebii</v>
      </c>
      <c r="B164" s="37">
        <f ca="1">DATEDIF(Employees!$F164,TODAY(),"Y")</f>
        <v>9</v>
      </c>
      <c r="C164" s="48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165" spans="1:3" x14ac:dyDescent="0.35">
      <c r="A165" s="40" t="str">
        <f>_xlfn.TEXTJOIN(" ",TRUE,Employees_Data[[#This Row],[First Name]],Employees_Data[[#This Row],[Last Name]])</f>
        <v>Samir Shalish</v>
      </c>
      <c r="B165" s="41">
        <f ca="1">DATEDIF(Employees!$F165,TODAY(),"Y")</f>
        <v>8</v>
      </c>
      <c r="C165" s="49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166" spans="1:3" x14ac:dyDescent="0.35">
      <c r="A166" s="36" t="str">
        <f>_xlfn.TEXTJOIN(" ",TRUE,Employees_Data[[#This Row],[First Name]],Employees_Data[[#This Row],[Last Name]])</f>
        <v>Abdalmjid Ahmad</v>
      </c>
      <c r="B166" s="37">
        <f ca="1">DATEDIF(Employees!$F166,TODAY(),"Y")</f>
        <v>7</v>
      </c>
      <c r="C166" s="48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167" spans="1:3" x14ac:dyDescent="0.35">
      <c r="A167" s="40" t="str">
        <f>_xlfn.TEXTJOIN(" ",TRUE,Employees_Data[[#This Row],[First Name]],Employees_Data[[#This Row],[Last Name]])</f>
        <v>Emar Abil</v>
      </c>
      <c r="B167" s="41">
        <f ca="1">DATEDIF(Employees!$F167,TODAY(),"Y")</f>
        <v>7</v>
      </c>
      <c r="C167" s="49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168" spans="1:3" x14ac:dyDescent="0.35">
      <c r="A168" s="36" t="str">
        <f>_xlfn.TEXTJOIN(" ",TRUE,Employees_Data[[#This Row],[First Name]],Employees_Data[[#This Row],[Last Name]])</f>
        <v>Lamia Warur</v>
      </c>
      <c r="B168" s="37">
        <f ca="1">DATEDIF(Employees!$F168,TODAY(),"Y")</f>
        <v>9</v>
      </c>
      <c r="C168" s="48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169" spans="1:3" x14ac:dyDescent="0.35">
      <c r="A169" s="40" t="str">
        <f>_xlfn.TEXTJOIN(" ",TRUE,Employees_Data[[#This Row],[First Name]],Employees_Data[[#This Row],[Last Name]])</f>
        <v>Fyfian Abu</v>
      </c>
      <c r="B169" s="41">
        <f ca="1">DATEDIF(Employees!$F169,TODAY(),"Y")</f>
        <v>7</v>
      </c>
      <c r="C169" s="49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170" spans="1:3" x14ac:dyDescent="0.35">
      <c r="A170" s="36" t="str">
        <f>_xlfn.TEXTJOIN(" ",TRUE,Employees_Data[[#This Row],[First Name]],Employees_Data[[#This Row],[Last Name]])</f>
        <v>Majd Yasin</v>
      </c>
      <c r="B170" s="37">
        <f ca="1">DATEDIF(Employees!$F170,TODAY(),"Y")</f>
        <v>7</v>
      </c>
      <c r="C170" s="48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171" spans="1:3" x14ac:dyDescent="0.35">
      <c r="A171" s="40" t="str">
        <f>_xlfn.TEXTJOIN(" ",TRUE,Employees_Data[[#This Row],[First Name]],Employees_Data[[#This Row],[Last Name]])</f>
        <v>Alaa Almisri</v>
      </c>
      <c r="B171" s="41">
        <f ca="1">DATEDIF(Employees!$F171,TODAY(),"Y")</f>
        <v>6</v>
      </c>
      <c r="C171" s="49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172" spans="1:3" x14ac:dyDescent="0.35">
      <c r="A172" s="36" t="str">
        <f>_xlfn.TEXTJOIN(" ",TRUE,Employees_Data[[#This Row],[First Name]],Employees_Data[[#This Row],[Last Name]])</f>
        <v>Muhamad Amir</v>
      </c>
      <c r="B172" s="37">
        <f ca="1">DATEDIF(Employees!$F172,TODAY(),"Y")</f>
        <v>9</v>
      </c>
      <c r="C172" s="48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173" spans="1:3" x14ac:dyDescent="0.35">
      <c r="A173" s="40" t="str">
        <f>_xlfn.TEXTJOIN(" ",TRUE,Employees_Data[[#This Row],[First Name]],Employees_Data[[#This Row],[Last Name]])</f>
        <v>Lilas Balatah</v>
      </c>
      <c r="B173" s="41">
        <f ca="1">DATEDIF(Employees!$F173,TODAY(),"Y")</f>
        <v>6</v>
      </c>
      <c r="C173" s="49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174" spans="1:3" x14ac:dyDescent="0.35">
      <c r="A174" s="36" t="str">
        <f>_xlfn.TEXTJOIN(" ",TRUE,Employees_Data[[#This Row],[First Name]],Employees_Data[[#This Row],[Last Name]])</f>
        <v>Ruaa Mukiin</v>
      </c>
      <c r="B174" s="37">
        <f ca="1">DATEDIF(Employees!$F174,TODAY(),"Y")</f>
        <v>9</v>
      </c>
      <c r="C174" s="48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175" spans="1:3" x14ac:dyDescent="0.35">
      <c r="A175" s="40" t="str">
        <f>_xlfn.TEXTJOIN(" ",TRUE,Employees_Data[[#This Row],[First Name]],Employees_Data[[#This Row],[Last Name]])</f>
        <v>Rana Shaeban</v>
      </c>
      <c r="B175" s="41">
        <f ca="1">DATEDIF(Employees!$F175,TODAY(),"Y")</f>
        <v>8</v>
      </c>
      <c r="C175" s="49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176" spans="1:3" x14ac:dyDescent="0.35">
      <c r="A176" s="36" t="str">
        <f>_xlfn.TEXTJOIN(" ",TRUE,Employees_Data[[#This Row],[First Name]],Employees_Data[[#This Row],[Last Name]])</f>
        <v>Muwmin Ewad</v>
      </c>
      <c r="B176" s="37">
        <f ca="1">DATEDIF(Employees!$F176,TODAY(),"Y")</f>
        <v>9</v>
      </c>
      <c r="C176" s="48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177" spans="1:3" x14ac:dyDescent="0.35">
      <c r="A177" s="40" t="str">
        <f>_xlfn.TEXTJOIN(" ",TRUE,Employees_Data[[#This Row],[First Name]],Employees_Data[[#This Row],[Last Name]])</f>
        <v>Rahaf Alaleppoy</v>
      </c>
      <c r="B177" s="41">
        <f ca="1">DATEDIF(Employees!$F177,TODAY(),"Y")</f>
        <v>6</v>
      </c>
      <c r="C177" s="49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178" spans="1:3" x14ac:dyDescent="0.35">
      <c r="A178" s="36" t="str">
        <f>_xlfn.TEXTJOIN(" ",TRUE,Employees_Data[[#This Row],[First Name]],Employees_Data[[#This Row],[Last Name]])</f>
        <v>Samiah Alsaedi</v>
      </c>
      <c r="B178" s="37">
        <f ca="1">DATEDIF(Employees!$F178,TODAY(),"Y")</f>
        <v>8</v>
      </c>
      <c r="C178" s="48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179" spans="1:3" x14ac:dyDescent="0.35">
      <c r="A179" s="40" t="str">
        <f>_xlfn.TEXTJOIN(" ",TRUE,Employees_Data[[#This Row],[First Name]],Employees_Data[[#This Row],[Last Name]])</f>
        <v>Rim Hamdu</v>
      </c>
      <c r="B179" s="41">
        <f ca="1">DATEDIF(Employees!$F179,TODAY(),"Y")</f>
        <v>7</v>
      </c>
      <c r="C179" s="49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180" spans="1:3" x14ac:dyDescent="0.35">
      <c r="A180" s="36" t="str">
        <f>_xlfn.TEXTJOIN(" ",TRUE,Employees_Data[[#This Row],[First Name]],Employees_Data[[#This Row],[Last Name]])</f>
        <v>Aishah Alquatliu</v>
      </c>
      <c r="B180" s="37">
        <f ca="1">DATEDIF(Employees!$F180,TODAY(),"Y")</f>
        <v>6</v>
      </c>
      <c r="C180" s="48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181" spans="1:3" x14ac:dyDescent="0.35">
      <c r="A181" s="40" t="str">
        <f>_xlfn.TEXTJOIN(" ",TRUE,Employees_Data[[#This Row],[First Name]],Employees_Data[[#This Row],[Last Name]])</f>
        <v>Dany Albaba</v>
      </c>
      <c r="B181" s="41">
        <f ca="1">DATEDIF(Employees!$F181,TODAY(),"Y")</f>
        <v>8</v>
      </c>
      <c r="C181" s="49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182" spans="1:3" x14ac:dyDescent="0.35">
      <c r="A182" s="36" t="str">
        <f>_xlfn.TEXTJOIN(" ",TRUE,Employees_Data[[#This Row],[First Name]],Employees_Data[[#This Row],[Last Name]])</f>
        <v>Muhamad Rinkusi</v>
      </c>
      <c r="B182" s="37">
        <f ca="1">DATEDIF(Employees!$F182,TODAY(),"Y")</f>
        <v>8</v>
      </c>
      <c r="C182" s="48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183" spans="1:3" x14ac:dyDescent="0.35">
      <c r="A183" s="40" t="str">
        <f>_xlfn.TEXTJOIN(" ",TRUE,Employees_Data[[#This Row],[First Name]],Employees_Data[[#This Row],[Last Name]])</f>
        <v>Isam Jadid</v>
      </c>
      <c r="B183" s="41">
        <f ca="1">DATEDIF(Employees!$F183,TODAY(),"Y")</f>
        <v>5</v>
      </c>
      <c r="C183" s="49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184" spans="1:3" x14ac:dyDescent="0.35">
      <c r="A184" s="36" t="str">
        <f>_xlfn.TEXTJOIN(" ",TRUE,Employees_Data[[#This Row],[First Name]],Employees_Data[[#This Row],[Last Name]])</f>
        <v>Bushraa Drwysh</v>
      </c>
      <c r="B184" s="37">
        <f ca="1">DATEDIF(Employees!$F184,TODAY(),"Y")</f>
        <v>8</v>
      </c>
      <c r="C184" s="48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185" spans="1:3" x14ac:dyDescent="0.35">
      <c r="A185" s="40" t="str">
        <f>_xlfn.TEXTJOIN(" ",TRUE,Employees_Data[[#This Row],[First Name]],Employees_Data[[#This Row],[Last Name]])</f>
        <v>Zakarian Rashwani</v>
      </c>
      <c r="B185" s="41">
        <f ca="1">DATEDIF(Employees!$F185,TODAY(),"Y")</f>
        <v>7</v>
      </c>
      <c r="C185" s="49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186" spans="1:3" x14ac:dyDescent="0.35">
      <c r="A186" s="36" t="str">
        <f>_xlfn.TEXTJOIN(" ",TRUE,Employees_Data[[#This Row],[First Name]],Employees_Data[[#This Row],[Last Name]])</f>
        <v>Fadi Alqadi</v>
      </c>
      <c r="B186" s="37">
        <f ca="1">DATEDIF(Employees!$F186,TODAY(),"Y")</f>
        <v>5</v>
      </c>
      <c r="C186" s="48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187" spans="1:3" x14ac:dyDescent="0.35">
      <c r="A187" s="40" t="str">
        <f>_xlfn.TEXTJOIN(" ",TRUE,Employees_Data[[#This Row],[First Name]],Employees_Data[[#This Row],[Last Name]])</f>
        <v>Diea Almarstani</v>
      </c>
      <c r="B187" s="41">
        <f ca="1">DATEDIF(Employees!$F187,TODAY(),"Y")</f>
        <v>7</v>
      </c>
      <c r="C187" s="49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188" spans="1:3" x14ac:dyDescent="0.35">
      <c r="A188" s="36" t="str">
        <f>_xlfn.TEXTJOIN(" ",TRUE,Employees_Data[[#This Row],[First Name]],Employees_Data[[#This Row],[Last Name]])</f>
        <v>Muhamad Siedih</v>
      </c>
      <c r="B188" s="37">
        <f ca="1">DATEDIF(Employees!$F188,TODAY(),"Y")</f>
        <v>8</v>
      </c>
      <c r="C188" s="48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189" spans="1:3" x14ac:dyDescent="0.35">
      <c r="A189" s="40" t="str">
        <f>_xlfn.TEXTJOIN(" ",TRUE,Employees_Data[[#This Row],[First Name]],Employees_Data[[#This Row],[Last Name]])</f>
        <v>Bisam Almisri</v>
      </c>
      <c r="B189" s="41">
        <f ca="1">DATEDIF(Employees!$F189,TODAY(),"Y")</f>
        <v>7</v>
      </c>
      <c r="C189" s="49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190" spans="1:3" x14ac:dyDescent="0.35">
      <c r="A190" s="36" t="str">
        <f>_xlfn.TEXTJOIN(" ",TRUE,Employees_Data[[#This Row],[First Name]],Employees_Data[[#This Row],[Last Name]])</f>
        <v>Muhamad Alkhatib</v>
      </c>
      <c r="B190" s="37">
        <f ca="1">DATEDIF(Employees!$F190,TODAY(),"Y")</f>
        <v>8</v>
      </c>
      <c r="C190" s="48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191" spans="1:3" x14ac:dyDescent="0.35">
      <c r="A191" s="40" t="str">
        <f>_xlfn.TEXTJOIN(" ",TRUE,Employees_Data[[#This Row],[First Name]],Employees_Data[[#This Row],[Last Name]])</f>
        <v>Muhamad Rghid</v>
      </c>
      <c r="B191" s="41">
        <f ca="1">DATEDIF(Employees!$F191,TODAY(),"Y")</f>
        <v>6</v>
      </c>
      <c r="C191" s="49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192" spans="1:3" x14ac:dyDescent="0.35">
      <c r="A192" s="36" t="str">
        <f>_xlfn.TEXTJOIN(" ",TRUE,Employees_Data[[#This Row],[First Name]],Employees_Data[[#This Row],[Last Name]])</f>
        <v>Omar Shakir</v>
      </c>
      <c r="B192" s="37">
        <f ca="1">DATEDIF(Employees!$F192,TODAY(),"Y")</f>
        <v>7</v>
      </c>
      <c r="C192" s="48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193" spans="1:3" x14ac:dyDescent="0.35">
      <c r="A193" s="40" t="str">
        <f>_xlfn.TEXTJOIN(" ",TRUE,Employees_Data[[#This Row],[First Name]],Employees_Data[[#This Row],[Last Name]])</f>
        <v>Aryj Hamada</v>
      </c>
      <c r="B193" s="41">
        <f ca="1">DATEDIF(Employees!$F193,TODAY(),"Y")</f>
        <v>6</v>
      </c>
      <c r="C193" s="49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194" spans="1:3" x14ac:dyDescent="0.35">
      <c r="A194" s="36" t="str">
        <f>_xlfn.TEXTJOIN(" ",TRUE,Employees_Data[[#This Row],[First Name]],Employees_Data[[#This Row],[Last Name]])</f>
        <v>Madlin Saeid</v>
      </c>
      <c r="B194" s="37">
        <f ca="1">DATEDIF(Employees!$F194,TODAY(),"Y")</f>
        <v>6</v>
      </c>
      <c r="C194" s="48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195" spans="1:3" x14ac:dyDescent="0.35">
      <c r="A195" s="40" t="str">
        <f>_xlfn.TEXTJOIN(" ",TRUE,Employees_Data[[#This Row],[First Name]],Employees_Data[[#This Row],[Last Name]])</f>
        <v>Rybal Sabagh</v>
      </c>
      <c r="B195" s="41">
        <f ca="1">DATEDIF(Employees!$F195,TODAY(),"Y")</f>
        <v>6</v>
      </c>
      <c r="C195" s="49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196" spans="1:3" x14ac:dyDescent="0.35">
      <c r="A196" s="36" t="str">
        <f>_xlfn.TEXTJOIN(" ",TRUE,Employees_Data[[#This Row],[First Name]],Employees_Data[[#This Row],[Last Name]])</f>
        <v>Samar Alqutb</v>
      </c>
      <c r="B196" s="37">
        <f ca="1">DATEDIF(Employees!$F196,TODAY(),"Y")</f>
        <v>8</v>
      </c>
      <c r="C196" s="48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197" spans="1:3" x14ac:dyDescent="0.35">
      <c r="A197" s="40" t="str">
        <f>_xlfn.TEXTJOIN(" ",TRUE,Employees_Data[[#This Row],[First Name]],Employees_Data[[#This Row],[Last Name]])</f>
        <v>Eala Murad</v>
      </c>
      <c r="B197" s="41">
        <f ca="1">DATEDIF(Employees!$F197,TODAY(),"Y")</f>
        <v>10</v>
      </c>
      <c r="C197" s="49" t="str">
        <f ca="1">IFERROR(IF(Experience_Level[[#This Row],[Years]]&gt;=10,"Senior",IF(AND(Experience_Level[[#This Row],[Years]]&gt;=5,Experience_Level[[#This Row],[Years]]&lt;=9),"Mid-Level","Junior")),"Not Found")</f>
        <v>Senior</v>
      </c>
    </row>
    <row r="198" spans="1:3" x14ac:dyDescent="0.35">
      <c r="A198" s="36" t="str">
        <f>_xlfn.TEXTJOIN(" ",TRUE,Employees_Data[[#This Row],[First Name]],Employees_Data[[#This Row],[Last Name]])</f>
        <v>Ahmad Salih</v>
      </c>
      <c r="B198" s="37">
        <f ca="1">DATEDIF(Employees!$F198,TODAY(),"Y")</f>
        <v>7</v>
      </c>
      <c r="C198" s="48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199" spans="1:3" x14ac:dyDescent="0.35">
      <c r="A199" s="40" t="str">
        <f>_xlfn.TEXTJOIN(" ",TRUE,Employees_Data[[#This Row],[First Name]],Employees_Data[[#This Row],[Last Name]])</f>
        <v>Ibrahim Alhamid</v>
      </c>
      <c r="B199" s="41">
        <f ca="1">DATEDIF(Employees!$F199,TODAY(),"Y")</f>
        <v>5</v>
      </c>
      <c r="C199" s="49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200" spans="1:3" x14ac:dyDescent="0.35">
      <c r="A200" s="36" t="str">
        <f>_xlfn.TEXTJOIN(" ",TRUE,Employees_Data[[#This Row],[First Name]],Employees_Data[[#This Row],[Last Name]])</f>
        <v>Muhamad Alziyat</v>
      </c>
      <c r="B200" s="37">
        <f ca="1">DATEDIF(Employees!$F200,TODAY(),"Y")</f>
        <v>7</v>
      </c>
      <c r="C200" s="48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201" spans="1:3" x14ac:dyDescent="0.35">
      <c r="A201" s="40" t="str">
        <f>_xlfn.TEXTJOIN(" ",TRUE,Employees_Data[[#This Row],[First Name]],Employees_Data[[#This Row],[Last Name]])</f>
        <v>Ali Nhl</v>
      </c>
      <c r="B201" s="41">
        <f ca="1">DATEDIF(Employees!$F201,TODAY(),"Y")</f>
        <v>7</v>
      </c>
      <c r="C201" s="49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202" spans="1:3" x14ac:dyDescent="0.35">
      <c r="A202" s="36" t="str">
        <f>_xlfn.TEXTJOIN(" ",TRUE,Employees_Data[[#This Row],[First Name]],Employees_Data[[#This Row],[Last Name]])</f>
        <v>Saed Alsiyah</v>
      </c>
      <c r="B202" s="37">
        <f ca="1">DATEDIF(Employees!$F202,TODAY(),"Y")</f>
        <v>7</v>
      </c>
      <c r="C202" s="48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203" spans="1:3" x14ac:dyDescent="0.35">
      <c r="A203" s="40" t="str">
        <f>_xlfn.TEXTJOIN(" ",TRUE,Employees_Data[[#This Row],[First Name]],Employees_Data[[#This Row],[Last Name]])</f>
        <v>Majdy Rafaea</v>
      </c>
      <c r="B203" s="41">
        <f ca="1">DATEDIF(Employees!$F203,TODAY(),"Y")</f>
        <v>6</v>
      </c>
      <c r="C203" s="49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204" spans="1:3" x14ac:dyDescent="0.35">
      <c r="A204" s="36" t="str">
        <f>_xlfn.TEXTJOIN(" ",TRUE,Employees_Data[[#This Row],[First Name]],Employees_Data[[#This Row],[Last Name]])</f>
        <v>Ihsan Eazu</v>
      </c>
      <c r="B204" s="37">
        <f ca="1">DATEDIF(Employees!$F204,TODAY(),"Y")</f>
        <v>7</v>
      </c>
      <c r="C204" s="48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205" spans="1:3" x14ac:dyDescent="0.35">
      <c r="A205" s="40" t="str">
        <f>_xlfn.TEXTJOIN(" ",TRUE,Employees_Data[[#This Row],[First Name]],Employees_Data[[#This Row],[Last Name]])</f>
        <v>Iad Alshaykh</v>
      </c>
      <c r="B205" s="41">
        <f ca="1">DATEDIF(Employees!$F205,TODAY(),"Y")</f>
        <v>8</v>
      </c>
      <c r="C205" s="49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206" spans="1:3" x14ac:dyDescent="0.35">
      <c r="A206" s="36" t="str">
        <f>_xlfn.TEXTJOIN(" ",TRUE,Employees_Data[[#This Row],[First Name]],Employees_Data[[#This Row],[Last Name]])</f>
        <v>Bara Alrrashid</v>
      </c>
      <c r="B206" s="37">
        <f ca="1">DATEDIF(Employees!$F206,TODAY(),"Y")</f>
        <v>9</v>
      </c>
      <c r="C206" s="48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207" spans="1:3" x14ac:dyDescent="0.35">
      <c r="A207" s="40" t="str">
        <f>_xlfn.TEXTJOIN(" ",TRUE,Employees_Data[[#This Row],[First Name]],Employees_Data[[#This Row],[Last Name]])</f>
        <v>Fadi Nuna</v>
      </c>
      <c r="B207" s="41">
        <f ca="1">DATEDIF(Employees!$F207,TODAY(),"Y")</f>
        <v>7</v>
      </c>
      <c r="C207" s="49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208" spans="1:3" x14ac:dyDescent="0.35">
      <c r="A208" s="36" t="str">
        <f>_xlfn.TEXTJOIN(" ",TRUE,Employees_Data[[#This Row],[First Name]],Employees_Data[[#This Row],[Last Name]])</f>
        <v>Muhamad Salah</v>
      </c>
      <c r="B208" s="37">
        <f ca="1">DATEDIF(Employees!$F208,TODAY(),"Y")</f>
        <v>5</v>
      </c>
      <c r="C208" s="48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209" spans="1:3" x14ac:dyDescent="0.35">
      <c r="A209" s="40" t="str">
        <f>_xlfn.TEXTJOIN(" ",TRUE,Employees_Data[[#This Row],[First Name]],Employees_Data[[#This Row],[Last Name]])</f>
        <v>Bima Mustafaa</v>
      </c>
      <c r="B209" s="41">
        <f ca="1">DATEDIF(Employees!$F209,TODAY(),"Y")</f>
        <v>5</v>
      </c>
      <c r="C209" s="49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210" spans="1:3" x14ac:dyDescent="0.35">
      <c r="A210" s="36" t="str">
        <f>_xlfn.TEXTJOIN(" ",TRUE,Employees_Data[[#This Row],[First Name]],Employees_Data[[#This Row],[Last Name]])</f>
        <v>Husam Abu Shwmr</v>
      </c>
      <c r="B210" s="37">
        <f ca="1">DATEDIF(Employees!$F210,TODAY(),"Y")</f>
        <v>8</v>
      </c>
      <c r="C210" s="48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211" spans="1:3" x14ac:dyDescent="0.35">
      <c r="A211" s="40" t="str">
        <f>_xlfn.TEXTJOIN(" ",TRUE,Employees_Data[[#This Row],[First Name]],Employees_Data[[#This Row],[Last Name]])</f>
        <v>Abdalrahmin Turkmany</v>
      </c>
      <c r="B211" s="41">
        <f ca="1">DATEDIF(Employees!$F211,TODAY(),"Y")</f>
        <v>7</v>
      </c>
      <c r="C211" s="49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212" spans="1:3" x14ac:dyDescent="0.35">
      <c r="A212" s="36" t="str">
        <f>_xlfn.TEXTJOIN(" ",TRUE,Employees_Data[[#This Row],[First Name]],Employees_Data[[#This Row],[Last Name]])</f>
        <v>Majdulyn Alhakim</v>
      </c>
      <c r="B212" s="37">
        <f ca="1">DATEDIF(Employees!$F212,TODAY(),"Y")</f>
        <v>8</v>
      </c>
      <c r="C212" s="48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213" spans="1:3" x14ac:dyDescent="0.35">
      <c r="A213" s="40" t="str">
        <f>_xlfn.TEXTJOIN(" ",TRUE,Employees_Data[[#This Row],[First Name]],Employees_Data[[#This Row],[Last Name]])</f>
        <v>Ahmad Abu Jaysh</v>
      </c>
      <c r="B213" s="41">
        <f ca="1">DATEDIF(Employees!$F213,TODAY(),"Y")</f>
        <v>9</v>
      </c>
      <c r="C213" s="49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214" spans="1:3" x14ac:dyDescent="0.35">
      <c r="A214" s="36" t="str">
        <f>_xlfn.TEXTJOIN(" ",TRUE,Employees_Data[[#This Row],[First Name]],Employees_Data[[#This Row],[Last Name]])</f>
        <v>Majid Aleusud</v>
      </c>
      <c r="B214" s="37">
        <f ca="1">DATEDIF(Employees!$F214,TODAY(),"Y")</f>
        <v>6</v>
      </c>
      <c r="C214" s="48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215" spans="1:3" x14ac:dyDescent="0.35">
      <c r="A215" s="40" t="str">
        <f>_xlfn.TEXTJOIN(" ",TRUE,Employees_Data[[#This Row],[First Name]],Employees_Data[[#This Row],[Last Name]])</f>
        <v>Bashshar Shakhashiru</v>
      </c>
      <c r="B215" s="41">
        <f ca="1">DATEDIF(Employees!$F215,TODAY(),"Y")</f>
        <v>9</v>
      </c>
      <c r="C215" s="49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216" spans="1:3" x14ac:dyDescent="0.35">
      <c r="A216" s="36" t="str">
        <f>_xlfn.TEXTJOIN(" ",TRUE,Employees_Data[[#This Row],[First Name]],Employees_Data[[#This Row],[Last Name]])</f>
        <v>Malik Alshaykh</v>
      </c>
      <c r="B216" s="37">
        <f ca="1">DATEDIF(Employees!$F216,TODAY(),"Y")</f>
        <v>5</v>
      </c>
      <c r="C216" s="48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217" spans="1:3" x14ac:dyDescent="0.35">
      <c r="A217" s="40" t="str">
        <f>_xlfn.TEXTJOIN(" ",TRUE,Employees_Data[[#This Row],[First Name]],Employees_Data[[#This Row],[Last Name]])</f>
        <v>Omar Zarzur</v>
      </c>
      <c r="B217" s="41">
        <f ca="1">DATEDIF(Employees!$F217,TODAY(),"Y")</f>
        <v>9</v>
      </c>
      <c r="C217" s="49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218" spans="1:3" x14ac:dyDescent="0.35">
      <c r="A218" s="36" t="str">
        <f>_xlfn.TEXTJOIN(" ",TRUE,Employees_Data[[#This Row],[First Name]],Employees_Data[[#This Row],[Last Name]])</f>
        <v>Hasan Iismaeil</v>
      </c>
      <c r="B218" s="37">
        <f ca="1">DATEDIF(Employees!$F218,TODAY(),"Y")</f>
        <v>6</v>
      </c>
      <c r="C218" s="48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219" spans="1:3" x14ac:dyDescent="0.35">
      <c r="A219" s="40" t="str">
        <f>_xlfn.TEXTJOIN(" ",TRUE,Employees_Data[[#This Row],[First Name]],Employees_Data[[#This Row],[Last Name]])</f>
        <v>Husayn Abu Nasir</v>
      </c>
      <c r="B219" s="41">
        <f ca="1">DATEDIF(Employees!$F219,TODAY(),"Y")</f>
        <v>8</v>
      </c>
      <c r="C219" s="49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220" spans="1:3" x14ac:dyDescent="0.35">
      <c r="A220" s="36" t="str">
        <f>_xlfn.TEXTJOIN(" ",TRUE,Employees_Data[[#This Row],[First Name]],Employees_Data[[#This Row],[Last Name]])</f>
        <v>Mazin Earabi</v>
      </c>
      <c r="B220" s="37">
        <f ca="1">DATEDIF(Employees!$F220,TODAY(),"Y")</f>
        <v>10</v>
      </c>
      <c r="C220" s="48" t="str">
        <f ca="1">IFERROR(IF(Experience_Level[[#This Row],[Years]]&gt;=10,"Senior",IF(AND(Experience_Level[[#This Row],[Years]]&gt;=5,Experience_Level[[#This Row],[Years]]&lt;=9),"Mid-Level","Junior")),"Not Found")</f>
        <v>Senior</v>
      </c>
    </row>
    <row r="221" spans="1:3" x14ac:dyDescent="0.35">
      <c r="A221" s="40" t="str">
        <f>_xlfn.TEXTJOIN(" ",TRUE,Employees_Data[[#This Row],[First Name]],Employees_Data[[#This Row],[Last Name]])</f>
        <v>Zahir Eisaa</v>
      </c>
      <c r="B221" s="41">
        <f ca="1">DATEDIF(Employees!$F221,TODAY(),"Y")</f>
        <v>6</v>
      </c>
      <c r="C221" s="49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222" spans="1:3" x14ac:dyDescent="0.35">
      <c r="A222" s="36" t="str">
        <f>_xlfn.TEXTJOIN(" ",TRUE,Employees_Data[[#This Row],[First Name]],Employees_Data[[#This Row],[Last Name]])</f>
        <v>Lama Sabiq</v>
      </c>
      <c r="B222" s="37">
        <f ca="1">DATEDIF(Employees!$F222,TODAY(),"Y")</f>
        <v>7</v>
      </c>
      <c r="C222" s="48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223" spans="1:3" x14ac:dyDescent="0.35">
      <c r="A223" s="40" t="str">
        <f>_xlfn.TEXTJOIN(" ",TRUE,Employees_Data[[#This Row],[First Name]],Employees_Data[[#This Row],[Last Name]])</f>
        <v>Tariq Dw</v>
      </c>
      <c r="B223" s="41">
        <f ca="1">DATEDIF(Employees!$F223,TODAY(),"Y")</f>
        <v>6</v>
      </c>
      <c r="C223" s="49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224" spans="1:3" x14ac:dyDescent="0.35">
      <c r="A224" s="36" t="str">
        <f>_xlfn.TEXTJOIN(" ",TRUE,Employees_Data[[#This Row],[First Name]],Employees_Data[[#This Row],[Last Name]])</f>
        <v>Jawaher Shaykhus</v>
      </c>
      <c r="B224" s="37">
        <f ca="1">DATEDIF(Employees!$F224,TODAY(),"Y")</f>
        <v>8</v>
      </c>
      <c r="C224" s="48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225" spans="1:3" x14ac:dyDescent="0.35">
      <c r="A225" s="40" t="str">
        <f>_xlfn.TEXTJOIN(" ",TRUE,Employees_Data[[#This Row],[First Name]],Employees_Data[[#This Row],[Last Name]])</f>
        <v>Emam Mansur</v>
      </c>
      <c r="B225" s="41">
        <f ca="1">DATEDIF(Employees!$F225,TODAY(),"Y")</f>
        <v>7</v>
      </c>
      <c r="C225" s="49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226" spans="1:3" x14ac:dyDescent="0.35">
      <c r="A226" s="36" t="str">
        <f>_xlfn.TEXTJOIN(" ",TRUE,Employees_Data[[#This Row],[First Name]],Employees_Data[[#This Row],[Last Name]])</f>
        <v>Muhamad Bulta</v>
      </c>
      <c r="B226" s="37">
        <f ca="1">DATEDIF(Employees!$F226,TODAY(),"Y")</f>
        <v>7</v>
      </c>
      <c r="C226" s="48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227" spans="1:3" x14ac:dyDescent="0.35">
      <c r="A227" s="40" t="str">
        <f>_xlfn.TEXTJOIN(" ",TRUE,Employees_Data[[#This Row],[First Name]],Employees_Data[[#This Row],[Last Name]])</f>
        <v>Fatin Hamshu</v>
      </c>
      <c r="B227" s="41">
        <f ca="1">DATEDIF(Employees!$F227,TODAY(),"Y")</f>
        <v>7</v>
      </c>
      <c r="C227" s="49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228" spans="1:3" x14ac:dyDescent="0.35">
      <c r="A228" s="36" t="str">
        <f>_xlfn.TEXTJOIN(" ",TRUE,Employees_Data[[#This Row],[First Name]],Employees_Data[[#This Row],[Last Name]])</f>
        <v>Abd Alruhmin Alnasar</v>
      </c>
      <c r="B228" s="37">
        <f ca="1">DATEDIF(Employees!$F228,TODAY(),"Y")</f>
        <v>7</v>
      </c>
      <c r="C228" s="48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229" spans="1:3" x14ac:dyDescent="0.35">
      <c r="A229" s="40" t="str">
        <f>_xlfn.TEXTJOIN(" ",TRUE,Employees_Data[[#This Row],[First Name]],Employees_Data[[#This Row],[Last Name]])</f>
        <v>Fatin Red</v>
      </c>
      <c r="B229" s="41">
        <f ca="1">DATEDIF(Employees!$F229,TODAY(),"Y")</f>
        <v>7</v>
      </c>
      <c r="C229" s="49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230" spans="1:3" x14ac:dyDescent="0.35">
      <c r="A230" s="36" t="str">
        <f>_xlfn.TEXTJOIN(" ",TRUE,Employees_Data[[#This Row],[First Name]],Employees_Data[[#This Row],[Last Name]])</f>
        <v>Ali Muhamad</v>
      </c>
      <c r="B230" s="37">
        <f ca="1">DATEDIF(Employees!$F230,TODAY(),"Y")</f>
        <v>8</v>
      </c>
      <c r="C230" s="48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231" spans="1:3" x14ac:dyDescent="0.35">
      <c r="A231" s="40" t="str">
        <f>_xlfn.TEXTJOIN(" ",TRUE,Employees_Data[[#This Row],[First Name]],Employees_Data[[#This Row],[Last Name]])</f>
        <v>Rima Dwalyby</v>
      </c>
      <c r="B231" s="41">
        <f ca="1">DATEDIF(Employees!$F231,TODAY(),"Y")</f>
        <v>6</v>
      </c>
      <c r="C231" s="49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232" spans="1:3" x14ac:dyDescent="0.35">
      <c r="A232" s="36" t="str">
        <f>_xlfn.TEXTJOIN(" ",TRUE,Employees_Data[[#This Row],[First Name]],Employees_Data[[#This Row],[Last Name]])</f>
        <v>Basil Musaa</v>
      </c>
      <c r="B232" s="37">
        <f ca="1">DATEDIF(Employees!$F232,TODAY(),"Y")</f>
        <v>8</v>
      </c>
      <c r="C232" s="48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233" spans="1:3" x14ac:dyDescent="0.35">
      <c r="A233" s="40" t="str">
        <f>_xlfn.TEXTJOIN(" ",TRUE,Employees_Data[[#This Row],[First Name]],Employees_Data[[#This Row],[Last Name]])</f>
        <v>Antuan Litansdurfr</v>
      </c>
      <c r="B233" s="41">
        <f ca="1">DATEDIF(Employees!$F233,TODAY(),"Y")</f>
        <v>7</v>
      </c>
      <c r="C233" s="49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234" spans="1:3" x14ac:dyDescent="0.35">
      <c r="A234" s="36" t="str">
        <f>_xlfn.TEXTJOIN(" ",TRUE,Employees_Data[[#This Row],[First Name]],Employees_Data[[#This Row],[Last Name]])</f>
        <v>Rashad Iidris</v>
      </c>
      <c r="B234" s="37">
        <f ca="1">DATEDIF(Employees!$F234,TODAY(),"Y")</f>
        <v>6</v>
      </c>
      <c r="C234" s="48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235" spans="1:3" x14ac:dyDescent="0.35">
      <c r="A235" s="40" t="str">
        <f>_xlfn.TEXTJOIN(" ",TRUE,Employees_Data[[#This Row],[First Name]],Employees_Data[[#This Row],[Last Name]])</f>
        <v>Bidralidin Ahmdghrybw</v>
      </c>
      <c r="B235" s="41">
        <f ca="1">DATEDIF(Employees!$F235,TODAY(),"Y")</f>
        <v>6</v>
      </c>
      <c r="C235" s="49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236" spans="1:3" x14ac:dyDescent="0.35">
      <c r="A236" s="36" t="str">
        <f>_xlfn.TEXTJOIN(" ",TRUE,Employees_Data[[#This Row],[First Name]],Employees_Data[[#This Row],[Last Name]])</f>
        <v>Faras Shaykh</v>
      </c>
      <c r="B236" s="37">
        <f ca="1">DATEDIF(Employees!$F236,TODAY(),"Y")</f>
        <v>7</v>
      </c>
      <c r="C236" s="48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237" spans="1:3" x14ac:dyDescent="0.35">
      <c r="A237" s="40" t="str">
        <f>_xlfn.TEXTJOIN(" ",TRUE,Employees_Data[[#This Row],[First Name]],Employees_Data[[#This Row],[Last Name]])</f>
        <v>Muhamad Eala Aldiyn</v>
      </c>
      <c r="B237" s="41">
        <f ca="1">DATEDIF(Employees!$F237,TODAY(),"Y")</f>
        <v>6</v>
      </c>
      <c r="C237" s="49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238" spans="1:3" x14ac:dyDescent="0.35">
      <c r="A238" s="36" t="str">
        <f>_xlfn.TEXTJOIN(" ",TRUE,Employees_Data[[#This Row],[First Name]],Employees_Data[[#This Row],[Last Name]])</f>
        <v>Khaldun Suqbani</v>
      </c>
      <c r="B238" s="37">
        <f ca="1">DATEDIF(Employees!$F238,TODAY(),"Y")</f>
        <v>6</v>
      </c>
      <c r="C238" s="48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239" spans="1:3" x14ac:dyDescent="0.35">
      <c r="A239" s="40" t="str">
        <f>_xlfn.TEXTJOIN(" ",TRUE,Employees_Data[[#This Row],[First Name]],Employees_Data[[#This Row],[Last Name]])</f>
        <v>Lwna Albahra</v>
      </c>
      <c r="B239" s="41">
        <f ca="1">DATEDIF(Employees!$F239,TODAY(),"Y")</f>
        <v>6</v>
      </c>
      <c r="C239" s="49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240" spans="1:3" x14ac:dyDescent="0.35">
      <c r="A240" s="36" t="str">
        <f>_xlfn.TEXTJOIN(" ",TRUE,Employees_Data[[#This Row],[First Name]],Employees_Data[[#This Row],[Last Name]])</f>
        <v>Ahmad Ezqul</v>
      </c>
      <c r="B240" s="37">
        <f ca="1">DATEDIF(Employees!$F240,TODAY(),"Y")</f>
        <v>8</v>
      </c>
      <c r="C240" s="48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241" spans="1:3" x14ac:dyDescent="0.35">
      <c r="A241" s="40" t="str">
        <f>_xlfn.TEXTJOIN(" ",TRUE,Employees_Data[[#This Row],[First Name]],Employees_Data[[#This Row],[Last Name]])</f>
        <v>Salih Alhamuwd</v>
      </c>
      <c r="B241" s="41">
        <f ca="1">DATEDIF(Employees!$F241,TODAY(),"Y")</f>
        <v>7</v>
      </c>
      <c r="C241" s="49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242" spans="1:3" x14ac:dyDescent="0.35">
      <c r="A242" s="36" t="str">
        <f>_xlfn.TEXTJOIN(" ",TRUE,Employees_Data[[#This Row],[First Name]],Employees_Data[[#This Row],[Last Name]])</f>
        <v>Muhamad Abu Zamil</v>
      </c>
      <c r="B242" s="37">
        <f ca="1">DATEDIF(Employees!$F242,TODAY(),"Y")</f>
        <v>10</v>
      </c>
      <c r="C242" s="48" t="str">
        <f ca="1">IFERROR(IF(Experience_Level[[#This Row],[Years]]&gt;=10,"Senior",IF(AND(Experience_Level[[#This Row],[Years]]&gt;=5,Experience_Level[[#This Row],[Years]]&lt;=9),"Mid-Level","Junior")),"Not Found")</f>
        <v>Senior</v>
      </c>
    </row>
    <row r="243" spans="1:3" x14ac:dyDescent="0.35">
      <c r="A243" s="40" t="str">
        <f>_xlfn.TEXTJOIN(" ",TRUE,Employees_Data[[#This Row],[First Name]],Employees_Data[[#This Row],[Last Name]])</f>
        <v>Fuad Alsyqly</v>
      </c>
      <c r="B243" s="41">
        <f ca="1">DATEDIF(Employees!$F243,TODAY(),"Y")</f>
        <v>7</v>
      </c>
      <c r="C243" s="49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244" spans="1:3" x14ac:dyDescent="0.35">
      <c r="A244" s="36" t="str">
        <f>_xlfn.TEXTJOIN(" ",TRUE,Employees_Data[[#This Row],[First Name]],Employees_Data[[#This Row],[Last Name]])</f>
        <v>Muhamad Aldamshqi</v>
      </c>
      <c r="B244" s="37">
        <f ca="1">DATEDIF(Employees!$F244,TODAY(),"Y")</f>
        <v>7</v>
      </c>
      <c r="C244" s="48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245" spans="1:3" x14ac:dyDescent="0.35">
      <c r="A245" s="40" t="str">
        <f>_xlfn.TEXTJOIN(" ",TRUE,Employees_Data[[#This Row],[First Name]],Employees_Data[[#This Row],[Last Name]])</f>
        <v>Sayf Aldiyn Alkmshh</v>
      </c>
      <c r="B245" s="41">
        <f ca="1">DATEDIF(Employees!$F245,TODAY(),"Y")</f>
        <v>7</v>
      </c>
      <c r="C245" s="49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246" spans="1:3" x14ac:dyDescent="0.35">
      <c r="A246" s="36" t="str">
        <f>_xlfn.TEXTJOIN(" ",TRUE,Employees_Data[[#This Row],[First Name]],Employees_Data[[#This Row],[Last Name]])</f>
        <v>Muhamad Alssati</v>
      </c>
      <c r="B246" s="37">
        <f ca="1">DATEDIF(Employees!$F246,TODAY(),"Y")</f>
        <v>6</v>
      </c>
      <c r="C246" s="48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247" spans="1:3" x14ac:dyDescent="0.35">
      <c r="A247" s="40" t="str">
        <f>_xlfn.TEXTJOIN(" ",TRUE,Employees_Data[[#This Row],[First Name]],Employees_Data[[#This Row],[Last Name]])</f>
        <v>Khalid Alem</v>
      </c>
      <c r="B247" s="41">
        <f ca="1">DATEDIF(Employees!$F247,TODAY(),"Y")</f>
        <v>5</v>
      </c>
      <c r="C247" s="49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248" spans="1:3" x14ac:dyDescent="0.35">
      <c r="A248" s="36" t="str">
        <f>_xlfn.TEXTJOIN(" ",TRUE,Employees_Data[[#This Row],[First Name]],Employees_Data[[#This Row],[Last Name]])</f>
        <v>Ayham Aleisaa</v>
      </c>
      <c r="B248" s="37">
        <f ca="1">DATEDIF(Employees!$F248,TODAY(),"Y")</f>
        <v>5</v>
      </c>
      <c r="C248" s="48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249" spans="1:3" x14ac:dyDescent="0.35">
      <c r="A249" s="40" t="str">
        <f>_xlfn.TEXTJOIN(" ",TRUE,Employees_Data[[#This Row],[First Name]],Employees_Data[[#This Row],[Last Name]])</f>
        <v>Abd Alruhmin Dulul</v>
      </c>
      <c r="B249" s="41">
        <f ca="1">DATEDIF(Employees!$F249,TODAY(),"Y")</f>
        <v>8</v>
      </c>
      <c r="C249" s="49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250" spans="1:3" x14ac:dyDescent="0.35">
      <c r="A250" s="36" t="str">
        <f>_xlfn.TEXTJOIN(" ",TRUE,Employees_Data[[#This Row],[First Name]],Employees_Data[[#This Row],[Last Name]])</f>
        <v>Ruba Aleid</v>
      </c>
      <c r="B250" s="37">
        <f ca="1">DATEDIF(Employees!$F250,TODAY(),"Y")</f>
        <v>8</v>
      </c>
      <c r="C250" s="48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251" spans="1:3" x14ac:dyDescent="0.35">
      <c r="A251" s="40" t="str">
        <f>_xlfn.TEXTJOIN(" ",TRUE,Employees_Data[[#This Row],[First Name]],Employees_Data[[#This Row],[Last Name]])</f>
        <v>Muhamad Badawiin</v>
      </c>
      <c r="B251" s="41">
        <f ca="1">DATEDIF(Employees!$F251,TODAY(),"Y")</f>
        <v>5</v>
      </c>
      <c r="C251" s="49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252" spans="1:3" x14ac:dyDescent="0.35">
      <c r="A252" s="36" t="str">
        <f>_xlfn.TEXTJOIN(" ",TRUE,Employees_Data[[#This Row],[First Name]],Employees_Data[[#This Row],[Last Name]])</f>
        <v>Sharihan Rihan</v>
      </c>
      <c r="B252" s="37">
        <f ca="1">DATEDIF(Employees!$F252,TODAY(),"Y")</f>
        <v>6</v>
      </c>
      <c r="C252" s="48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253" spans="1:3" x14ac:dyDescent="0.35">
      <c r="A253" s="40" t="str">
        <f>_xlfn.TEXTJOIN(" ",TRUE,Employees_Data[[#This Row],[First Name]],Employees_Data[[#This Row],[Last Name]])</f>
        <v>Ibrahim Alyasin</v>
      </c>
      <c r="B253" s="41">
        <f ca="1">DATEDIF(Employees!$F253,TODAY(),"Y")</f>
        <v>6</v>
      </c>
      <c r="C253" s="49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254" spans="1:3" x14ac:dyDescent="0.35">
      <c r="A254" s="36" t="str">
        <f>_xlfn.TEXTJOIN(" ",TRUE,Employees_Data[[#This Row],[First Name]],Employees_Data[[#This Row],[Last Name]])</f>
        <v>Iin Mulaliyun</v>
      </c>
      <c r="B254" s="37">
        <f ca="1">DATEDIF(Employees!$F254,TODAY(),"Y")</f>
        <v>6</v>
      </c>
      <c r="C254" s="48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255" spans="1:3" x14ac:dyDescent="0.35">
      <c r="A255" s="40" t="str">
        <f>_xlfn.TEXTJOIN(" ",TRUE,Employees_Data[[#This Row],[First Name]],Employees_Data[[#This Row],[Last Name]])</f>
        <v>Danah Almahdi</v>
      </c>
      <c r="B255" s="41">
        <f ca="1">DATEDIF(Employees!$F255,TODAY(),"Y")</f>
        <v>10</v>
      </c>
      <c r="C255" s="49" t="str">
        <f ca="1">IFERROR(IF(Experience_Level[[#This Row],[Years]]&gt;=10,"Senior",IF(AND(Experience_Level[[#This Row],[Years]]&gt;=5,Experience_Level[[#This Row],[Years]]&lt;=9),"Mid-Level","Junior")),"Not Found")</f>
        <v>Senior</v>
      </c>
    </row>
    <row r="256" spans="1:3" x14ac:dyDescent="0.35">
      <c r="A256" s="36" t="str">
        <f>_xlfn.TEXTJOIN(" ",TRUE,Employees_Data[[#This Row],[First Name]],Employees_Data[[#This Row],[Last Name]])</f>
        <v>Muhamad Sakar</v>
      </c>
      <c r="B256" s="37">
        <f ca="1">DATEDIF(Employees!$F256,TODAY(),"Y")</f>
        <v>7</v>
      </c>
      <c r="C256" s="48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257" spans="1:3" x14ac:dyDescent="0.35">
      <c r="A257" s="40" t="str">
        <f>_xlfn.TEXTJOIN(" ",TRUE,Employees_Data[[#This Row],[First Name]],Employees_Data[[#This Row],[Last Name]])</f>
        <v>Lama Yasin</v>
      </c>
      <c r="B257" s="41">
        <f ca="1">DATEDIF(Employees!$F257,TODAY(),"Y")</f>
        <v>6</v>
      </c>
      <c r="C257" s="49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258" spans="1:3" x14ac:dyDescent="0.35">
      <c r="A258" s="36" t="str">
        <f>_xlfn.TEXTJOIN(" ",TRUE,Employees_Data[[#This Row],[First Name]],Employees_Data[[#This Row],[Last Name]])</f>
        <v>Asf Abultif</v>
      </c>
      <c r="B258" s="37">
        <f ca="1">DATEDIF(Employees!$F258,TODAY(),"Y")</f>
        <v>7</v>
      </c>
      <c r="C258" s="48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259" spans="1:3" x14ac:dyDescent="0.35">
      <c r="A259" s="40" t="str">
        <f>_xlfn.TEXTJOIN(" ",TRUE,Employees_Data[[#This Row],[First Name]],Employees_Data[[#This Row],[Last Name]])</f>
        <v>Ahmad Alshalaq</v>
      </c>
      <c r="B259" s="41">
        <f ca="1">DATEDIF(Employees!$F259,TODAY(),"Y")</f>
        <v>7</v>
      </c>
      <c r="C259" s="49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260" spans="1:3" x14ac:dyDescent="0.35">
      <c r="A260" s="36" t="str">
        <f>_xlfn.TEXTJOIN(" ",TRUE,Employees_Data[[#This Row],[First Name]],Employees_Data[[#This Row],[Last Name]])</f>
        <v>Mazin Zawal</v>
      </c>
      <c r="B260" s="37">
        <f ca="1">DATEDIF(Employees!$F260,TODAY(),"Y")</f>
        <v>6</v>
      </c>
      <c r="C260" s="48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261" spans="1:3" x14ac:dyDescent="0.35">
      <c r="A261" s="40" t="str">
        <f>_xlfn.TEXTJOIN(" ",TRUE,Employees_Data[[#This Row],[First Name]],Employees_Data[[#This Row],[Last Name]])</f>
        <v>Diana Aleabd</v>
      </c>
      <c r="B261" s="41">
        <f ca="1">DATEDIF(Employees!$F261,TODAY(),"Y")</f>
        <v>6</v>
      </c>
      <c r="C261" s="49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262" spans="1:3" x14ac:dyDescent="0.35">
      <c r="A262" s="36" t="str">
        <f>_xlfn.TEXTJOIN(" ",TRUE,Employees_Data[[#This Row],[First Name]],Employees_Data[[#This Row],[Last Name]])</f>
        <v>Kawkab Qarqazan</v>
      </c>
      <c r="B262" s="37">
        <f ca="1">DATEDIF(Employees!$F262,TODAY(),"Y")</f>
        <v>8</v>
      </c>
      <c r="C262" s="48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263" spans="1:3" x14ac:dyDescent="0.35">
      <c r="A263" s="40" t="str">
        <f>_xlfn.TEXTJOIN(" ",TRUE,Employees_Data[[#This Row],[First Name]],Employees_Data[[#This Row],[Last Name]])</f>
        <v>Thamir Abu Ghazy</v>
      </c>
      <c r="B263" s="41">
        <f ca="1">DATEDIF(Employees!$F263,TODAY(),"Y")</f>
        <v>8</v>
      </c>
      <c r="C263" s="49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264" spans="1:3" x14ac:dyDescent="0.35">
      <c r="A264" s="36" t="str">
        <f>_xlfn.TEXTJOIN(" ",TRUE,Employees_Data[[#This Row],[First Name]],Employees_Data[[#This Row],[Last Name]])</f>
        <v>Muhamad Alabth</v>
      </c>
      <c r="B264" s="37">
        <f ca="1">DATEDIF(Employees!$F264,TODAY(),"Y")</f>
        <v>7</v>
      </c>
      <c r="C264" s="48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265" spans="1:3" x14ac:dyDescent="0.35">
      <c r="A265" s="40" t="str">
        <f>_xlfn.TEXTJOIN(" ",TRUE,Employees_Data[[#This Row],[First Name]],Employees_Data[[#This Row],[Last Name]])</f>
        <v>Khadijah Abu Taqih</v>
      </c>
      <c r="B265" s="41">
        <f ca="1">DATEDIF(Employees!$F265,TODAY(),"Y")</f>
        <v>7</v>
      </c>
      <c r="C265" s="49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266" spans="1:3" x14ac:dyDescent="0.35">
      <c r="A266" s="36" t="str">
        <f>_xlfn.TEXTJOIN(" ",TRUE,Employees_Data[[#This Row],[First Name]],Employees_Data[[#This Row],[Last Name]])</f>
        <v>Salwaa Alsyd</v>
      </c>
      <c r="B266" s="37">
        <f ca="1">DATEDIF(Employees!$F266,TODAY(),"Y")</f>
        <v>8</v>
      </c>
      <c r="C266" s="48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267" spans="1:3" x14ac:dyDescent="0.35">
      <c r="A267" s="40" t="str">
        <f>_xlfn.TEXTJOIN(" ",TRUE,Employees_Data[[#This Row],[First Name]],Employees_Data[[#This Row],[Last Name]])</f>
        <v>Muayid Shbyb</v>
      </c>
      <c r="B267" s="41">
        <f ca="1">DATEDIF(Employees!$F267,TODAY(),"Y")</f>
        <v>7</v>
      </c>
      <c r="C267" s="49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268" spans="1:3" x14ac:dyDescent="0.35">
      <c r="A268" s="36" t="str">
        <f>_xlfn.TEXTJOIN(" ",TRUE,Employees_Data[[#This Row],[First Name]],Employees_Data[[#This Row],[Last Name]])</f>
        <v>Rannym Tyru</v>
      </c>
      <c r="B268" s="37">
        <f ca="1">DATEDIF(Employees!$F268,TODAY(),"Y")</f>
        <v>6</v>
      </c>
      <c r="C268" s="48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269" spans="1:3" x14ac:dyDescent="0.35">
      <c r="A269" s="40" t="str">
        <f>_xlfn.TEXTJOIN(" ",TRUE,Employees_Data[[#This Row],[First Name]],Employees_Data[[#This Row],[Last Name]])</f>
        <v>Iin Alhaju Bikr</v>
      </c>
      <c r="B269" s="41">
        <f ca="1">DATEDIF(Employees!$F269,TODAY(),"Y")</f>
        <v>6</v>
      </c>
      <c r="C269" s="49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270" spans="1:3" x14ac:dyDescent="0.35">
      <c r="A270" s="36" t="str">
        <f>_xlfn.TEXTJOIN(" ",TRUE,Employees_Data[[#This Row],[First Name]],Employees_Data[[#This Row],[Last Name]])</f>
        <v>Jihad Aldukifi</v>
      </c>
      <c r="B270" s="37">
        <f ca="1">DATEDIF(Employees!$F270,TODAY(),"Y")</f>
        <v>6</v>
      </c>
      <c r="C270" s="48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271" spans="1:3" x14ac:dyDescent="0.35">
      <c r="A271" s="40" t="str">
        <f>_xlfn.TEXTJOIN(" ",TRUE,Employees_Data[[#This Row],[First Name]],Employees_Data[[#This Row],[Last Name]])</f>
        <v>Sandurana Antun</v>
      </c>
      <c r="B271" s="41">
        <f ca="1">DATEDIF(Employees!$F271,TODAY(),"Y")</f>
        <v>7</v>
      </c>
      <c r="C271" s="49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272" spans="1:3" x14ac:dyDescent="0.35">
      <c r="A272" s="36" t="str">
        <f>_xlfn.TEXTJOIN(" ",TRUE,Employees_Data[[#This Row],[First Name]],Employees_Data[[#This Row],[Last Name]])</f>
        <v>Eala Darkzifli</v>
      </c>
      <c r="B272" s="37">
        <f ca="1">DATEDIF(Employees!$F272,TODAY(),"Y")</f>
        <v>7</v>
      </c>
      <c r="C272" s="48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273" spans="1:3" x14ac:dyDescent="0.35">
      <c r="A273" s="40" t="str">
        <f>_xlfn.TEXTJOIN(" ",TRUE,Employees_Data[[#This Row],[First Name]],Employees_Data[[#This Row],[Last Name]])</f>
        <v>Samir Alsaeid</v>
      </c>
      <c r="B273" s="41">
        <f ca="1">DATEDIF(Employees!$F273,TODAY(),"Y")</f>
        <v>7</v>
      </c>
      <c r="C273" s="49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274" spans="1:3" x14ac:dyDescent="0.35">
      <c r="A274" s="36" t="str">
        <f>_xlfn.TEXTJOIN(" ",TRUE,Employees_Data[[#This Row],[First Name]],Employees_Data[[#This Row],[Last Name]])</f>
        <v>Amir Alhifar</v>
      </c>
      <c r="B274" s="37">
        <f ca="1">DATEDIF(Employees!$F274,TODAY(),"Y")</f>
        <v>6</v>
      </c>
      <c r="C274" s="48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275" spans="1:3" x14ac:dyDescent="0.35">
      <c r="A275" s="40" t="str">
        <f>_xlfn.TEXTJOIN(" ",TRUE,Employees_Data[[#This Row],[First Name]],Employees_Data[[#This Row],[Last Name]])</f>
        <v>Lama Almala</v>
      </c>
      <c r="B275" s="41">
        <f ca="1">DATEDIF(Employees!$F275,TODAY(),"Y")</f>
        <v>7</v>
      </c>
      <c r="C275" s="49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276" spans="1:3" x14ac:dyDescent="0.35">
      <c r="A276" s="36" t="str">
        <f>_xlfn.TEXTJOIN(" ",TRUE,Employees_Data[[#This Row],[First Name]],Employees_Data[[#This Row],[Last Name]])</f>
        <v>Hasan Kalthum</v>
      </c>
      <c r="B276" s="37">
        <f ca="1">DATEDIF(Employees!$F276,TODAY(),"Y")</f>
        <v>7</v>
      </c>
      <c r="C276" s="48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277" spans="1:3" x14ac:dyDescent="0.35">
      <c r="A277" s="40" t="str">
        <f>_xlfn.TEXTJOIN(" ",TRUE,Employees_Data[[#This Row],[First Name]],Employees_Data[[#This Row],[Last Name]])</f>
        <v>Muhamad Saeadat</v>
      </c>
      <c r="B277" s="41">
        <f ca="1">DATEDIF(Employees!$F277,TODAY(),"Y")</f>
        <v>7</v>
      </c>
      <c r="C277" s="49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278" spans="1:3" x14ac:dyDescent="0.35">
      <c r="A278" s="36" t="str">
        <f>_xlfn.TEXTJOIN(" ",TRUE,Employees_Data[[#This Row],[First Name]],Employees_Data[[#This Row],[Last Name]])</f>
        <v>Rana Eijrush</v>
      </c>
      <c r="B278" s="37">
        <f ca="1">DATEDIF(Employees!$F278,TODAY(),"Y")</f>
        <v>8</v>
      </c>
      <c r="C278" s="48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279" spans="1:3" x14ac:dyDescent="0.35">
      <c r="A279" s="40" t="str">
        <f>_xlfn.TEXTJOIN(" ",TRUE,Employees_Data[[#This Row],[First Name]],Employees_Data[[#This Row],[Last Name]])</f>
        <v>Tariq Alkinaya</v>
      </c>
      <c r="B279" s="41">
        <f ca="1">DATEDIF(Employees!$F279,TODAY(),"Y")</f>
        <v>7</v>
      </c>
      <c r="C279" s="49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280" spans="1:3" x14ac:dyDescent="0.35">
      <c r="A280" s="36" t="str">
        <f>_xlfn.TEXTJOIN(" ",TRUE,Employees_Data[[#This Row],[First Name]],Employees_Data[[#This Row],[Last Name]])</f>
        <v>Amjad Alrz</v>
      </c>
      <c r="B280" s="37">
        <f ca="1">DATEDIF(Employees!$F280,TODAY(),"Y")</f>
        <v>6</v>
      </c>
      <c r="C280" s="48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281" spans="1:3" x14ac:dyDescent="0.35">
      <c r="A281" s="40" t="str">
        <f>_xlfn.TEXTJOIN(" ",TRUE,Employees_Data[[#This Row],[First Name]],Employees_Data[[#This Row],[Last Name]])</f>
        <v>Daniah Alhariri</v>
      </c>
      <c r="B281" s="41">
        <f ca="1">DATEDIF(Employees!$F281,TODAY(),"Y")</f>
        <v>7</v>
      </c>
      <c r="C281" s="49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282" spans="1:3" x14ac:dyDescent="0.35">
      <c r="A282" s="36" t="str">
        <f>_xlfn.TEXTJOIN(" ",TRUE,Employees_Data[[#This Row],[First Name]],Employees_Data[[#This Row],[Last Name]])</f>
        <v>Hasan Quidr</v>
      </c>
      <c r="B282" s="37">
        <f ca="1">DATEDIF(Employees!$F282,TODAY(),"Y")</f>
        <v>6</v>
      </c>
      <c r="C282" s="48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283" spans="1:3" x14ac:dyDescent="0.35">
      <c r="A283" s="40" t="str">
        <f>_xlfn.TEXTJOIN(" ",TRUE,Employees_Data[[#This Row],[First Name]],Employees_Data[[#This Row],[Last Name]])</f>
        <v>Muhamad Shaykh Janid</v>
      </c>
      <c r="B283" s="41">
        <f ca="1">DATEDIF(Employees!$F283,TODAY(),"Y")</f>
        <v>6</v>
      </c>
      <c r="C283" s="49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284" spans="1:3" x14ac:dyDescent="0.35">
      <c r="A284" s="36" t="str">
        <f>_xlfn.TEXTJOIN(" ",TRUE,Employees_Data[[#This Row],[First Name]],Employees_Data[[#This Row],[Last Name]])</f>
        <v>Esamat Zaza</v>
      </c>
      <c r="B284" s="37">
        <f ca="1">DATEDIF(Employees!$F284,TODAY(),"Y")</f>
        <v>6</v>
      </c>
      <c r="C284" s="48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285" spans="1:3" x14ac:dyDescent="0.35">
      <c r="A285" s="40" t="str">
        <f>_xlfn.TEXTJOIN(" ",TRUE,Employees_Data[[#This Row],[First Name]],Employees_Data[[#This Row],[Last Name]])</f>
        <v>Fadi Hububati</v>
      </c>
      <c r="B285" s="41">
        <f ca="1">DATEDIF(Employees!$F285,TODAY(),"Y")</f>
        <v>7</v>
      </c>
      <c r="C285" s="49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286" spans="1:3" x14ac:dyDescent="0.35">
      <c r="A286" s="36" t="str">
        <f>_xlfn.TEXTJOIN(" ",TRUE,Employees_Data[[#This Row],[First Name]],Employees_Data[[#This Row],[Last Name]])</f>
        <v>Adnan Alhusayn</v>
      </c>
      <c r="B286" s="37">
        <f ca="1">DATEDIF(Employees!$F286,TODAY(),"Y")</f>
        <v>8</v>
      </c>
      <c r="C286" s="48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287" spans="1:3" x14ac:dyDescent="0.35">
      <c r="A287" s="40" t="str">
        <f>_xlfn.TEXTJOIN(" ",TRUE,Employees_Data[[#This Row],[First Name]],Employees_Data[[#This Row],[Last Name]])</f>
        <v>Muhamad Allibad</v>
      </c>
      <c r="B287" s="41">
        <f ca="1">DATEDIF(Employees!$F287,TODAY(),"Y")</f>
        <v>8</v>
      </c>
      <c r="C287" s="49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288" spans="1:3" x14ac:dyDescent="0.35">
      <c r="A288" s="36" t="str">
        <f>_xlfn.TEXTJOIN(" ",TRUE,Employees_Data[[#This Row],[First Name]],Employees_Data[[#This Row],[Last Name]])</f>
        <v>Tana Dahruj</v>
      </c>
      <c r="B288" s="37">
        <f ca="1">DATEDIF(Employees!$F288,TODAY(),"Y")</f>
        <v>6</v>
      </c>
      <c r="C288" s="48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289" spans="1:3" x14ac:dyDescent="0.35">
      <c r="A289" s="40" t="str">
        <f>_xlfn.TEXTJOIN(" ",TRUE,Employees_Data[[#This Row],[First Name]],Employees_Data[[#This Row],[Last Name]])</f>
        <v>Muhamad Almtlq</v>
      </c>
      <c r="B289" s="41">
        <f ca="1">DATEDIF(Employees!$F289,TODAY(),"Y")</f>
        <v>9</v>
      </c>
      <c r="C289" s="49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290" spans="1:3" x14ac:dyDescent="0.35">
      <c r="A290" s="36" t="str">
        <f>_xlfn.TEXTJOIN(" ",TRUE,Employees_Data[[#This Row],[First Name]],Employees_Data[[#This Row],[Last Name]])</f>
        <v>Sana Alhusayn</v>
      </c>
      <c r="B290" s="37">
        <f ca="1">DATEDIF(Employees!$F290,TODAY(),"Y")</f>
        <v>6</v>
      </c>
      <c r="C290" s="48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291" spans="1:3" x14ac:dyDescent="0.35">
      <c r="A291" s="40" t="str">
        <f>_xlfn.TEXTJOIN(" ",TRUE,Employees_Data[[#This Row],[First Name]],Employees_Data[[#This Row],[Last Name]])</f>
        <v>Muhamad Bdraldyn</v>
      </c>
      <c r="B291" s="41">
        <f ca="1">DATEDIF(Employees!$F291,TODAY(),"Y")</f>
        <v>8</v>
      </c>
      <c r="C291" s="49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292" spans="1:3" x14ac:dyDescent="0.35">
      <c r="A292" s="36" t="str">
        <f>_xlfn.TEXTJOIN(" ",TRUE,Employees_Data[[#This Row],[First Name]],Employees_Data[[#This Row],[Last Name]])</f>
        <v>Muhamad Eataya</v>
      </c>
      <c r="B292" s="37">
        <f ca="1">DATEDIF(Employees!$F292,TODAY(),"Y")</f>
        <v>8</v>
      </c>
      <c r="C292" s="48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293" spans="1:3" x14ac:dyDescent="0.35">
      <c r="A293" s="40" t="str">
        <f>_xlfn.TEXTJOIN(" ",TRUE,Employees_Data[[#This Row],[First Name]],Employees_Data[[#This Row],[Last Name]])</f>
        <v>Fadi Aljizamati</v>
      </c>
      <c r="B293" s="41">
        <f ca="1">DATEDIF(Employees!$F293,TODAY(),"Y")</f>
        <v>7</v>
      </c>
      <c r="C293" s="49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294" spans="1:3" x14ac:dyDescent="0.35">
      <c r="A294" s="36" t="str">
        <f>_xlfn.TEXTJOIN(" ",TRUE,Employees_Data[[#This Row],[First Name]],Employees_Data[[#This Row],[Last Name]])</f>
        <v>Alaa Alqasir</v>
      </c>
      <c r="B294" s="37">
        <f ca="1">DATEDIF(Employees!$F294,TODAY(),"Y")</f>
        <v>10</v>
      </c>
      <c r="C294" s="48" t="str">
        <f ca="1">IFERROR(IF(Experience_Level[[#This Row],[Years]]&gt;=10,"Senior",IF(AND(Experience_Level[[#This Row],[Years]]&gt;=5,Experience_Level[[#This Row],[Years]]&lt;=9),"Mid-Level","Junior")),"Not Found")</f>
        <v>Senior</v>
      </c>
    </row>
    <row r="295" spans="1:3" x14ac:dyDescent="0.35">
      <c r="A295" s="40" t="str">
        <f>_xlfn.TEXTJOIN(" ",TRUE,Employees_Data[[#This Row],[First Name]],Employees_Data[[#This Row],[Last Name]])</f>
        <v>Abd Alruhmin Salih</v>
      </c>
      <c r="B295" s="41">
        <f ca="1">DATEDIF(Employees!$F295,TODAY(),"Y")</f>
        <v>9</v>
      </c>
      <c r="C295" s="49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296" spans="1:3" x14ac:dyDescent="0.35">
      <c r="A296" s="36" t="str">
        <f>_xlfn.TEXTJOIN(" ",TRUE,Employees_Data[[#This Row],[First Name]],Employees_Data[[#This Row],[Last Name]])</f>
        <v>Shilan Ahmad</v>
      </c>
      <c r="B296" s="37">
        <f ca="1">DATEDIF(Employees!$F296,TODAY(),"Y")</f>
        <v>9</v>
      </c>
      <c r="C296" s="48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297" spans="1:3" x14ac:dyDescent="0.35">
      <c r="A297" s="40" t="str">
        <f>_xlfn.TEXTJOIN(" ",TRUE,Employees_Data[[#This Row],[First Name]],Employees_Data[[#This Row],[Last Name]])</f>
        <v>Hasan Aljasim</v>
      </c>
      <c r="B297" s="41">
        <f ca="1">DATEDIF(Employees!$F297,TODAY(),"Y")</f>
        <v>9</v>
      </c>
      <c r="C297" s="49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298" spans="1:3" x14ac:dyDescent="0.35">
      <c r="A298" s="36" t="str">
        <f>_xlfn.TEXTJOIN(" ",TRUE,Employees_Data[[#This Row],[First Name]],Employees_Data[[#This Row],[Last Name]])</f>
        <v>Khalil Salam</v>
      </c>
      <c r="B298" s="37">
        <f ca="1">DATEDIF(Employees!$F298,TODAY(),"Y")</f>
        <v>10</v>
      </c>
      <c r="C298" s="48" t="str">
        <f ca="1">IFERROR(IF(Experience_Level[[#This Row],[Years]]&gt;=10,"Senior",IF(AND(Experience_Level[[#This Row],[Years]]&gt;=5,Experience_Level[[#This Row],[Years]]&lt;=9),"Mid-Level","Junior")),"Not Found")</f>
        <v>Senior</v>
      </c>
    </row>
    <row r="299" spans="1:3" x14ac:dyDescent="0.35">
      <c r="A299" s="40" t="str">
        <f>_xlfn.TEXTJOIN(" ",TRUE,Employees_Data[[#This Row],[First Name]],Employees_Data[[#This Row],[Last Name]])</f>
        <v>Majd Abuhamd</v>
      </c>
      <c r="B299" s="41">
        <f ca="1">DATEDIF(Employees!$F299,TODAY(),"Y")</f>
        <v>6</v>
      </c>
      <c r="C299" s="49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300" spans="1:3" x14ac:dyDescent="0.35">
      <c r="A300" s="36" t="str">
        <f>_xlfn.TEXTJOIN(" ",TRUE,Employees_Data[[#This Row],[First Name]],Employees_Data[[#This Row],[Last Name]])</f>
        <v>Sami Qareush</v>
      </c>
      <c r="B300" s="37">
        <f ca="1">DATEDIF(Employees!$F300,TODAY(),"Y")</f>
        <v>10</v>
      </c>
      <c r="C300" s="48" t="str">
        <f ca="1">IFERROR(IF(Experience_Level[[#This Row],[Years]]&gt;=10,"Senior",IF(AND(Experience_Level[[#This Row],[Years]]&gt;=5,Experience_Level[[#This Row],[Years]]&lt;=9),"Mid-Level","Junior")),"Not Found")</f>
        <v>Senior</v>
      </c>
    </row>
    <row r="301" spans="1:3" x14ac:dyDescent="0.35">
      <c r="A301" s="40" t="str">
        <f>_xlfn.TEXTJOIN(" ",TRUE,Employees_Data[[#This Row],[First Name]],Employees_Data[[#This Row],[Last Name]])</f>
        <v>Rima Jaridiun</v>
      </c>
      <c r="B301" s="41">
        <f ca="1">DATEDIF(Employees!$F301,TODAY(),"Y")</f>
        <v>9</v>
      </c>
      <c r="C301" s="49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302" spans="1:3" x14ac:dyDescent="0.35">
      <c r="A302" s="36" t="str">
        <f>_xlfn.TEXTJOIN(" ",TRUE,Employees_Data[[#This Row],[First Name]],Employees_Data[[#This Row],[Last Name]])</f>
        <v>Iin Alhumwi</v>
      </c>
      <c r="B302" s="37">
        <f ca="1">DATEDIF(Employees!$F302,TODAY(),"Y")</f>
        <v>8</v>
      </c>
      <c r="C302" s="48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303" spans="1:3" x14ac:dyDescent="0.35">
      <c r="A303" s="40" t="str">
        <f>_xlfn.TEXTJOIN(" ",TRUE,Employees_Data[[#This Row],[First Name]],Employees_Data[[#This Row],[Last Name]])</f>
        <v>Akthum Eibdalbaqi</v>
      </c>
      <c r="B303" s="41">
        <f ca="1">DATEDIF(Employees!$F303,TODAY(),"Y")</f>
        <v>6</v>
      </c>
      <c r="C303" s="49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304" spans="1:3" x14ac:dyDescent="0.35">
      <c r="A304" s="36" t="str">
        <f>_xlfn.TEXTJOIN(" ",TRUE,Employees_Data[[#This Row],[First Name]],Employees_Data[[#This Row],[Last Name]])</f>
        <v>Muhamad Almurashihi</v>
      </c>
      <c r="B304" s="37">
        <f ca="1">DATEDIF(Employees!$F304,TODAY(),"Y")</f>
        <v>6</v>
      </c>
      <c r="C304" s="48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305" spans="1:3" x14ac:dyDescent="0.35">
      <c r="A305" s="40" t="str">
        <f>_xlfn.TEXTJOIN(" ",TRUE,Employees_Data[[#This Row],[First Name]],Employees_Data[[#This Row],[Last Name]])</f>
        <v>Batual Abu Fakhar</v>
      </c>
      <c r="B305" s="41">
        <f ca="1">DATEDIF(Employees!$F305,TODAY(),"Y")</f>
        <v>8</v>
      </c>
      <c r="C305" s="49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306" spans="1:3" x14ac:dyDescent="0.35">
      <c r="A306" s="36" t="str">
        <f>_xlfn.TEXTJOIN(" ",TRUE,Employees_Data[[#This Row],[First Name]],Employees_Data[[#This Row],[Last Name]])</f>
        <v>Rinah Alkhuriu</v>
      </c>
      <c r="B306" s="37">
        <f ca="1">DATEDIF(Employees!$F306,TODAY(),"Y")</f>
        <v>8</v>
      </c>
      <c r="C306" s="48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307" spans="1:3" x14ac:dyDescent="0.35">
      <c r="A307" s="40" t="str">
        <f>_xlfn.TEXTJOIN(" ",TRUE,Employees_Data[[#This Row],[First Name]],Employees_Data[[#This Row],[Last Name]])</f>
        <v>Muhamad Alsaqaraq</v>
      </c>
      <c r="B307" s="41">
        <f ca="1">DATEDIF(Employees!$F307,TODAY(),"Y")</f>
        <v>7</v>
      </c>
      <c r="C307" s="49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308" spans="1:3" x14ac:dyDescent="0.35">
      <c r="A308" s="36" t="str">
        <f>_xlfn.TEXTJOIN(" ",TRUE,Employees_Data[[#This Row],[First Name]],Employees_Data[[#This Row],[Last Name]])</f>
        <v>Diea Sharina</v>
      </c>
      <c r="B308" s="37">
        <f ca="1">DATEDIF(Employees!$F308,TODAY(),"Y")</f>
        <v>7</v>
      </c>
      <c r="C308" s="48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309" spans="1:3" x14ac:dyDescent="0.35">
      <c r="A309" s="40" t="str">
        <f>_xlfn.TEXTJOIN(" ",TRUE,Employees_Data[[#This Row],[First Name]],Employees_Data[[#This Row],[Last Name]])</f>
        <v>Jablah Alsulayman</v>
      </c>
      <c r="B309" s="41">
        <f ca="1">DATEDIF(Employees!$F309,TODAY(),"Y")</f>
        <v>7</v>
      </c>
      <c r="C309" s="49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310" spans="1:3" x14ac:dyDescent="0.35">
      <c r="A310" s="36" t="str">
        <f>_xlfn.TEXTJOIN(" ",TRUE,Employees_Data[[#This Row],[First Name]],Employees_Data[[#This Row],[Last Name]])</f>
        <v>Muhamad Almaghribiu</v>
      </c>
      <c r="B310" s="37">
        <f ca="1">DATEDIF(Employees!$F310,TODAY(),"Y")</f>
        <v>9</v>
      </c>
      <c r="C310" s="48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311" spans="1:3" x14ac:dyDescent="0.35">
      <c r="A311" s="40" t="str">
        <f>_xlfn.TEXTJOIN(" ",TRUE,Employees_Data[[#This Row],[First Name]],Employees_Data[[#This Row],[Last Name]])</f>
        <v>Kholoud Khayti</v>
      </c>
      <c r="B311" s="41">
        <f ca="1">DATEDIF(Employees!$F311,TODAY(),"Y")</f>
        <v>6</v>
      </c>
      <c r="C311" s="49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312" spans="1:3" x14ac:dyDescent="0.35">
      <c r="A312" s="36" t="str">
        <f>_xlfn.TEXTJOIN(" ",TRUE,Employees_Data[[#This Row],[First Name]],Employees_Data[[#This Row],[Last Name]])</f>
        <v>Rahaf Jamul</v>
      </c>
      <c r="B312" s="37">
        <f ca="1">DATEDIF(Employees!$F312,TODAY(),"Y")</f>
        <v>9</v>
      </c>
      <c r="C312" s="48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313" spans="1:3" x14ac:dyDescent="0.35">
      <c r="A313" s="40" t="str">
        <f>_xlfn.TEXTJOIN(" ",TRUE,Employees_Data[[#This Row],[First Name]],Employees_Data[[#This Row],[Last Name]])</f>
        <v>Faras Alrahil</v>
      </c>
      <c r="B313" s="41">
        <f ca="1">DATEDIF(Employees!$F313,TODAY(),"Y")</f>
        <v>8</v>
      </c>
      <c r="C313" s="49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314" spans="1:3" x14ac:dyDescent="0.35">
      <c r="A314" s="36" t="str">
        <f>_xlfn.TEXTJOIN(" ",TRUE,Employees_Data[[#This Row],[First Name]],Employees_Data[[#This Row],[Last Name]])</f>
        <v>Abd Alrazzaq Gharah</v>
      </c>
      <c r="B314" s="37">
        <f ca="1">DATEDIF(Employees!$F314,TODAY(),"Y")</f>
        <v>5</v>
      </c>
      <c r="C314" s="48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315" spans="1:3" x14ac:dyDescent="0.35">
      <c r="A315" s="40" t="str">
        <f>_xlfn.TEXTJOIN(" ",TRUE,Employees_Data[[#This Row],[First Name]],Employees_Data[[#This Row],[Last Name]])</f>
        <v>Alaa Saed</v>
      </c>
      <c r="B315" s="41">
        <f ca="1">DATEDIF(Employees!$F315,TODAY(),"Y")</f>
        <v>6</v>
      </c>
      <c r="C315" s="49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316" spans="1:3" x14ac:dyDescent="0.35">
      <c r="A316" s="36" t="str">
        <f>_xlfn.TEXTJOIN(" ",TRUE,Employees_Data[[#This Row],[First Name]],Employees_Data[[#This Row],[Last Name]])</f>
        <v>Lylas Shiah</v>
      </c>
      <c r="B316" s="37">
        <f ca="1">DATEDIF(Employees!$F316,TODAY(),"Y")</f>
        <v>7</v>
      </c>
      <c r="C316" s="48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317" spans="1:3" x14ac:dyDescent="0.35">
      <c r="A317" s="40" t="str">
        <f>_xlfn.TEXTJOIN(" ",TRUE,Employees_Data[[#This Row],[First Name]],Employees_Data[[#This Row],[Last Name]])</f>
        <v>Kinda Alaqre</v>
      </c>
      <c r="B317" s="41">
        <f ca="1">DATEDIF(Employees!$F317,TODAY(),"Y")</f>
        <v>9</v>
      </c>
      <c r="C317" s="49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318" spans="1:3" x14ac:dyDescent="0.35">
      <c r="A318" s="36" t="str">
        <f>_xlfn.TEXTJOIN(" ",TRUE,Employees_Data[[#This Row],[First Name]],Employees_Data[[#This Row],[Last Name]])</f>
        <v>Muhamad Almisri</v>
      </c>
      <c r="B318" s="37">
        <f ca="1">DATEDIF(Employees!$F318,TODAY(),"Y")</f>
        <v>6</v>
      </c>
      <c r="C318" s="48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319" spans="1:3" x14ac:dyDescent="0.35">
      <c r="A319" s="40" t="str">
        <f>_xlfn.TEXTJOIN(" ",TRUE,Employees_Data[[#This Row],[First Name]],Employees_Data[[#This Row],[Last Name]])</f>
        <v>Dinana Zaydan</v>
      </c>
      <c r="B319" s="41">
        <f ca="1">DATEDIF(Employees!$F319,TODAY(),"Y")</f>
        <v>8</v>
      </c>
      <c r="C319" s="49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320" spans="1:3" x14ac:dyDescent="0.35">
      <c r="A320" s="36" t="str">
        <f>_xlfn.TEXTJOIN(" ",TRUE,Employees_Data[[#This Row],[First Name]],Employees_Data[[#This Row],[Last Name]])</f>
        <v>Amyrah Mudinih</v>
      </c>
      <c r="B320" s="37">
        <f ca="1">DATEDIF(Employees!$F320,TODAY(),"Y")</f>
        <v>7</v>
      </c>
      <c r="C320" s="48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321" spans="1:3" x14ac:dyDescent="0.35">
      <c r="A321" s="40" t="str">
        <f>_xlfn.TEXTJOIN(" ",TRUE,Employees_Data[[#This Row],[First Name]],Employees_Data[[#This Row],[Last Name]])</f>
        <v>Safa AlAhmar</v>
      </c>
      <c r="B321" s="41">
        <f ca="1">DATEDIF(Employees!$F321,TODAY(),"Y")</f>
        <v>8</v>
      </c>
      <c r="C321" s="49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322" spans="1:3" x14ac:dyDescent="0.35">
      <c r="A322" s="36" t="str">
        <f>_xlfn.TEXTJOIN(" ",TRUE,Employees_Data[[#This Row],[First Name]],Employees_Data[[#This Row],[Last Name]])</f>
        <v>Ahmad Eurman</v>
      </c>
      <c r="B322" s="37">
        <f ca="1">DATEDIF(Employees!$F322,TODAY(),"Y")</f>
        <v>10</v>
      </c>
      <c r="C322" s="48" t="str">
        <f ca="1">IFERROR(IF(Experience_Level[[#This Row],[Years]]&gt;=10,"Senior",IF(AND(Experience_Level[[#This Row],[Years]]&gt;=5,Experience_Level[[#This Row],[Years]]&lt;=9),"Mid-Level","Junior")),"Not Found")</f>
        <v>Senior</v>
      </c>
    </row>
    <row r="323" spans="1:3" x14ac:dyDescent="0.35">
      <c r="A323" s="40" t="str">
        <f>_xlfn.TEXTJOIN(" ",TRUE,Employees_Data[[#This Row],[First Name]],Employees_Data[[#This Row],[Last Name]])</f>
        <v>Abd Allah Almawsiliu</v>
      </c>
      <c r="B323" s="41">
        <f ca="1">DATEDIF(Employees!$F323,TODAY(),"Y")</f>
        <v>8</v>
      </c>
      <c r="C323" s="49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324" spans="1:3" x14ac:dyDescent="0.35">
      <c r="A324" s="36" t="str">
        <f>_xlfn.TEXTJOIN(" ",TRUE,Employees_Data[[#This Row],[First Name]],Employees_Data[[#This Row],[Last Name]])</f>
        <v>Majd Eisaa</v>
      </c>
      <c r="B324" s="37">
        <f ca="1">DATEDIF(Employees!$F324,TODAY(),"Y")</f>
        <v>6</v>
      </c>
      <c r="C324" s="48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325" spans="1:3" x14ac:dyDescent="0.35">
      <c r="A325" s="40" t="str">
        <f>_xlfn.TEXTJOIN(" ",TRUE,Employees_Data[[#This Row],[First Name]],Employees_Data[[#This Row],[Last Name]])</f>
        <v>Muhamad Salhany</v>
      </c>
      <c r="B325" s="41">
        <f ca="1">DATEDIF(Employees!$F325,TODAY(),"Y")</f>
        <v>5</v>
      </c>
      <c r="C325" s="49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326" spans="1:3" x14ac:dyDescent="0.35">
      <c r="A326" s="36" t="str">
        <f>_xlfn.TEXTJOIN(" ",TRUE,Employees_Data[[#This Row],[First Name]],Employees_Data[[#This Row],[Last Name]])</f>
        <v>Ashraf Aleid</v>
      </c>
      <c r="B326" s="37">
        <f ca="1">DATEDIF(Employees!$F326,TODAY(),"Y")</f>
        <v>8</v>
      </c>
      <c r="C326" s="48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327" spans="1:3" x14ac:dyDescent="0.35">
      <c r="A327" s="40" t="str">
        <f>_xlfn.TEXTJOIN(" ",TRUE,Employees_Data[[#This Row],[First Name]],Employees_Data[[#This Row],[Last Name]])</f>
        <v>Muhamad Shadi Alghazy</v>
      </c>
      <c r="B327" s="41">
        <f ca="1">DATEDIF(Employees!$F327,TODAY(),"Y")</f>
        <v>8</v>
      </c>
      <c r="C327" s="49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328" spans="1:3" x14ac:dyDescent="0.35">
      <c r="A328" s="36" t="str">
        <f>_xlfn.TEXTJOIN(" ",TRUE,Employees_Data[[#This Row],[First Name]],Employees_Data[[#This Row],[Last Name]])</f>
        <v>Muhamad Husayn</v>
      </c>
      <c r="B328" s="37">
        <f ca="1">DATEDIF(Employees!$F328,TODAY(),"Y")</f>
        <v>7</v>
      </c>
      <c r="C328" s="48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329" spans="1:3" x14ac:dyDescent="0.35">
      <c r="A329" s="40" t="str">
        <f>_xlfn.TEXTJOIN(" ",TRUE,Employees_Data[[#This Row],[First Name]],Employees_Data[[#This Row],[Last Name]])</f>
        <v>Mazin Bytar</v>
      </c>
      <c r="B329" s="41">
        <f ca="1">DATEDIF(Employees!$F329,TODAY(),"Y")</f>
        <v>7</v>
      </c>
      <c r="C329" s="49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330" spans="1:3" x14ac:dyDescent="0.35">
      <c r="A330" s="36" t="str">
        <f>_xlfn.TEXTJOIN(" ",TRUE,Employees_Data[[#This Row],[First Name]],Employees_Data[[#This Row],[Last Name]])</f>
        <v>Iin Farahat</v>
      </c>
      <c r="B330" s="37">
        <f ca="1">DATEDIF(Employees!$F330,TODAY(),"Y")</f>
        <v>7</v>
      </c>
      <c r="C330" s="48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331" spans="1:3" x14ac:dyDescent="0.35">
      <c r="A331" s="40" t="str">
        <f>_xlfn.TEXTJOIN(" ",TRUE,Employees_Data[[#This Row],[First Name]],Employees_Data[[#This Row],[Last Name]])</f>
        <v>Lama Albazir</v>
      </c>
      <c r="B331" s="41">
        <f ca="1">DATEDIF(Employees!$F331,TODAY(),"Y")</f>
        <v>8</v>
      </c>
      <c r="C331" s="49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332" spans="1:3" x14ac:dyDescent="0.35">
      <c r="A332" s="36" t="str">
        <f>_xlfn.TEXTJOIN(" ",TRUE,Employees_Data[[#This Row],[First Name]],Employees_Data[[#This Row],[Last Name]])</f>
        <v>Emar Alnisrin</v>
      </c>
      <c r="B332" s="37">
        <f ca="1">DATEDIF(Employees!$F332,TODAY(),"Y")</f>
        <v>7</v>
      </c>
      <c r="C332" s="48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333" spans="1:3" x14ac:dyDescent="0.35">
      <c r="A333" s="40" t="str">
        <f>_xlfn.TEXTJOIN(" ",TRUE,Employees_Data[[#This Row],[First Name]],Employees_Data[[#This Row],[Last Name]])</f>
        <v>Afra Sharabi</v>
      </c>
      <c r="B333" s="41">
        <f ca="1">DATEDIF(Employees!$F333,TODAY(),"Y")</f>
        <v>8</v>
      </c>
      <c r="C333" s="49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334" spans="1:3" x14ac:dyDescent="0.35">
      <c r="A334" s="36" t="str">
        <f>_xlfn.TEXTJOIN(" ",TRUE,Employees_Data[[#This Row],[First Name]],Employees_Data[[#This Row],[Last Name]])</f>
        <v>Ahmad Hamuwd</v>
      </c>
      <c r="B334" s="37">
        <f ca="1">DATEDIF(Employees!$F334,TODAY(),"Y")</f>
        <v>6</v>
      </c>
      <c r="C334" s="48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335" spans="1:3" x14ac:dyDescent="0.35">
      <c r="A335" s="40" t="str">
        <f>_xlfn.TEXTJOIN(" ",TRUE,Employees_Data[[#This Row],[First Name]],Employees_Data[[#This Row],[Last Name]])</f>
        <v>Ramiz Aleuryan</v>
      </c>
      <c r="B335" s="41">
        <f ca="1">DATEDIF(Employees!$F335,TODAY(),"Y")</f>
        <v>8</v>
      </c>
      <c r="C335" s="49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336" spans="1:3" x14ac:dyDescent="0.35">
      <c r="A336" s="36" t="str">
        <f>_xlfn.TEXTJOIN(" ",TRUE,Employees_Data[[#This Row],[First Name]],Employees_Data[[#This Row],[Last Name]])</f>
        <v>Iad Eaku</v>
      </c>
      <c r="B336" s="37">
        <f ca="1">DATEDIF(Employees!$F336,TODAY(),"Y")</f>
        <v>8</v>
      </c>
      <c r="C336" s="48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337" spans="1:3" x14ac:dyDescent="0.35">
      <c r="A337" s="40" t="str">
        <f>_xlfn.TEXTJOIN(" ",TRUE,Employees_Data[[#This Row],[First Name]],Employees_Data[[#This Row],[Last Name]])</f>
        <v>Husayn Euthman</v>
      </c>
      <c r="B337" s="41">
        <f ca="1">DATEDIF(Employees!$F337,TODAY(),"Y")</f>
        <v>6</v>
      </c>
      <c r="C337" s="49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338" spans="1:3" x14ac:dyDescent="0.35">
      <c r="A338" s="36" t="str">
        <f>_xlfn.TEXTJOIN(" ",TRUE,Employees_Data[[#This Row],[First Name]],Employees_Data[[#This Row],[Last Name]])</f>
        <v>Imran Hazruma</v>
      </c>
      <c r="B338" s="37">
        <f ca="1">DATEDIF(Employees!$F338,TODAY(),"Y")</f>
        <v>7</v>
      </c>
      <c r="C338" s="48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339" spans="1:3" x14ac:dyDescent="0.35">
      <c r="A339" s="40" t="str">
        <f>_xlfn.TEXTJOIN(" ",TRUE,Employees_Data[[#This Row],[First Name]],Employees_Data[[#This Row],[Last Name]])</f>
        <v>Rawan Durkzili</v>
      </c>
      <c r="B339" s="41">
        <f ca="1">DATEDIF(Employees!$F339,TODAY(),"Y")</f>
        <v>7</v>
      </c>
      <c r="C339" s="49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340" spans="1:3" x14ac:dyDescent="0.35">
      <c r="A340" s="36" t="str">
        <f>_xlfn.TEXTJOIN(" ",TRUE,Employees_Data[[#This Row],[First Name]],Employees_Data[[#This Row],[Last Name]])</f>
        <v>Muayid Shaqir</v>
      </c>
      <c r="B340" s="37">
        <f ca="1">DATEDIF(Employees!$F340,TODAY(),"Y")</f>
        <v>9</v>
      </c>
      <c r="C340" s="48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341" spans="1:3" x14ac:dyDescent="0.35">
      <c r="A341" s="40" t="str">
        <f>_xlfn.TEXTJOIN(" ",TRUE,Employees_Data[[#This Row],[First Name]],Employees_Data[[#This Row],[Last Name]])</f>
        <v>Muanis Alsabagh</v>
      </c>
      <c r="B341" s="41">
        <f ca="1">DATEDIF(Employees!$F341,TODAY(),"Y")</f>
        <v>7</v>
      </c>
      <c r="C341" s="49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342" spans="1:3" x14ac:dyDescent="0.35">
      <c r="A342" s="36" t="str">
        <f>_xlfn.TEXTJOIN(" ",TRUE,Employees_Data[[#This Row],[First Name]],Employees_Data[[#This Row],[Last Name]])</f>
        <v>Dijwar Husu</v>
      </c>
      <c r="B342" s="37">
        <f ca="1">DATEDIF(Employees!$F342,TODAY(),"Y")</f>
        <v>5</v>
      </c>
      <c r="C342" s="48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343" spans="1:3" x14ac:dyDescent="0.35">
      <c r="A343" s="40" t="str">
        <f>_xlfn.TEXTJOIN(" ",TRUE,Employees_Data[[#This Row],[First Name]],Employees_Data[[#This Row],[Last Name]])</f>
        <v>Asama Eilwan</v>
      </c>
      <c r="B343" s="41">
        <f ca="1">DATEDIF(Employees!$F343,TODAY(),"Y")</f>
        <v>9</v>
      </c>
      <c r="C343" s="49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344" spans="1:3" x14ac:dyDescent="0.35">
      <c r="A344" s="36" t="str">
        <f>_xlfn.TEXTJOIN(" ",TRUE,Employees_Data[[#This Row],[First Name]],Employees_Data[[#This Row],[Last Name]])</f>
        <v>Esamat Alhidad</v>
      </c>
      <c r="B344" s="37">
        <f ca="1">DATEDIF(Employees!$F344,TODAY(),"Y")</f>
        <v>6</v>
      </c>
      <c r="C344" s="48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345" spans="1:3" x14ac:dyDescent="0.35">
      <c r="A345" s="40" t="str">
        <f>_xlfn.TEXTJOIN(" ",TRUE,Employees_Data[[#This Row],[First Name]],Employees_Data[[#This Row],[Last Name]])</f>
        <v>Tariq Zaeur</v>
      </c>
      <c r="B345" s="41">
        <f ca="1">DATEDIF(Employees!$F345,TODAY(),"Y")</f>
        <v>8</v>
      </c>
      <c r="C345" s="49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346" spans="1:3" x14ac:dyDescent="0.35">
      <c r="A346" s="36" t="str">
        <f>_xlfn.TEXTJOIN(" ",TRUE,Employees_Data[[#This Row],[First Name]],Employees_Data[[#This Row],[Last Name]])</f>
        <v>Rasul Aleumurii</v>
      </c>
      <c r="B346" s="37">
        <f ca="1">DATEDIF(Employees!$F346,TODAY(),"Y")</f>
        <v>10</v>
      </c>
      <c r="C346" s="48" t="str">
        <f ca="1">IFERROR(IF(Experience_Level[[#This Row],[Years]]&gt;=10,"Senior",IF(AND(Experience_Level[[#This Row],[Years]]&gt;=5,Experience_Level[[#This Row],[Years]]&lt;=9),"Mid-Level","Junior")),"Not Found")</f>
        <v>Senior</v>
      </c>
    </row>
    <row r="347" spans="1:3" x14ac:dyDescent="0.35">
      <c r="A347" s="40" t="str">
        <f>_xlfn.TEXTJOIN(" ",TRUE,Employees_Data[[#This Row],[First Name]],Employees_Data[[#This Row],[Last Name]])</f>
        <v>Rawan Albaytar</v>
      </c>
      <c r="B347" s="41">
        <f ca="1">DATEDIF(Employees!$F347,TODAY(),"Y")</f>
        <v>7</v>
      </c>
      <c r="C347" s="49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348" spans="1:3" x14ac:dyDescent="0.35">
      <c r="A348" s="36" t="str">
        <f>_xlfn.TEXTJOIN(" ",TRUE,Employees_Data[[#This Row],[First Name]],Employees_Data[[#This Row],[Last Name]])</f>
        <v>Omar Altuean</v>
      </c>
      <c r="B348" s="37">
        <f ca="1">DATEDIF(Employees!$F348,TODAY(),"Y")</f>
        <v>7</v>
      </c>
      <c r="C348" s="48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349" spans="1:3" x14ac:dyDescent="0.35">
      <c r="A349" s="40" t="str">
        <f>_xlfn.TEXTJOIN(" ",TRUE,Employees_Data[[#This Row],[First Name]],Employees_Data[[#This Row],[Last Name]])</f>
        <v>Dalia Hamdan</v>
      </c>
      <c r="B349" s="41">
        <f ca="1">DATEDIF(Employees!$F349,TODAY(),"Y")</f>
        <v>7</v>
      </c>
      <c r="C349" s="49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350" spans="1:3" x14ac:dyDescent="0.35">
      <c r="A350" s="36" t="str">
        <f>_xlfn.TEXTJOIN(" ",TRUE,Employees_Data[[#This Row],[First Name]],Employees_Data[[#This Row],[Last Name]])</f>
        <v>Omar Alhindi</v>
      </c>
      <c r="B350" s="37">
        <f ca="1">DATEDIF(Employees!$F350,TODAY(),"Y")</f>
        <v>7</v>
      </c>
      <c r="C350" s="48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351" spans="1:3" x14ac:dyDescent="0.35">
      <c r="A351" s="40" t="str">
        <f>_xlfn.TEXTJOIN(" ",TRUE,Employees_Data[[#This Row],[First Name]],Employees_Data[[#This Row],[Last Name]])</f>
        <v>Ali Zyny</v>
      </c>
      <c r="B351" s="41">
        <f ca="1">DATEDIF(Employees!$F351,TODAY(),"Y")</f>
        <v>6</v>
      </c>
      <c r="C351" s="49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352" spans="1:3" x14ac:dyDescent="0.35">
      <c r="A352" s="36" t="str">
        <f>_xlfn.TEXTJOIN(" ",TRUE,Employees_Data[[#This Row],[First Name]],Employees_Data[[#This Row],[Last Name]])</f>
        <v>Almuetaz Biallah</v>
      </c>
      <c r="B352" s="37">
        <f ca="1">DATEDIF(Employees!$F352,TODAY(),"Y")</f>
        <v>6</v>
      </c>
      <c r="C352" s="48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353" spans="1:3" x14ac:dyDescent="0.35">
      <c r="A353" s="40" t="str">
        <f>_xlfn.TEXTJOIN(" ",TRUE,Employees_Data[[#This Row],[First Name]],Employees_Data[[#This Row],[Last Name]])</f>
        <v>Rabana Alsaman</v>
      </c>
      <c r="B353" s="41">
        <f ca="1">DATEDIF(Employees!$F353,TODAY(),"Y")</f>
        <v>9</v>
      </c>
      <c r="C353" s="49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354" spans="1:3" x14ac:dyDescent="0.35">
      <c r="A354" s="36" t="str">
        <f>_xlfn.TEXTJOIN(" ",TRUE,Employees_Data[[#This Row],[First Name]],Employees_Data[[#This Row],[Last Name]])</f>
        <v>Ghada Khalid</v>
      </c>
      <c r="B354" s="37">
        <f ca="1">DATEDIF(Employees!$F354,TODAY(),"Y")</f>
        <v>7</v>
      </c>
      <c r="C354" s="48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355" spans="1:3" x14ac:dyDescent="0.35">
      <c r="A355" s="40" t="str">
        <f>_xlfn.TEXTJOIN(" ",TRUE,Employees_Data[[#This Row],[First Name]],Employees_Data[[#This Row],[Last Name]])</f>
        <v>Esamat Alriys</v>
      </c>
      <c r="B355" s="41">
        <f ca="1">DATEDIF(Employees!$F355,TODAY(),"Y")</f>
        <v>5</v>
      </c>
      <c r="C355" s="49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356" spans="1:3" x14ac:dyDescent="0.35">
      <c r="A356" s="36" t="str">
        <f>_xlfn.TEXTJOIN(" ",TRUE,Employees_Data[[#This Row],[First Name]],Employees_Data[[#This Row],[Last Name]])</f>
        <v>Amir Alkhatib</v>
      </c>
      <c r="B356" s="37">
        <f ca="1">DATEDIF(Employees!$F356,TODAY(),"Y")</f>
        <v>9</v>
      </c>
      <c r="C356" s="48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357" spans="1:3" x14ac:dyDescent="0.35">
      <c r="A357" s="40" t="str">
        <f>_xlfn.TEXTJOIN(" ",TRUE,Employees_Data[[#This Row],[First Name]],Employees_Data[[#This Row],[Last Name]])</f>
        <v>Samirah Jumea</v>
      </c>
      <c r="B357" s="41">
        <f ca="1">DATEDIF(Employees!$F357,TODAY(),"Y")</f>
        <v>7</v>
      </c>
      <c r="C357" s="49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358" spans="1:3" x14ac:dyDescent="0.35">
      <c r="A358" s="36" t="str">
        <f>_xlfn.TEXTJOIN(" ",TRUE,Employees_Data[[#This Row],[First Name]],Employees_Data[[#This Row],[Last Name]])</f>
        <v>Samir Alhaj Ali</v>
      </c>
      <c r="B358" s="37">
        <f ca="1">DATEDIF(Employees!$F358,TODAY(),"Y")</f>
        <v>10</v>
      </c>
      <c r="C358" s="48" t="str">
        <f ca="1">IFERROR(IF(Experience_Level[[#This Row],[Years]]&gt;=10,"Senior",IF(AND(Experience_Level[[#This Row],[Years]]&gt;=5,Experience_Level[[#This Row],[Years]]&lt;=9),"Mid-Level","Junior")),"Not Found")</f>
        <v>Senior</v>
      </c>
    </row>
    <row r="359" spans="1:3" x14ac:dyDescent="0.35">
      <c r="A359" s="40" t="str">
        <f>_xlfn.TEXTJOIN(" ",TRUE,Employees_Data[[#This Row],[First Name]],Employees_Data[[#This Row],[Last Name]])</f>
        <v>Farial Qulumih</v>
      </c>
      <c r="B359" s="41">
        <f ca="1">DATEDIF(Employees!$F359,TODAY(),"Y")</f>
        <v>9</v>
      </c>
      <c r="C359" s="49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360" spans="1:3" x14ac:dyDescent="0.35">
      <c r="A360" s="36" t="str">
        <f>_xlfn.TEXTJOIN(" ",TRUE,Employees_Data[[#This Row],[First Name]],Employees_Data[[#This Row],[Last Name]])</f>
        <v>Salih Dawara</v>
      </c>
      <c r="B360" s="37">
        <f ca="1">DATEDIF(Employees!$F360,TODAY(),"Y")</f>
        <v>6</v>
      </c>
      <c r="C360" s="48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361" spans="1:3" x14ac:dyDescent="0.35">
      <c r="A361" s="40" t="str">
        <f>_xlfn.TEXTJOIN(" ",TRUE,Employees_Data[[#This Row],[First Name]],Employees_Data[[#This Row],[Last Name]])</f>
        <v>Abdalhadi Salim</v>
      </c>
      <c r="B361" s="41">
        <f ca="1">DATEDIF(Employees!$F361,TODAY(),"Y")</f>
        <v>7</v>
      </c>
      <c r="C361" s="49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362" spans="1:3" x14ac:dyDescent="0.35">
      <c r="A362" s="36" t="str">
        <f>_xlfn.TEXTJOIN(" ",TRUE,Employees_Data[[#This Row],[First Name]],Employees_Data[[#This Row],[Last Name]])</f>
        <v>Ruaa Qahraman</v>
      </c>
      <c r="B362" s="37">
        <f ca="1">DATEDIF(Employees!$F362,TODAY(),"Y")</f>
        <v>8</v>
      </c>
      <c r="C362" s="48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363" spans="1:3" x14ac:dyDescent="0.35">
      <c r="A363" s="40" t="str">
        <f>_xlfn.TEXTJOIN(" ",TRUE,Employees_Data[[#This Row],[First Name]],Employees_Data[[#This Row],[Last Name]])</f>
        <v>Muhamad Mshati</v>
      </c>
      <c r="B363" s="41">
        <f ca="1">DATEDIF(Employees!$F363,TODAY(),"Y")</f>
        <v>7</v>
      </c>
      <c r="C363" s="49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364" spans="1:3" x14ac:dyDescent="0.35">
      <c r="A364" s="36" t="str">
        <f>_xlfn.TEXTJOIN(" ",TRUE,Employees_Data[[#This Row],[First Name]],Employees_Data[[#This Row],[Last Name]])</f>
        <v>Shadi Altibae</v>
      </c>
      <c r="B364" s="37">
        <f ca="1">DATEDIF(Employees!$F364,TODAY(),"Y")</f>
        <v>7</v>
      </c>
      <c r="C364" s="48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365" spans="1:3" x14ac:dyDescent="0.35">
      <c r="A365" s="40" t="str">
        <f>_xlfn.TEXTJOIN(" ",TRUE,Employees_Data[[#This Row],[First Name]],Employees_Data[[#This Row],[Last Name]])</f>
        <v>Ahmad Iidlibi</v>
      </c>
      <c r="B365" s="41">
        <f ca="1">DATEDIF(Employees!$F365,TODAY(),"Y")</f>
        <v>7</v>
      </c>
      <c r="C365" s="49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366" spans="1:3" x14ac:dyDescent="0.35">
      <c r="A366" s="36" t="str">
        <f>_xlfn.TEXTJOIN(" ",TRUE,Employees_Data[[#This Row],[First Name]],Employees_Data[[#This Row],[Last Name]])</f>
        <v>Fadi Ghazzawi</v>
      </c>
      <c r="B366" s="37">
        <f ca="1">DATEDIF(Employees!$F366,TODAY(),"Y")</f>
        <v>7</v>
      </c>
      <c r="C366" s="48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367" spans="1:3" x14ac:dyDescent="0.35">
      <c r="A367" s="40" t="str">
        <f>_xlfn.TEXTJOIN(" ",TRUE,Employees_Data[[#This Row],[First Name]],Employees_Data[[#This Row],[Last Name]])</f>
        <v>Basil Eabd Aleal</v>
      </c>
      <c r="B367" s="41">
        <f ca="1">DATEDIF(Employees!$F367,TODAY(),"Y")</f>
        <v>5</v>
      </c>
      <c r="C367" s="49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368" spans="1:3" x14ac:dyDescent="0.35">
      <c r="A368" s="36" t="str">
        <f>_xlfn.TEXTJOIN(" ",TRUE,Employees_Data[[#This Row],[First Name]],Employees_Data[[#This Row],[Last Name]])</f>
        <v>Sali Musuh</v>
      </c>
      <c r="B368" s="37">
        <f ca="1">DATEDIF(Employees!$F368,TODAY(),"Y")</f>
        <v>6</v>
      </c>
      <c r="C368" s="48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369" spans="1:3" x14ac:dyDescent="0.35">
      <c r="A369" s="40" t="str">
        <f>_xlfn.TEXTJOIN(" ",TRUE,Employees_Data[[#This Row],[First Name]],Employees_Data[[#This Row],[Last Name]])</f>
        <v>Alaa Iismaeil</v>
      </c>
      <c r="B369" s="41">
        <f ca="1">DATEDIF(Employees!$F369,TODAY(),"Y")</f>
        <v>5</v>
      </c>
      <c r="C369" s="49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370" spans="1:3" x14ac:dyDescent="0.35">
      <c r="A370" s="36" t="str">
        <f>_xlfn.TEXTJOIN(" ",TRUE,Employees_Data[[#This Row],[First Name]],Employees_Data[[#This Row],[Last Name]])</f>
        <v>Maria Alhizae</v>
      </c>
      <c r="B370" s="37">
        <f ca="1">DATEDIF(Employees!$F370,TODAY(),"Y")</f>
        <v>6</v>
      </c>
      <c r="C370" s="48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371" spans="1:3" x14ac:dyDescent="0.35">
      <c r="A371" s="40" t="str">
        <f>_xlfn.TEXTJOIN(" ",TRUE,Employees_Data[[#This Row],[First Name]],Employees_Data[[#This Row],[Last Name]])</f>
        <v>Ghazal Alghan</v>
      </c>
      <c r="B371" s="41">
        <f ca="1">DATEDIF(Employees!$F371,TODAY(),"Y")</f>
        <v>8</v>
      </c>
      <c r="C371" s="49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372" spans="1:3" x14ac:dyDescent="0.35">
      <c r="A372" s="36" t="str">
        <f>_xlfn.TEXTJOIN(" ",TRUE,Employees_Data[[#This Row],[First Name]],Employees_Data[[#This Row],[Last Name]])</f>
        <v>Eala Mitri</v>
      </c>
      <c r="B372" s="37">
        <f ca="1">DATEDIF(Employees!$F372,TODAY(),"Y")</f>
        <v>7</v>
      </c>
      <c r="C372" s="48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373" spans="1:3" x14ac:dyDescent="0.35">
      <c r="A373" s="40" t="str">
        <f>_xlfn.TEXTJOIN(" ",TRUE,Employees_Data[[#This Row],[First Name]],Employees_Data[[#This Row],[Last Name]])</f>
        <v>Muhamad Aleliwi</v>
      </c>
      <c r="B373" s="41">
        <f ca="1">DATEDIF(Employees!$F373,TODAY(),"Y")</f>
        <v>6</v>
      </c>
      <c r="C373" s="49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374" spans="1:3" x14ac:dyDescent="0.35">
      <c r="A374" s="36" t="str">
        <f>_xlfn.TEXTJOIN(" ",TRUE,Employees_Data[[#This Row],[First Name]],Employees_Data[[#This Row],[Last Name]])</f>
        <v>Ahmad Almisri</v>
      </c>
      <c r="B374" s="37">
        <f ca="1">DATEDIF(Employees!$F374,TODAY(),"Y")</f>
        <v>7</v>
      </c>
      <c r="C374" s="48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375" spans="1:3" x14ac:dyDescent="0.35">
      <c r="A375" s="40" t="str">
        <f>_xlfn.TEXTJOIN(" ",TRUE,Employees_Data[[#This Row],[First Name]],Employees_Data[[#This Row],[Last Name]])</f>
        <v>Ahmad Aldwltali</v>
      </c>
      <c r="B375" s="41">
        <f ca="1">DATEDIF(Employees!$F375,TODAY(),"Y")</f>
        <v>6</v>
      </c>
      <c r="C375" s="49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376" spans="1:3" x14ac:dyDescent="0.35">
      <c r="A376" s="36" t="str">
        <f>_xlfn.TEXTJOIN(" ",TRUE,Employees_Data[[#This Row],[First Name]],Employees_Data[[#This Row],[Last Name]])</f>
        <v>Muhamad Udib</v>
      </c>
      <c r="B376" s="37">
        <f ca="1">DATEDIF(Employees!$F376,TODAY(),"Y")</f>
        <v>7</v>
      </c>
      <c r="C376" s="48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377" spans="1:3" x14ac:dyDescent="0.35">
      <c r="A377" s="40" t="str">
        <f>_xlfn.TEXTJOIN(" ",TRUE,Employees_Data[[#This Row],[First Name]],Employees_Data[[#This Row],[Last Name]])</f>
        <v>Alaa Yuzbik</v>
      </c>
      <c r="B377" s="41">
        <f ca="1">DATEDIF(Employees!$F377,TODAY(),"Y")</f>
        <v>8</v>
      </c>
      <c r="C377" s="49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378" spans="1:3" x14ac:dyDescent="0.35">
      <c r="A378" s="36" t="str">
        <f>_xlfn.TEXTJOIN(" ",TRUE,Employees_Data[[#This Row],[First Name]],Employees_Data[[#This Row],[Last Name]])</f>
        <v>Husayn Zaerur</v>
      </c>
      <c r="B378" s="37">
        <f ca="1">DATEDIF(Employees!$F378,TODAY(),"Y")</f>
        <v>6</v>
      </c>
      <c r="C378" s="48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379" spans="1:3" x14ac:dyDescent="0.35">
      <c r="A379" s="40" t="str">
        <f>_xlfn.TEXTJOIN(" ",TRUE,Employees_Data[[#This Row],[First Name]],Employees_Data[[#This Row],[Last Name]])</f>
        <v>Saeid Mazlum</v>
      </c>
      <c r="B379" s="41">
        <f ca="1">DATEDIF(Employees!$F379,TODAY(),"Y")</f>
        <v>7</v>
      </c>
      <c r="C379" s="49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380" spans="1:3" x14ac:dyDescent="0.35">
      <c r="A380" s="36" t="str">
        <f>_xlfn.TEXTJOIN(" ",TRUE,Employees_Data[[#This Row],[First Name]],Employees_Data[[#This Row],[Last Name]])</f>
        <v>Ahmad Alghurani</v>
      </c>
      <c r="B380" s="37">
        <f ca="1">DATEDIF(Employees!$F380,TODAY(),"Y")</f>
        <v>6</v>
      </c>
      <c r="C380" s="48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381" spans="1:3" x14ac:dyDescent="0.35">
      <c r="A381" s="40" t="str">
        <f>_xlfn.TEXTJOIN(" ",TRUE,Employees_Data[[#This Row],[First Name]],Employees_Data[[#This Row],[Last Name]])</f>
        <v>Abd Alsamad Ahmad</v>
      </c>
      <c r="B381" s="41">
        <f ca="1">DATEDIF(Employees!$F381,TODAY(),"Y")</f>
        <v>9</v>
      </c>
      <c r="C381" s="49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382" spans="1:3" x14ac:dyDescent="0.35">
      <c r="A382" s="36" t="str">
        <f>_xlfn.TEXTJOIN(" ",TRUE,Employees_Data[[#This Row],[First Name]],Employees_Data[[#This Row],[Last Name]])</f>
        <v>Amir Alhasan</v>
      </c>
      <c r="B382" s="37">
        <f ca="1">DATEDIF(Employees!$F382,TODAY(),"Y")</f>
        <v>7</v>
      </c>
      <c r="C382" s="48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383" spans="1:3" x14ac:dyDescent="0.35">
      <c r="A383" s="40" t="str">
        <f>_xlfn.TEXTJOIN(" ",TRUE,Employees_Data[[#This Row],[First Name]],Employees_Data[[#This Row],[Last Name]])</f>
        <v>Alaa Altahhan</v>
      </c>
      <c r="B383" s="41">
        <f ca="1">DATEDIF(Employees!$F383,TODAY(),"Y")</f>
        <v>7</v>
      </c>
      <c r="C383" s="49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384" spans="1:3" x14ac:dyDescent="0.35">
      <c r="A384" s="36" t="str">
        <f>_xlfn.TEXTJOIN(" ",TRUE,Employees_Data[[#This Row],[First Name]],Employees_Data[[#This Row],[Last Name]])</f>
        <v>Iad Mahfud</v>
      </c>
      <c r="B384" s="37">
        <f ca="1">DATEDIF(Employees!$F384,TODAY(),"Y")</f>
        <v>9</v>
      </c>
      <c r="C384" s="48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385" spans="1:3" x14ac:dyDescent="0.35">
      <c r="A385" s="40" t="str">
        <f>_xlfn.TEXTJOIN(" ",TRUE,Employees_Data[[#This Row],[First Name]],Employees_Data[[#This Row],[Last Name]])</f>
        <v>Sarah Damrani</v>
      </c>
      <c r="B385" s="41">
        <f ca="1">DATEDIF(Employees!$F385,TODAY(),"Y")</f>
        <v>6</v>
      </c>
      <c r="C385" s="49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386" spans="1:3" x14ac:dyDescent="0.35">
      <c r="A386" s="36" t="str">
        <f>_xlfn.TEXTJOIN(" ",TRUE,Employees_Data[[#This Row],[First Name]],Employees_Data[[#This Row],[Last Name]])</f>
        <v>Husam Aldubus</v>
      </c>
      <c r="B386" s="37">
        <f ca="1">DATEDIF(Employees!$F386,TODAY(),"Y")</f>
        <v>7</v>
      </c>
      <c r="C386" s="48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387" spans="1:3" x14ac:dyDescent="0.35">
      <c r="A387" s="40" t="str">
        <f>_xlfn.TEXTJOIN(" ",TRUE,Employees_Data[[#This Row],[First Name]],Employees_Data[[#This Row],[Last Name]])</f>
        <v>Ahmad Zynu</v>
      </c>
      <c r="B387" s="41">
        <f ca="1">DATEDIF(Employees!$F387,TODAY(),"Y")</f>
        <v>7</v>
      </c>
      <c r="C387" s="49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388" spans="1:3" x14ac:dyDescent="0.35">
      <c r="A388" s="36" t="str">
        <f>_xlfn.TEXTJOIN(" ",TRUE,Employees_Data[[#This Row],[First Name]],Employees_Data[[#This Row],[Last Name]])</f>
        <v>Lwy Abu</v>
      </c>
      <c r="B388" s="37">
        <f ca="1">DATEDIF(Employees!$F388,TODAY(),"Y")</f>
        <v>7</v>
      </c>
      <c r="C388" s="48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389" spans="1:3" x14ac:dyDescent="0.35">
      <c r="A389" s="40" t="str">
        <f>_xlfn.TEXTJOIN(" ",TRUE,Employees_Data[[#This Row],[First Name]],Employees_Data[[#This Row],[Last Name]])</f>
        <v>Tariq Shams</v>
      </c>
      <c r="B389" s="41">
        <f ca="1">DATEDIF(Employees!$F389,TODAY(),"Y")</f>
        <v>6</v>
      </c>
      <c r="C389" s="49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390" spans="1:3" x14ac:dyDescent="0.35">
      <c r="A390" s="36" t="str">
        <f>_xlfn.TEXTJOIN(" ",TRUE,Employees_Data[[#This Row],[First Name]],Employees_Data[[#This Row],[Last Name]])</f>
        <v>Muhamad Khalil</v>
      </c>
      <c r="B390" s="37">
        <f ca="1">DATEDIF(Employees!$F390,TODAY(),"Y")</f>
        <v>6</v>
      </c>
      <c r="C390" s="48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391" spans="1:3" x14ac:dyDescent="0.35">
      <c r="A391" s="40" t="str">
        <f>_xlfn.TEXTJOIN(" ",TRUE,Employees_Data[[#This Row],[First Name]],Employees_Data[[#This Row],[Last Name]])</f>
        <v>Amal Alhusayn</v>
      </c>
      <c r="B391" s="41">
        <f ca="1">DATEDIF(Employees!$F391,TODAY(),"Y")</f>
        <v>6</v>
      </c>
      <c r="C391" s="49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392" spans="1:3" x14ac:dyDescent="0.35">
      <c r="A392" s="36" t="str">
        <f>_xlfn.TEXTJOIN(" ",TRUE,Employees_Data[[#This Row],[First Name]],Employees_Data[[#This Row],[Last Name]])</f>
        <v>Fadi Shakur</v>
      </c>
      <c r="B392" s="37">
        <f ca="1">DATEDIF(Employees!$F392,TODAY(),"Y")</f>
        <v>9</v>
      </c>
      <c r="C392" s="48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393" spans="1:3" x14ac:dyDescent="0.35">
      <c r="A393" s="40" t="str">
        <f>_xlfn.TEXTJOIN(" ",TRUE,Employees_Data[[#This Row],[First Name]],Employees_Data[[#This Row],[Last Name]])</f>
        <v>Abdalhai Sarhan</v>
      </c>
      <c r="B393" s="41">
        <f ca="1">DATEDIF(Employees!$F393,TODAY(),"Y")</f>
        <v>9</v>
      </c>
      <c r="C393" s="49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394" spans="1:3" x14ac:dyDescent="0.35">
      <c r="A394" s="36" t="str">
        <f>_xlfn.TEXTJOIN(" ",TRUE,Employees_Data[[#This Row],[First Name]],Employees_Data[[#This Row],[Last Name]])</f>
        <v>Ahmad Alqadi</v>
      </c>
      <c r="B394" s="37">
        <f ca="1">DATEDIF(Employees!$F394,TODAY(),"Y")</f>
        <v>8</v>
      </c>
      <c r="C394" s="48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395" spans="1:3" x14ac:dyDescent="0.35">
      <c r="A395" s="40" t="str">
        <f>_xlfn.TEXTJOIN(" ",TRUE,Employees_Data[[#This Row],[First Name]],Employees_Data[[#This Row],[Last Name]])</f>
        <v>Husam Albush</v>
      </c>
      <c r="B395" s="41">
        <f ca="1">DATEDIF(Employees!$F395,TODAY(),"Y")</f>
        <v>6</v>
      </c>
      <c r="C395" s="49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396" spans="1:3" x14ac:dyDescent="0.35">
      <c r="A396" s="36" t="str">
        <f>_xlfn.TEXTJOIN(" ",TRUE,Employees_Data[[#This Row],[First Name]],Employees_Data[[#This Row],[Last Name]])</f>
        <v>Anas Eabidin</v>
      </c>
      <c r="B396" s="37">
        <f ca="1">DATEDIF(Employees!$F396,TODAY(),"Y")</f>
        <v>6</v>
      </c>
      <c r="C396" s="48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397" spans="1:3" x14ac:dyDescent="0.35">
      <c r="A397" s="40" t="str">
        <f>_xlfn.TEXTJOIN(" ",TRUE,Employees_Data[[#This Row],[First Name]],Employees_Data[[#This Row],[Last Name]])</f>
        <v>Muhamad Ebdalwahd</v>
      </c>
      <c r="B397" s="41">
        <f ca="1">DATEDIF(Employees!$F397,TODAY(),"Y")</f>
        <v>7</v>
      </c>
      <c r="C397" s="49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398" spans="1:3" x14ac:dyDescent="0.35">
      <c r="A398" s="36" t="str">
        <f>_xlfn.TEXTJOIN(" ",TRUE,Employees_Data[[#This Row],[First Name]],Employees_Data[[#This Row],[Last Name]])</f>
        <v>Khalid Iibrahim</v>
      </c>
      <c r="B398" s="37">
        <f ca="1">DATEDIF(Employees!$F398,TODAY(),"Y")</f>
        <v>9</v>
      </c>
      <c r="C398" s="48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399" spans="1:3" x14ac:dyDescent="0.35">
      <c r="A399" s="40" t="str">
        <f>_xlfn.TEXTJOIN(" ",TRUE,Employees_Data[[#This Row],[First Name]],Employees_Data[[#This Row],[Last Name]])</f>
        <v>Muhamad Aleazm</v>
      </c>
      <c r="B399" s="41">
        <f ca="1">DATEDIF(Employees!$F399,TODAY(),"Y")</f>
        <v>8</v>
      </c>
      <c r="C399" s="49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400" spans="1:3" x14ac:dyDescent="0.35">
      <c r="A400" s="36" t="str">
        <f>_xlfn.TEXTJOIN(" ",TRUE,Employees_Data[[#This Row],[First Name]],Employees_Data[[#This Row],[Last Name]])</f>
        <v>Maya Alhmwi</v>
      </c>
      <c r="B400" s="37">
        <f ca="1">DATEDIF(Employees!$F400,TODAY(),"Y")</f>
        <v>7</v>
      </c>
      <c r="C400" s="48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401" spans="1:3" x14ac:dyDescent="0.35">
      <c r="A401" s="40" t="str">
        <f>_xlfn.TEXTJOIN(" ",TRUE,Employees_Data[[#This Row],[First Name]],Employees_Data[[#This Row],[Last Name]])</f>
        <v>Basil Khiat</v>
      </c>
      <c r="B401" s="41">
        <f ca="1">DATEDIF(Employees!$F401,TODAY(),"Y")</f>
        <v>5</v>
      </c>
      <c r="C401" s="49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402" spans="1:3" x14ac:dyDescent="0.35">
      <c r="A402" s="36" t="str">
        <f>_xlfn.TEXTJOIN(" ",TRUE,Employees_Data[[#This Row],[First Name]],Employees_Data[[#This Row],[Last Name]])</f>
        <v>Muhamad Zaydan</v>
      </c>
      <c r="B402" s="37">
        <f ca="1">DATEDIF(Employees!$F402,TODAY(),"Y")</f>
        <v>5</v>
      </c>
      <c r="C402" s="48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403" spans="1:3" x14ac:dyDescent="0.35">
      <c r="A403" s="40" t="str">
        <f>_xlfn.TEXTJOIN(" ",TRUE,Employees_Data[[#This Row],[First Name]],Employees_Data[[#This Row],[Last Name]])</f>
        <v>Randa Alajw</v>
      </c>
      <c r="B403" s="41">
        <f ca="1">DATEDIF(Employees!$F403,TODAY(),"Y")</f>
        <v>9</v>
      </c>
      <c r="C403" s="49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404" spans="1:3" x14ac:dyDescent="0.35">
      <c r="A404" s="36" t="str">
        <f>_xlfn.TEXTJOIN(" ",TRUE,Employees_Data[[#This Row],[First Name]],Employees_Data[[#This Row],[Last Name]])</f>
        <v>Muhamad Alghazi</v>
      </c>
      <c r="B404" s="37">
        <f ca="1">DATEDIF(Employees!$F404,TODAY(),"Y")</f>
        <v>7</v>
      </c>
      <c r="C404" s="48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405" spans="1:3" x14ac:dyDescent="0.35">
      <c r="A405" s="40" t="str">
        <f>_xlfn.TEXTJOIN(" ",TRUE,Employees_Data[[#This Row],[First Name]],Employees_Data[[#This Row],[Last Name]])</f>
        <v>Rahaf Eijluni</v>
      </c>
      <c r="B405" s="41">
        <f ca="1">DATEDIF(Employees!$F405,TODAY(),"Y")</f>
        <v>7</v>
      </c>
      <c r="C405" s="49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406" spans="1:3" x14ac:dyDescent="0.35">
      <c r="A406" s="36" t="str">
        <f>_xlfn.TEXTJOIN(" ",TRUE,Employees_Data[[#This Row],[First Name]],Employees_Data[[#This Row],[Last Name]])</f>
        <v>Sultan Alhijar</v>
      </c>
      <c r="B406" s="37">
        <f ca="1">DATEDIF(Employees!$F406,TODAY(),"Y")</f>
        <v>8</v>
      </c>
      <c r="C406" s="48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407" spans="1:3" x14ac:dyDescent="0.35">
      <c r="A407" s="40" t="str">
        <f>_xlfn.TEXTJOIN(" ",TRUE,Employees_Data[[#This Row],[First Name]],Employees_Data[[#This Row],[Last Name]])</f>
        <v>Asma Sadqawi</v>
      </c>
      <c r="B407" s="41">
        <f ca="1">DATEDIF(Employees!$F407,TODAY(),"Y")</f>
        <v>8</v>
      </c>
      <c r="C407" s="49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408" spans="1:3" x14ac:dyDescent="0.35">
      <c r="A408" s="36" t="str">
        <f>_xlfn.TEXTJOIN(" ",TRUE,Employees_Data[[#This Row],[First Name]],Employees_Data[[#This Row],[Last Name]])</f>
        <v>Fulla Alkhalid</v>
      </c>
      <c r="B408" s="37">
        <f ca="1">DATEDIF(Employees!$F408,TODAY(),"Y")</f>
        <v>7</v>
      </c>
      <c r="C408" s="48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409" spans="1:3" x14ac:dyDescent="0.35">
      <c r="A409" s="40" t="str">
        <f>_xlfn.TEXTJOIN(" ",TRUE,Employees_Data[[#This Row],[First Name]],Employees_Data[[#This Row],[Last Name]])</f>
        <v>Lujin Alaleppoy</v>
      </c>
      <c r="B409" s="41">
        <f ca="1">DATEDIF(Employees!$F409,TODAY(),"Y")</f>
        <v>9</v>
      </c>
      <c r="C409" s="49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410" spans="1:3" x14ac:dyDescent="0.35">
      <c r="A410" s="36" t="str">
        <f>_xlfn.TEXTJOIN(" ",TRUE,Employees_Data[[#This Row],[First Name]],Employees_Data[[#This Row],[Last Name]])</f>
        <v>Jihan Alqudmani</v>
      </c>
      <c r="B410" s="37">
        <f ca="1">DATEDIF(Employees!$F410,TODAY(),"Y")</f>
        <v>10</v>
      </c>
      <c r="C410" s="48" t="str">
        <f ca="1">IFERROR(IF(Experience_Level[[#This Row],[Years]]&gt;=10,"Senior",IF(AND(Experience_Level[[#This Row],[Years]]&gt;=5,Experience_Level[[#This Row],[Years]]&lt;=9),"Mid-Level","Junior")),"Not Found")</f>
        <v>Senior</v>
      </c>
    </row>
    <row r="411" spans="1:3" x14ac:dyDescent="0.35">
      <c r="A411" s="40" t="str">
        <f>_xlfn.TEXTJOIN(" ",TRUE,Employees_Data[[#This Row],[First Name]],Employees_Data[[#This Row],[Last Name]])</f>
        <v>Anwar Alkhayran</v>
      </c>
      <c r="B411" s="41">
        <f ca="1">DATEDIF(Employees!$F411,TODAY(),"Y")</f>
        <v>7</v>
      </c>
      <c r="C411" s="49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412" spans="1:3" x14ac:dyDescent="0.35">
      <c r="A412" s="36" t="str">
        <f>_xlfn.TEXTJOIN(" ",TRUE,Employees_Data[[#This Row],[First Name]],Employees_Data[[#This Row],[Last Name]])</f>
        <v>Qasim Muhamad</v>
      </c>
      <c r="B412" s="37">
        <f ca="1">DATEDIF(Employees!$F412,TODAY(),"Y")</f>
        <v>6</v>
      </c>
      <c r="C412" s="48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413" spans="1:3" x14ac:dyDescent="0.35">
      <c r="A413" s="40" t="str">
        <f>_xlfn.TEXTJOIN(" ",TRUE,Employees_Data[[#This Row],[First Name]],Employees_Data[[#This Row],[Last Name]])</f>
        <v>Samir Altaynawi</v>
      </c>
      <c r="B413" s="41">
        <f ca="1">DATEDIF(Employees!$F413,TODAY(),"Y")</f>
        <v>9</v>
      </c>
      <c r="C413" s="49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414" spans="1:3" x14ac:dyDescent="0.35">
      <c r="A414" s="36" t="str">
        <f>_xlfn.TEXTJOIN(" ",TRUE,Employees_Data[[#This Row],[First Name]],Employees_Data[[#This Row],[Last Name]])</f>
        <v>Alaa Hafiz</v>
      </c>
      <c r="B414" s="37">
        <f ca="1">DATEDIF(Employees!$F414,TODAY(),"Y")</f>
        <v>6</v>
      </c>
      <c r="C414" s="48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415" spans="1:3" x14ac:dyDescent="0.35">
      <c r="A415" s="40" t="str">
        <f>_xlfn.TEXTJOIN(" ",TRUE,Employees_Data[[#This Row],[First Name]],Employees_Data[[#This Row],[Last Name]])</f>
        <v>Kamilia Sydu</v>
      </c>
      <c r="B415" s="41">
        <f ca="1">DATEDIF(Employees!$F415,TODAY(),"Y")</f>
        <v>7</v>
      </c>
      <c r="C415" s="49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416" spans="1:3" x14ac:dyDescent="0.35">
      <c r="A416" s="36" t="str">
        <f>_xlfn.TEXTJOIN(" ",TRUE,Employees_Data[[#This Row],[First Name]],Employees_Data[[#This Row],[Last Name]])</f>
        <v>Ali Marwan</v>
      </c>
      <c r="B416" s="37">
        <f ca="1">DATEDIF(Employees!$F416,TODAY(),"Y")</f>
        <v>7</v>
      </c>
      <c r="C416" s="48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417" spans="1:3" x14ac:dyDescent="0.35">
      <c r="A417" s="40" t="str">
        <f>_xlfn.TEXTJOIN(" ",TRUE,Employees_Data[[#This Row],[First Name]],Employees_Data[[#This Row],[Last Name]])</f>
        <v>Mahir Almarstani</v>
      </c>
      <c r="B417" s="41">
        <f ca="1">DATEDIF(Employees!$F417,TODAY(),"Y")</f>
        <v>6</v>
      </c>
      <c r="C417" s="49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418" spans="1:3" x14ac:dyDescent="0.35">
      <c r="A418" s="36" t="str">
        <f>_xlfn.TEXTJOIN(" ",TRUE,Employees_Data[[#This Row],[First Name]],Employees_Data[[#This Row],[Last Name]])</f>
        <v>Rwad Alddahir</v>
      </c>
      <c r="B418" s="37">
        <f ca="1">DATEDIF(Employees!$F418,TODAY(),"Y")</f>
        <v>9</v>
      </c>
      <c r="C418" s="48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419" spans="1:3" x14ac:dyDescent="0.35">
      <c r="A419" s="40" t="str">
        <f>_xlfn.TEXTJOIN(" ",TRUE,Employees_Data[[#This Row],[First Name]],Employees_Data[[#This Row],[Last Name]])</f>
        <v>Jury Eabuwd</v>
      </c>
      <c r="B419" s="41">
        <f ca="1">DATEDIF(Employees!$F419,TODAY(),"Y")</f>
        <v>7</v>
      </c>
      <c r="C419" s="49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420" spans="1:3" x14ac:dyDescent="0.35">
      <c r="A420" s="36" t="str">
        <f>_xlfn.TEXTJOIN(" ",TRUE,Employees_Data[[#This Row],[First Name]],Employees_Data[[#This Row],[Last Name]])</f>
        <v>Sayban Musur</v>
      </c>
      <c r="B420" s="37">
        <f ca="1">DATEDIF(Employees!$F420,TODAY(),"Y")</f>
        <v>7</v>
      </c>
      <c r="C420" s="48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421" spans="1:3" x14ac:dyDescent="0.35">
      <c r="A421" s="40" t="str">
        <f>_xlfn.TEXTJOIN(" ",TRUE,Employees_Data[[#This Row],[First Name]],Employees_Data[[#This Row],[Last Name]])</f>
        <v>Diana Muayid</v>
      </c>
      <c r="B421" s="41">
        <f ca="1">DATEDIF(Employees!$F421,TODAY(),"Y")</f>
        <v>7</v>
      </c>
      <c r="C421" s="49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422" spans="1:3" x14ac:dyDescent="0.35">
      <c r="A422" s="36" t="str">
        <f>_xlfn.TEXTJOIN(" ",TRUE,Employees_Data[[#This Row],[First Name]],Employees_Data[[#This Row],[Last Name]])</f>
        <v>Lbyb Fahd</v>
      </c>
      <c r="B422" s="37">
        <f ca="1">DATEDIF(Employees!$F422,TODAY(),"Y")</f>
        <v>6</v>
      </c>
      <c r="C422" s="48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423" spans="1:3" x14ac:dyDescent="0.35">
      <c r="A423" s="40" t="str">
        <f>_xlfn.TEXTJOIN(" ",TRUE,Employees_Data[[#This Row],[First Name]],Employees_Data[[#This Row],[Last Name]])</f>
        <v>Bashshar Bilul</v>
      </c>
      <c r="B423" s="41">
        <f ca="1">DATEDIF(Employees!$F423,TODAY(),"Y")</f>
        <v>8</v>
      </c>
      <c r="C423" s="49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424" spans="1:3" x14ac:dyDescent="0.35">
      <c r="A424" s="36" t="str">
        <f>_xlfn.TEXTJOIN(" ",TRUE,Employees_Data[[#This Row],[First Name]],Employees_Data[[#This Row],[Last Name]])</f>
        <v>Ali Alnuwri</v>
      </c>
      <c r="B424" s="37">
        <f ca="1">DATEDIF(Employees!$F424,TODAY(),"Y")</f>
        <v>6</v>
      </c>
      <c r="C424" s="48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425" spans="1:3" x14ac:dyDescent="0.35">
      <c r="A425" s="40" t="str">
        <f>_xlfn.TEXTJOIN(" ",TRUE,Employees_Data[[#This Row],[First Name]],Employees_Data[[#This Row],[Last Name]])</f>
        <v>Salim Aleabd</v>
      </c>
      <c r="B425" s="41">
        <f ca="1">DATEDIF(Employees!$F425,TODAY(),"Y")</f>
        <v>8</v>
      </c>
      <c r="C425" s="49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426" spans="1:3" x14ac:dyDescent="0.35">
      <c r="A426" s="36" t="str">
        <f>_xlfn.TEXTJOIN(" ",TRUE,Employees_Data[[#This Row],[First Name]],Employees_Data[[#This Row],[Last Name]])</f>
        <v>Abd Alruhmin Allaham</v>
      </c>
      <c r="B426" s="37">
        <f ca="1">DATEDIF(Employees!$F426,TODAY(),"Y")</f>
        <v>6</v>
      </c>
      <c r="C426" s="48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427" spans="1:3" x14ac:dyDescent="0.35">
      <c r="A427" s="40" t="str">
        <f>_xlfn.TEXTJOIN(" ",TRUE,Employees_Data[[#This Row],[First Name]],Employees_Data[[#This Row],[Last Name]])</f>
        <v>Muhamad Raft</v>
      </c>
      <c r="B427" s="41">
        <f ca="1">DATEDIF(Employees!$F427,TODAY(),"Y")</f>
        <v>10</v>
      </c>
      <c r="C427" s="49" t="str">
        <f ca="1">IFERROR(IF(Experience_Level[[#This Row],[Years]]&gt;=10,"Senior",IF(AND(Experience_Level[[#This Row],[Years]]&gt;=5,Experience_Level[[#This Row],[Years]]&lt;=9),"Mid-Level","Junior")),"Not Found")</f>
        <v>Senior</v>
      </c>
    </row>
    <row r="428" spans="1:3" x14ac:dyDescent="0.35">
      <c r="A428" s="36" t="str">
        <f>_xlfn.TEXTJOIN(" ",TRUE,Employees_Data[[#This Row],[First Name]],Employees_Data[[#This Row],[Last Name]])</f>
        <v>Ahmad Shakir</v>
      </c>
      <c r="B428" s="37">
        <f ca="1">DATEDIF(Employees!$F428,TODAY(),"Y")</f>
        <v>7</v>
      </c>
      <c r="C428" s="48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429" spans="1:3" x14ac:dyDescent="0.35">
      <c r="A429" s="40" t="str">
        <f>_xlfn.TEXTJOIN(" ",TRUE,Employees_Data[[#This Row],[First Name]],Employees_Data[[#This Row],[Last Name]])</f>
        <v>Rasha Asead</v>
      </c>
      <c r="B429" s="41">
        <f ca="1">DATEDIF(Employees!$F429,TODAY(),"Y")</f>
        <v>6</v>
      </c>
      <c r="C429" s="49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430" spans="1:3" x14ac:dyDescent="0.35">
      <c r="A430" s="36" t="str">
        <f>_xlfn.TEXTJOIN(" ",TRUE,Employees_Data[[#This Row],[First Name]],Employees_Data[[#This Row],[Last Name]])</f>
        <v>Omar Alwurhani</v>
      </c>
      <c r="B430" s="37">
        <f ca="1">DATEDIF(Employees!$F430,TODAY(),"Y")</f>
        <v>7</v>
      </c>
      <c r="C430" s="48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431" spans="1:3" x14ac:dyDescent="0.35">
      <c r="A431" s="40" t="str">
        <f>_xlfn.TEXTJOIN(" ",TRUE,Employees_Data[[#This Row],[First Name]],Employees_Data[[#This Row],[Last Name]])</f>
        <v>Ayham Kharbutli</v>
      </c>
      <c r="B431" s="41">
        <f ca="1">DATEDIF(Employees!$F431,TODAY(),"Y")</f>
        <v>7</v>
      </c>
      <c r="C431" s="49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432" spans="1:3" x14ac:dyDescent="0.35">
      <c r="A432" s="36" t="str">
        <f>_xlfn.TEXTJOIN(" ",TRUE,Employees_Data[[#This Row],[First Name]],Employees_Data[[#This Row],[Last Name]])</f>
        <v>Sahar Jaridiun</v>
      </c>
      <c r="B432" s="37">
        <f ca="1">DATEDIF(Employees!$F432,TODAY(),"Y")</f>
        <v>10</v>
      </c>
      <c r="C432" s="48" t="str">
        <f ca="1">IFERROR(IF(Experience_Level[[#This Row],[Years]]&gt;=10,"Senior",IF(AND(Experience_Level[[#This Row],[Years]]&gt;=5,Experience_Level[[#This Row],[Years]]&lt;=9),"Mid-Level","Junior")),"Not Found")</f>
        <v>Senior</v>
      </c>
    </row>
    <row r="433" spans="1:3" x14ac:dyDescent="0.35">
      <c r="A433" s="40" t="str">
        <f>_xlfn.TEXTJOIN(" ",TRUE,Employees_Data[[#This Row],[First Name]],Employees_Data[[#This Row],[Last Name]])</f>
        <v>Muhamad Tamur</v>
      </c>
      <c r="B433" s="41">
        <f ca="1">DATEDIF(Employees!$F433,TODAY(),"Y")</f>
        <v>7</v>
      </c>
      <c r="C433" s="49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434" spans="1:3" x14ac:dyDescent="0.35">
      <c r="A434" s="36" t="str">
        <f>_xlfn.TEXTJOIN(" ",TRUE,Employees_Data[[#This Row],[First Name]],Employees_Data[[#This Row],[Last Name]])</f>
        <v>Ayham Alkhlf</v>
      </c>
      <c r="B434" s="37">
        <f ca="1">DATEDIF(Employees!$F434,TODAY(),"Y")</f>
        <v>8</v>
      </c>
      <c r="C434" s="48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435" spans="1:3" x14ac:dyDescent="0.35">
      <c r="A435" s="40" t="str">
        <f>_xlfn.TEXTJOIN(" ",TRUE,Employees_Data[[#This Row],[First Name]],Employees_Data[[#This Row],[Last Name]])</f>
        <v>Emar Eisaf</v>
      </c>
      <c r="B435" s="41">
        <f ca="1">DATEDIF(Employees!$F435,TODAY(),"Y")</f>
        <v>8</v>
      </c>
      <c r="C435" s="49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436" spans="1:3" x14ac:dyDescent="0.35">
      <c r="A436" s="36" t="str">
        <f>_xlfn.TEXTJOIN(" ",TRUE,Employees_Data[[#This Row],[First Name]],Employees_Data[[#This Row],[Last Name]])</f>
        <v>Iin Bitahish</v>
      </c>
      <c r="B436" s="37">
        <f ca="1">DATEDIF(Employees!$F436,TODAY(),"Y")</f>
        <v>6</v>
      </c>
      <c r="C436" s="48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437" spans="1:3" x14ac:dyDescent="0.35">
      <c r="A437" s="40" t="str">
        <f>_xlfn.TEXTJOIN(" ",TRUE,Employees_Data[[#This Row],[First Name]],Employees_Data[[#This Row],[Last Name]])</f>
        <v>Abdalrhim Eimaruh</v>
      </c>
      <c r="B437" s="41">
        <f ca="1">DATEDIF(Employees!$F437,TODAY(),"Y")</f>
        <v>6</v>
      </c>
      <c r="C437" s="49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438" spans="1:3" x14ac:dyDescent="0.35">
      <c r="A438" s="36" t="str">
        <f>_xlfn.TEXTJOIN(" ",TRUE,Employees_Data[[#This Row],[First Name]],Employees_Data[[#This Row],[Last Name]])</f>
        <v>Bashaer Hadalah</v>
      </c>
      <c r="B438" s="37">
        <f ca="1">DATEDIF(Employees!$F438,TODAY(),"Y")</f>
        <v>6</v>
      </c>
      <c r="C438" s="48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439" spans="1:3" x14ac:dyDescent="0.35">
      <c r="A439" s="40" t="str">
        <f>_xlfn.TEXTJOIN(" ",TRUE,Employees_Data[[#This Row],[First Name]],Employees_Data[[#This Row],[Last Name]])</f>
        <v>Sana Maeruf</v>
      </c>
      <c r="B439" s="41">
        <f ca="1">DATEDIF(Employees!$F439,TODAY(),"Y")</f>
        <v>6</v>
      </c>
      <c r="C439" s="49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440" spans="1:3" x14ac:dyDescent="0.35">
      <c r="A440" s="36" t="str">
        <f>_xlfn.TEXTJOIN(" ",TRUE,Employees_Data[[#This Row],[First Name]],Employees_Data[[#This Row],[Last Name]])</f>
        <v>Amir Alnuwnu</v>
      </c>
      <c r="B440" s="37">
        <f ca="1">DATEDIF(Employees!$F440,TODAY(),"Y")</f>
        <v>6</v>
      </c>
      <c r="C440" s="48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441" spans="1:3" x14ac:dyDescent="0.35">
      <c r="A441" s="40" t="str">
        <f>_xlfn.TEXTJOIN(" ",TRUE,Employees_Data[[#This Row],[First Name]],Employees_Data[[#This Row],[Last Name]])</f>
        <v>Salim Albarghali</v>
      </c>
      <c r="B441" s="41">
        <f ca="1">DATEDIF(Employees!$F441,TODAY(),"Y")</f>
        <v>6</v>
      </c>
      <c r="C441" s="49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442" spans="1:3" x14ac:dyDescent="0.35">
      <c r="A442" s="36" t="str">
        <f>_xlfn.TEXTJOIN(" ",TRUE,Employees_Data[[#This Row],[First Name]],Employees_Data[[#This Row],[Last Name]])</f>
        <v>Iin Murad</v>
      </c>
      <c r="B442" s="37">
        <f ca="1">DATEDIF(Employees!$F442,TODAY(),"Y")</f>
        <v>9</v>
      </c>
      <c r="C442" s="48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443" spans="1:3" x14ac:dyDescent="0.35">
      <c r="A443" s="40" t="str">
        <f>_xlfn.TEXTJOIN(" ",TRUE,Employees_Data[[#This Row],[First Name]],Employees_Data[[#This Row],[Last Name]])</f>
        <v>Baha Aldiyn Marzuq</v>
      </c>
      <c r="B443" s="41">
        <f ca="1">DATEDIF(Employees!$F443,TODAY(),"Y")</f>
        <v>8</v>
      </c>
      <c r="C443" s="49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444" spans="1:3" x14ac:dyDescent="0.35">
      <c r="A444" s="36" t="str">
        <f>_xlfn.TEXTJOIN(" ",TRUE,Employees_Data[[#This Row],[First Name]],Employees_Data[[#This Row],[Last Name]])</f>
        <v>Abd Alruhmin Hamj</v>
      </c>
      <c r="B444" s="37">
        <f ca="1">DATEDIF(Employees!$F444,TODAY(),"Y")</f>
        <v>6</v>
      </c>
      <c r="C444" s="48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445" spans="1:3" x14ac:dyDescent="0.35">
      <c r="A445" s="40" t="str">
        <f>_xlfn.TEXTJOIN(" ",TRUE,Employees_Data[[#This Row],[First Name]],Employees_Data[[#This Row],[Last Name]])</f>
        <v>Ahmad Bradey</v>
      </c>
      <c r="B445" s="41">
        <f ca="1">DATEDIF(Employees!$F445,TODAY(),"Y")</f>
        <v>8</v>
      </c>
      <c r="C445" s="49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446" spans="1:3" x14ac:dyDescent="0.35">
      <c r="A446" s="36" t="str">
        <f>_xlfn.TEXTJOIN(" ",TRUE,Employees_Data[[#This Row],[First Name]],Employees_Data[[#This Row],[Last Name]])</f>
        <v>Sabah Qadish</v>
      </c>
      <c r="B446" s="37">
        <f ca="1">DATEDIF(Employees!$F446,TODAY(),"Y")</f>
        <v>7</v>
      </c>
      <c r="C446" s="48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447" spans="1:3" x14ac:dyDescent="0.35">
      <c r="A447" s="40" t="str">
        <f>_xlfn.TEXTJOIN(" ",TRUE,Employees_Data[[#This Row],[First Name]],Employees_Data[[#This Row],[Last Name]])</f>
        <v>Asra Almisri</v>
      </c>
      <c r="B447" s="41">
        <f ca="1">DATEDIF(Employees!$F447,TODAY(),"Y")</f>
        <v>8</v>
      </c>
      <c r="C447" s="49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448" spans="1:3" x14ac:dyDescent="0.35">
      <c r="A448" s="36" t="str">
        <f>_xlfn.TEXTJOIN(" ",TRUE,Employees_Data[[#This Row],[First Name]],Employees_Data[[#This Row],[Last Name]])</f>
        <v>Faras Kawaara</v>
      </c>
      <c r="B448" s="37">
        <f ca="1">DATEDIF(Employees!$F448,TODAY(),"Y")</f>
        <v>9</v>
      </c>
      <c r="C448" s="48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449" spans="1:3" x14ac:dyDescent="0.35">
      <c r="A449" s="40" t="str">
        <f>_xlfn.TEXTJOIN(" ",TRUE,Employees_Data[[#This Row],[First Name]],Employees_Data[[#This Row],[Last Name]])</f>
        <v>Muhamad Abunfis</v>
      </c>
      <c r="B449" s="41">
        <f ca="1">DATEDIF(Employees!$F449,TODAY(),"Y")</f>
        <v>8</v>
      </c>
      <c r="C449" s="49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450" spans="1:3" x14ac:dyDescent="0.35">
      <c r="A450" s="36" t="str">
        <f>_xlfn.TEXTJOIN(" ",TRUE,Employees_Data[[#This Row],[First Name]],Employees_Data[[#This Row],[Last Name]])</f>
        <v>Lawiy Shiah</v>
      </c>
      <c r="B450" s="37">
        <f ca="1">DATEDIF(Employees!$F450,TODAY(),"Y")</f>
        <v>8</v>
      </c>
      <c r="C450" s="48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451" spans="1:3" x14ac:dyDescent="0.35">
      <c r="A451" s="40" t="str">
        <f>_xlfn.TEXTJOIN(" ",TRUE,Employees_Data[[#This Row],[First Name]],Employees_Data[[#This Row],[Last Name]])</f>
        <v>Rama Alsaghir</v>
      </c>
      <c r="B451" s="41">
        <f ca="1">DATEDIF(Employees!$F451,TODAY(),"Y")</f>
        <v>9</v>
      </c>
      <c r="C451" s="49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452" spans="1:3" x14ac:dyDescent="0.35">
      <c r="A452" s="36" t="str">
        <f>_xlfn.TEXTJOIN(" ",TRUE,Employees_Data[[#This Row],[First Name]],Employees_Data[[#This Row],[Last Name]])</f>
        <v>Ahmad Qadimati</v>
      </c>
      <c r="B452" s="37">
        <f ca="1">DATEDIF(Employees!$F452,TODAY(),"Y")</f>
        <v>7</v>
      </c>
      <c r="C452" s="48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453" spans="1:3" x14ac:dyDescent="0.35">
      <c r="A453" s="40" t="str">
        <f>_xlfn.TEXTJOIN(" ",TRUE,Employees_Data[[#This Row],[First Name]],Employees_Data[[#This Row],[Last Name]])</f>
        <v>Qays Dahna</v>
      </c>
      <c r="B453" s="41">
        <f ca="1">DATEDIF(Employees!$F453,TODAY(),"Y")</f>
        <v>9</v>
      </c>
      <c r="C453" s="49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454" spans="1:3" x14ac:dyDescent="0.35">
      <c r="A454" s="36" t="str">
        <f>_xlfn.TEXTJOIN(" ",TRUE,Employees_Data[[#This Row],[First Name]],Employees_Data[[#This Row],[Last Name]])</f>
        <v>Raja Eaziza</v>
      </c>
      <c r="B454" s="37">
        <f ca="1">DATEDIF(Employees!$F454,TODAY(),"Y")</f>
        <v>8</v>
      </c>
      <c r="C454" s="48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455" spans="1:3" x14ac:dyDescent="0.35">
      <c r="A455" s="40" t="str">
        <f>_xlfn.TEXTJOIN(" ",TRUE,Employees_Data[[#This Row],[First Name]],Employees_Data[[#This Row],[Last Name]])</f>
        <v>Emar Nakaash</v>
      </c>
      <c r="B455" s="41">
        <f ca="1">DATEDIF(Employees!$F455,TODAY(),"Y")</f>
        <v>5</v>
      </c>
      <c r="C455" s="49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456" spans="1:3" x14ac:dyDescent="0.35">
      <c r="A456" s="36" t="str">
        <f>_xlfn.TEXTJOIN(" ",TRUE,Employees_Data[[#This Row],[First Name]],Employees_Data[[#This Row],[Last Name]])</f>
        <v>Ranya Khuluf</v>
      </c>
      <c r="B456" s="37">
        <f ca="1">DATEDIF(Employees!$F456,TODAY(),"Y")</f>
        <v>7</v>
      </c>
      <c r="C456" s="48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457" spans="1:3" x14ac:dyDescent="0.35">
      <c r="A457" s="40" t="str">
        <f>_xlfn.TEXTJOIN(" ",TRUE,Employees_Data[[#This Row],[First Name]],Employees_Data[[#This Row],[Last Name]])</f>
        <v>Kinda Zaki</v>
      </c>
      <c r="B457" s="41">
        <f ca="1">DATEDIF(Employees!$F457,TODAY(),"Y")</f>
        <v>8</v>
      </c>
      <c r="C457" s="49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458" spans="1:3" x14ac:dyDescent="0.35">
      <c r="A458" s="36" t="str">
        <f>_xlfn.TEXTJOIN(" ",TRUE,Employees_Data[[#This Row],[First Name]],Employees_Data[[#This Row],[Last Name]])</f>
        <v>Muhamad Asamh Tubae</v>
      </c>
      <c r="B458" s="37">
        <f ca="1">DATEDIF(Employees!$F458,TODAY(),"Y")</f>
        <v>6</v>
      </c>
      <c r="C458" s="48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459" spans="1:3" x14ac:dyDescent="0.35">
      <c r="A459" s="40" t="str">
        <f>_xlfn.TEXTJOIN(" ",TRUE,Employees_Data[[#This Row],[First Name]],Employees_Data[[#This Row],[Last Name]])</f>
        <v>Ahmad Daeas</v>
      </c>
      <c r="B459" s="41">
        <f ca="1">DATEDIF(Employees!$F459,TODAY(),"Y")</f>
        <v>7</v>
      </c>
      <c r="C459" s="49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460" spans="1:3" x14ac:dyDescent="0.35">
      <c r="A460" s="36" t="str">
        <f>_xlfn.TEXTJOIN(" ",TRUE,Employees_Data[[#This Row],[First Name]],Employees_Data[[#This Row],[Last Name]])</f>
        <v>Muhamad Shadi Alkhiat</v>
      </c>
      <c r="B460" s="37">
        <f ca="1">DATEDIF(Employees!$F460,TODAY(),"Y")</f>
        <v>9</v>
      </c>
      <c r="C460" s="48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461" spans="1:3" x14ac:dyDescent="0.35">
      <c r="A461" s="40" t="str">
        <f>_xlfn.TEXTJOIN(" ",TRUE,Employees_Data[[#This Row],[First Name]],Employees_Data[[#This Row],[Last Name]])</f>
        <v>Omaimah Tqi Aldiyn</v>
      </c>
      <c r="B461" s="41">
        <f ca="1">DATEDIF(Employees!$F461,TODAY(),"Y")</f>
        <v>9</v>
      </c>
      <c r="C461" s="49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462" spans="1:3" x14ac:dyDescent="0.35">
      <c r="A462" s="36" t="str">
        <f>_xlfn.TEXTJOIN(" ",TRUE,Employees_Data[[#This Row],[First Name]],Employees_Data[[#This Row],[Last Name]])</f>
        <v>Tahani Yasir</v>
      </c>
      <c r="B462" s="37">
        <f ca="1">DATEDIF(Employees!$F462,TODAY(),"Y")</f>
        <v>7</v>
      </c>
      <c r="C462" s="48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463" spans="1:3" x14ac:dyDescent="0.35">
      <c r="A463" s="40" t="str">
        <f>_xlfn.TEXTJOIN(" ",TRUE,Employees_Data[[#This Row],[First Name]],Employees_Data[[#This Row],[Last Name]])</f>
        <v>Hasan Alfywmi</v>
      </c>
      <c r="B463" s="41">
        <f ca="1">DATEDIF(Employees!$F463,TODAY(),"Y")</f>
        <v>7</v>
      </c>
      <c r="C463" s="49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464" spans="1:3" x14ac:dyDescent="0.35">
      <c r="A464" s="36" t="str">
        <f>_xlfn.TEXTJOIN(" ",TRUE,Employees_Data[[#This Row],[First Name]],Employees_Data[[#This Row],[Last Name]])</f>
        <v>Zahir Zarie</v>
      </c>
      <c r="B464" s="37">
        <f ca="1">DATEDIF(Employees!$F464,TODAY(),"Y")</f>
        <v>7</v>
      </c>
      <c r="C464" s="48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465" spans="1:3" x14ac:dyDescent="0.35">
      <c r="A465" s="40" t="str">
        <f>_xlfn.TEXTJOIN(" ",TRUE,Employees_Data[[#This Row],[First Name]],Employees_Data[[#This Row],[Last Name]])</f>
        <v>Muhamad Eaqad</v>
      </c>
      <c r="B465" s="41">
        <f ca="1">DATEDIF(Employees!$F465,TODAY(),"Y")</f>
        <v>7</v>
      </c>
      <c r="C465" s="49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466" spans="1:3" x14ac:dyDescent="0.35">
      <c r="A466" s="36" t="str">
        <f>_xlfn.TEXTJOIN(" ",TRUE,Employees_Data[[#This Row],[First Name]],Employees_Data[[#This Row],[Last Name]])</f>
        <v>Ahmad Hamuwd</v>
      </c>
      <c r="B466" s="37">
        <f ca="1">DATEDIF(Employees!$F466,TODAY(),"Y")</f>
        <v>8</v>
      </c>
      <c r="C466" s="48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467" spans="1:3" x14ac:dyDescent="0.35">
      <c r="A467" s="40" t="str">
        <f>_xlfn.TEXTJOIN(" ",TRUE,Employees_Data[[#This Row],[First Name]],Employees_Data[[#This Row],[Last Name]])</f>
        <v>Ismaeil Jdwe</v>
      </c>
      <c r="B467" s="41">
        <f ca="1">DATEDIF(Employees!$F467,TODAY(),"Y")</f>
        <v>6</v>
      </c>
      <c r="C467" s="49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468" spans="1:3" x14ac:dyDescent="0.35">
      <c r="A468" s="36" t="str">
        <f>_xlfn.TEXTJOIN(" ",TRUE,Employees_Data[[#This Row],[First Name]],Employees_Data[[#This Row],[Last Name]])</f>
        <v>Muhamad Saeid Alzarey</v>
      </c>
      <c r="B468" s="37">
        <f ca="1">DATEDIF(Employees!$F468,TODAY(),"Y")</f>
        <v>6</v>
      </c>
      <c r="C468" s="48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469" spans="1:3" x14ac:dyDescent="0.35">
      <c r="A469" s="40" t="str">
        <f>_xlfn.TEXTJOIN(" ",TRUE,Employees_Data[[#This Row],[First Name]],Employees_Data[[#This Row],[Last Name]])</f>
        <v>Bakr Eubdallah</v>
      </c>
      <c r="B469" s="41">
        <f ca="1">DATEDIF(Employees!$F469,TODAY(),"Y")</f>
        <v>8</v>
      </c>
      <c r="C469" s="49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470" spans="1:3" x14ac:dyDescent="0.35">
      <c r="A470" s="36" t="str">
        <f>_xlfn.TEXTJOIN(" ",TRUE,Employees_Data[[#This Row],[First Name]],Employees_Data[[#This Row],[Last Name]])</f>
        <v>Muhamad Basil</v>
      </c>
      <c r="B470" s="37">
        <f ca="1">DATEDIF(Employees!$F470,TODAY(),"Y")</f>
        <v>6</v>
      </c>
      <c r="C470" s="48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471" spans="1:3" x14ac:dyDescent="0.35">
      <c r="A471" s="40" t="str">
        <f>_xlfn.TEXTJOIN(" ",TRUE,Employees_Data[[#This Row],[First Name]],Employees_Data[[#This Row],[Last Name]])</f>
        <v>Ahmad Alnajar</v>
      </c>
      <c r="B471" s="41">
        <f ca="1">DATEDIF(Employees!$F471,TODAY(),"Y")</f>
        <v>7</v>
      </c>
      <c r="C471" s="49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472" spans="1:3" x14ac:dyDescent="0.35">
      <c r="A472" s="36" t="str">
        <f>_xlfn.TEXTJOIN(" ",TRUE,Employees_Data[[#This Row],[First Name]],Employees_Data[[#This Row],[Last Name]])</f>
        <v>Muhamad Alsaman</v>
      </c>
      <c r="B472" s="37">
        <f ca="1">DATEDIF(Employees!$F472,TODAY(),"Y")</f>
        <v>6</v>
      </c>
      <c r="C472" s="48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473" spans="1:3" x14ac:dyDescent="0.35">
      <c r="A473" s="40" t="str">
        <f>_xlfn.TEXTJOIN(" ",TRUE,Employees_Data[[#This Row],[First Name]],Employees_Data[[#This Row],[Last Name]])</f>
        <v>Lina Wayly</v>
      </c>
      <c r="B473" s="41">
        <f ca="1">DATEDIF(Employees!$F473,TODAY(),"Y")</f>
        <v>7</v>
      </c>
      <c r="C473" s="49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474" spans="1:3" x14ac:dyDescent="0.35">
      <c r="A474" s="36" t="str">
        <f>_xlfn.TEXTJOIN(" ",TRUE,Employees_Data[[#This Row],[First Name]],Employees_Data[[#This Row],[Last Name]])</f>
        <v>Raghid Hutayniun</v>
      </c>
      <c r="B474" s="37">
        <f ca="1">DATEDIF(Employees!$F474,TODAY(),"Y")</f>
        <v>8</v>
      </c>
      <c r="C474" s="48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475" spans="1:3" x14ac:dyDescent="0.35">
      <c r="A475" s="40" t="str">
        <f>_xlfn.TEXTJOIN(" ",TRUE,Employees_Data[[#This Row],[First Name]],Employees_Data[[#This Row],[Last Name]])</f>
        <v>Ruba Alsiraj</v>
      </c>
      <c r="B475" s="41">
        <f ca="1">DATEDIF(Employees!$F475,TODAY(),"Y")</f>
        <v>7</v>
      </c>
      <c r="C475" s="49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476" spans="1:3" x14ac:dyDescent="0.35">
      <c r="A476" s="36" t="str">
        <f>_xlfn.TEXTJOIN(" ",TRUE,Employees_Data[[#This Row],[First Name]],Employees_Data[[#This Row],[Last Name]])</f>
        <v>Adnan Allaadhiqanii</v>
      </c>
      <c r="B476" s="37">
        <f ca="1">DATEDIF(Employees!$F476,TODAY(),"Y")</f>
        <v>8</v>
      </c>
      <c r="C476" s="48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477" spans="1:3" x14ac:dyDescent="0.35">
      <c r="A477" s="40" t="str">
        <f>_xlfn.TEXTJOIN(" ",TRUE,Employees_Data[[#This Row],[First Name]],Employees_Data[[#This Row],[Last Name]])</f>
        <v>Muhamad Shaeban</v>
      </c>
      <c r="B477" s="41">
        <f ca="1">DATEDIF(Employees!$F477,TODAY(),"Y")</f>
        <v>7</v>
      </c>
      <c r="C477" s="49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478" spans="1:3" x14ac:dyDescent="0.35">
      <c r="A478" s="36" t="str">
        <f>_xlfn.TEXTJOIN(" ",TRUE,Employees_Data[[#This Row],[First Name]],Employees_Data[[#This Row],[Last Name]])</f>
        <v>Ghyath Abu</v>
      </c>
      <c r="B478" s="37">
        <f ca="1">DATEDIF(Employees!$F478,TODAY(),"Y")</f>
        <v>7</v>
      </c>
      <c r="C478" s="48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479" spans="1:3" x14ac:dyDescent="0.35">
      <c r="A479" s="40" t="str">
        <f>_xlfn.TEXTJOIN(" ",TRUE,Employees_Data[[#This Row],[First Name]],Employees_Data[[#This Row],[Last Name]])</f>
        <v>Basil Farahat</v>
      </c>
      <c r="B479" s="41">
        <f ca="1">DATEDIF(Employees!$F479,TODAY(),"Y")</f>
        <v>7</v>
      </c>
      <c r="C479" s="49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480" spans="1:3" x14ac:dyDescent="0.35">
      <c r="A480" s="36" t="str">
        <f>_xlfn.TEXTJOIN(" ",TRUE,Employees_Data[[#This Row],[First Name]],Employees_Data[[#This Row],[Last Name]])</f>
        <v>Khalid Siriul</v>
      </c>
      <c r="B480" s="37">
        <f ca="1">DATEDIF(Employees!$F480,TODAY(),"Y")</f>
        <v>10</v>
      </c>
      <c r="C480" s="48" t="str">
        <f ca="1">IFERROR(IF(Experience_Level[[#This Row],[Years]]&gt;=10,"Senior",IF(AND(Experience_Level[[#This Row],[Years]]&gt;=5,Experience_Level[[#This Row],[Years]]&lt;=9),"Mid-Level","Junior")),"Not Found")</f>
        <v>Senior</v>
      </c>
    </row>
    <row r="481" spans="1:3" x14ac:dyDescent="0.35">
      <c r="A481" s="40" t="str">
        <f>_xlfn.TEXTJOIN(" ",TRUE,Employees_Data[[#This Row],[First Name]],Employees_Data[[#This Row],[Last Name]])</f>
        <v>Salah Aldiyn Salayk</v>
      </c>
      <c r="B481" s="41">
        <f ca="1">DATEDIF(Employees!$F481,TODAY(),"Y")</f>
        <v>6</v>
      </c>
      <c r="C481" s="49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482" spans="1:3" x14ac:dyDescent="0.35">
      <c r="A482" s="36" t="str">
        <f>_xlfn.TEXTJOIN(" ",TRUE,Employees_Data[[#This Row],[First Name]],Employees_Data[[#This Row],[Last Name]])</f>
        <v>Bilal Einziin</v>
      </c>
      <c r="B482" s="37">
        <f ca="1">DATEDIF(Employees!$F482,TODAY(),"Y")</f>
        <v>6</v>
      </c>
      <c r="C482" s="48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483" spans="1:3" x14ac:dyDescent="0.35">
      <c r="A483" s="40" t="str">
        <f>_xlfn.TEXTJOIN(" ",TRUE,Employees_Data[[#This Row],[First Name]],Employees_Data[[#This Row],[Last Name]])</f>
        <v>Abdalrhmin Aljuju</v>
      </c>
      <c r="B483" s="41">
        <f ca="1">DATEDIF(Employees!$F483,TODAY(),"Y")</f>
        <v>8</v>
      </c>
      <c r="C483" s="49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484" spans="1:3" x14ac:dyDescent="0.35">
      <c r="A484" s="36" t="str">
        <f>_xlfn.TEXTJOIN(" ",TRUE,Employees_Data[[#This Row],[First Name]],Employees_Data[[#This Row],[Last Name]])</f>
        <v>Lawy Nadaf</v>
      </c>
      <c r="B484" s="37">
        <f ca="1">DATEDIF(Employees!$F484,TODAY(),"Y")</f>
        <v>10</v>
      </c>
      <c r="C484" s="48" t="str">
        <f ca="1">IFERROR(IF(Experience_Level[[#This Row],[Years]]&gt;=10,"Senior",IF(AND(Experience_Level[[#This Row],[Years]]&gt;=5,Experience_Level[[#This Row],[Years]]&lt;=9),"Mid-Level","Junior")),"Not Found")</f>
        <v>Senior</v>
      </c>
    </row>
    <row r="485" spans="1:3" x14ac:dyDescent="0.35">
      <c r="A485" s="40" t="str">
        <f>_xlfn.TEXTJOIN(" ",TRUE,Employees_Data[[#This Row],[First Name]],Employees_Data[[#This Row],[Last Name]])</f>
        <v>Ali Muhamad</v>
      </c>
      <c r="B485" s="41">
        <f ca="1">DATEDIF(Employees!$F485,TODAY(),"Y")</f>
        <v>6</v>
      </c>
      <c r="C485" s="49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486" spans="1:3" x14ac:dyDescent="0.35">
      <c r="A486" s="36" t="str">
        <f>_xlfn.TEXTJOIN(" ",TRUE,Employees_Data[[#This Row],[First Name]],Employees_Data[[#This Row],[Last Name]])</f>
        <v>Mahir Bikar</v>
      </c>
      <c r="B486" s="37">
        <f ca="1">DATEDIF(Employees!$F486,TODAY(),"Y")</f>
        <v>7</v>
      </c>
      <c r="C486" s="48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487" spans="1:3" x14ac:dyDescent="0.35">
      <c r="A487" s="40" t="str">
        <f>_xlfn.TEXTJOIN(" ",TRUE,Employees_Data[[#This Row],[First Name]],Employees_Data[[#This Row],[Last Name]])</f>
        <v>Iad Alhusayn</v>
      </c>
      <c r="B487" s="41">
        <f ca="1">DATEDIF(Employees!$F487,TODAY(),"Y")</f>
        <v>8</v>
      </c>
      <c r="C487" s="49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488" spans="1:3" x14ac:dyDescent="0.35">
      <c r="A488" s="36" t="str">
        <f>_xlfn.TEXTJOIN(" ",TRUE,Employees_Data[[#This Row],[First Name]],Employees_Data[[#This Row],[Last Name]])</f>
        <v>Husam Ziada</v>
      </c>
      <c r="B488" s="37">
        <f ca="1">DATEDIF(Employees!$F488,TODAY(),"Y")</f>
        <v>8</v>
      </c>
      <c r="C488" s="48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489" spans="1:3" x14ac:dyDescent="0.35">
      <c r="A489" s="40" t="str">
        <f>_xlfn.TEXTJOIN(" ",TRUE,Employees_Data[[#This Row],[First Name]],Employees_Data[[#This Row],[Last Name]])</f>
        <v>Ahmad Eashur</v>
      </c>
      <c r="B489" s="41">
        <f ca="1">DATEDIF(Employees!$F489,TODAY(),"Y")</f>
        <v>6</v>
      </c>
      <c r="C489" s="49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490" spans="1:3" x14ac:dyDescent="0.35">
      <c r="A490" s="36" t="str">
        <f>_xlfn.TEXTJOIN(" ",TRUE,Employees_Data[[#This Row],[First Name]],Employees_Data[[#This Row],[Last Name]])</f>
        <v>Ahmad Naqawuh</v>
      </c>
      <c r="B490" s="37">
        <f ca="1">DATEDIF(Employees!$F490,TODAY(),"Y")</f>
        <v>6</v>
      </c>
      <c r="C490" s="48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491" spans="1:3" x14ac:dyDescent="0.35">
      <c r="A491" s="40" t="str">
        <f>_xlfn.TEXTJOIN(" ",TRUE,Employees_Data[[#This Row],[First Name]],Employees_Data[[#This Row],[Last Name]])</f>
        <v>Tamadur Barghuth</v>
      </c>
      <c r="B491" s="41">
        <f ca="1">DATEDIF(Employees!$F491,TODAY(),"Y")</f>
        <v>8</v>
      </c>
      <c r="C491" s="49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492" spans="1:3" x14ac:dyDescent="0.35">
      <c r="A492" s="36" t="str">
        <f>_xlfn.TEXTJOIN(" ",TRUE,Employees_Data[[#This Row],[First Name]],Employees_Data[[#This Row],[Last Name]])</f>
        <v>Diea Jazar</v>
      </c>
      <c r="B492" s="37">
        <f ca="1">DATEDIF(Employees!$F492,TODAY(),"Y")</f>
        <v>6</v>
      </c>
      <c r="C492" s="48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493" spans="1:3" x14ac:dyDescent="0.35">
      <c r="A493" s="40" t="str">
        <f>_xlfn.TEXTJOIN(" ",TRUE,Employees_Data[[#This Row],[First Name]],Employees_Data[[#This Row],[Last Name]])</f>
        <v>Bashshar Mareiun</v>
      </c>
      <c r="B493" s="41">
        <f ca="1">DATEDIF(Employees!$F493,TODAY(),"Y")</f>
        <v>7</v>
      </c>
      <c r="C493" s="49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494" spans="1:3" x14ac:dyDescent="0.35">
      <c r="A494" s="36" t="str">
        <f>_xlfn.TEXTJOIN(" ",TRUE,Employees_Data[[#This Row],[First Name]],Employees_Data[[#This Row],[Last Name]])</f>
        <v>Abdaleziz Eiwad</v>
      </c>
      <c r="B494" s="37">
        <f ca="1">DATEDIF(Employees!$F494,TODAY(),"Y")</f>
        <v>6</v>
      </c>
      <c r="C494" s="48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495" spans="1:3" x14ac:dyDescent="0.35">
      <c r="A495" s="40" t="str">
        <f>_xlfn.TEXTJOIN(" ",TRUE,Employees_Data[[#This Row],[First Name]],Employees_Data[[#This Row],[Last Name]])</f>
        <v>Amir Alkhawam</v>
      </c>
      <c r="B495" s="41">
        <f ca="1">DATEDIF(Employees!$F495,TODAY(),"Y")</f>
        <v>8</v>
      </c>
      <c r="C495" s="49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496" spans="1:3" x14ac:dyDescent="0.35">
      <c r="A496" s="36" t="str">
        <f>_xlfn.TEXTJOIN(" ",TRUE,Employees_Data[[#This Row],[First Name]],Employees_Data[[#This Row],[Last Name]])</f>
        <v>Alia Maseud</v>
      </c>
      <c r="B496" s="37">
        <f ca="1">DATEDIF(Employees!$F496,TODAY(),"Y")</f>
        <v>6</v>
      </c>
      <c r="C496" s="48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497" spans="1:3" x14ac:dyDescent="0.35">
      <c r="A497" s="40" t="str">
        <f>_xlfn.TEXTJOIN(" ",TRUE,Employees_Data[[#This Row],[First Name]],Employees_Data[[#This Row],[Last Name]])</f>
        <v>Asra Abuhani</v>
      </c>
      <c r="B497" s="41">
        <f ca="1">DATEDIF(Employees!$F497,TODAY(),"Y")</f>
        <v>7</v>
      </c>
      <c r="C497" s="49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498" spans="1:3" x14ac:dyDescent="0.35">
      <c r="A498" s="36" t="str">
        <f>_xlfn.TEXTJOIN(" ",TRUE,Employees_Data[[#This Row],[First Name]],Employees_Data[[#This Row],[Last Name]])</f>
        <v>Ahmad Alshamy</v>
      </c>
      <c r="B498" s="37">
        <f ca="1">DATEDIF(Employees!$F498,TODAY(),"Y")</f>
        <v>7</v>
      </c>
      <c r="C498" s="48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499" spans="1:3" x14ac:dyDescent="0.35">
      <c r="A499" s="40" t="str">
        <f>_xlfn.TEXTJOIN(" ",TRUE,Employees_Data[[#This Row],[First Name]],Employees_Data[[#This Row],[Last Name]])</f>
        <v>Baha Eusqul</v>
      </c>
      <c r="B499" s="41">
        <f ca="1">DATEDIF(Employees!$F499,TODAY(),"Y")</f>
        <v>8</v>
      </c>
      <c r="C499" s="49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500" spans="1:3" x14ac:dyDescent="0.35">
      <c r="A500" s="36" t="str">
        <f>_xlfn.TEXTJOIN(" ",TRUE,Employees_Data[[#This Row],[First Name]],Employees_Data[[#This Row],[Last Name]])</f>
        <v>Muhamad Hylmyh</v>
      </c>
      <c r="B500" s="37">
        <f ca="1">DATEDIF(Employees!$F500,TODAY(),"Y")</f>
        <v>7</v>
      </c>
      <c r="C500" s="48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501" spans="1:3" x14ac:dyDescent="0.35">
      <c r="A501" s="40" t="str">
        <f>_xlfn.TEXTJOIN(" ",TRUE,Employees_Data[[#This Row],[First Name]],Employees_Data[[#This Row],[Last Name]])</f>
        <v>Khadijah Turkamani</v>
      </c>
      <c r="B501" s="41">
        <f ca="1">DATEDIF(Employees!$F501,TODAY(),"Y")</f>
        <v>7</v>
      </c>
      <c r="C501" s="49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502" spans="1:3" x14ac:dyDescent="0.35">
      <c r="A502" s="36" t="str">
        <f>_xlfn.TEXTJOIN(" ",TRUE,Employees_Data[[#This Row],[First Name]],Employees_Data[[#This Row],[Last Name]])</f>
        <v>Asra Jameah</v>
      </c>
      <c r="B502" s="37">
        <f ca="1">DATEDIF(Employees!$F502,TODAY(),"Y")</f>
        <v>8</v>
      </c>
      <c r="C502" s="48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503" spans="1:3" x14ac:dyDescent="0.35">
      <c r="A503" s="40" t="str">
        <f>_xlfn.TEXTJOIN(" ",TRUE,Employees_Data[[#This Row],[First Name]],Employees_Data[[#This Row],[Last Name]])</f>
        <v>Akram Alhulwanii</v>
      </c>
      <c r="B503" s="41">
        <f ca="1">DATEDIF(Employees!$F503,TODAY(),"Y")</f>
        <v>10</v>
      </c>
      <c r="C503" s="49" t="str">
        <f ca="1">IFERROR(IF(Experience_Level[[#This Row],[Years]]&gt;=10,"Senior",IF(AND(Experience_Level[[#This Row],[Years]]&gt;=5,Experience_Level[[#This Row],[Years]]&lt;=9),"Mid-Level","Junior")),"Not Found")</f>
        <v>Senior</v>
      </c>
    </row>
    <row r="504" spans="1:3" x14ac:dyDescent="0.35">
      <c r="A504" s="36" t="str">
        <f>_xlfn.TEXTJOIN(" ",TRUE,Employees_Data[[#This Row],[First Name]],Employees_Data[[#This Row],[Last Name]])</f>
        <v>Samir Almisri</v>
      </c>
      <c r="B504" s="37">
        <f ca="1">DATEDIF(Employees!$F504,TODAY(),"Y")</f>
        <v>7</v>
      </c>
      <c r="C504" s="48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505" spans="1:3" x14ac:dyDescent="0.35">
      <c r="A505" s="40" t="str">
        <f>_xlfn.TEXTJOIN(" ",TRUE,Employees_Data[[#This Row],[First Name]],Employees_Data[[#This Row],[Last Name]])</f>
        <v>Ahmad Iidris</v>
      </c>
      <c r="B505" s="41">
        <f ca="1">DATEDIF(Employees!$F505,TODAY(),"Y")</f>
        <v>8</v>
      </c>
      <c r="C505" s="49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506" spans="1:3" x14ac:dyDescent="0.35">
      <c r="A506" s="36" t="str">
        <f>_xlfn.TEXTJOIN(" ",TRUE,Employees_Data[[#This Row],[First Name]],Employees_Data[[#This Row],[Last Name]])</f>
        <v>Khawla Dawi</v>
      </c>
      <c r="B506" s="37">
        <f ca="1">DATEDIF(Employees!$F506,TODAY(),"Y")</f>
        <v>9</v>
      </c>
      <c r="C506" s="48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507" spans="1:3" x14ac:dyDescent="0.35">
      <c r="A507" s="40" t="str">
        <f>_xlfn.TEXTJOIN(" ",TRUE,Employees_Data[[#This Row],[First Name]],Employees_Data[[#This Row],[Last Name]])</f>
        <v>Rayid Zazana</v>
      </c>
      <c r="B507" s="41">
        <f ca="1">DATEDIF(Employees!$F507,TODAY(),"Y")</f>
        <v>6</v>
      </c>
      <c r="C507" s="49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508" spans="1:3" x14ac:dyDescent="0.35">
      <c r="A508" s="36" t="str">
        <f>_xlfn.TEXTJOIN(" ",TRUE,Employees_Data[[#This Row],[First Name]],Employees_Data[[#This Row],[Last Name]])</f>
        <v>Razan Iybw</v>
      </c>
      <c r="B508" s="37">
        <f ca="1">DATEDIF(Employees!$F508,TODAY(),"Y")</f>
        <v>6</v>
      </c>
      <c r="C508" s="48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509" spans="1:3" x14ac:dyDescent="0.35">
      <c r="A509" s="40" t="str">
        <f>_xlfn.TEXTJOIN(" ",TRUE,Employees_Data[[#This Row],[First Name]],Employees_Data[[#This Row],[Last Name]])</f>
        <v>Jamil Ghabur</v>
      </c>
      <c r="B509" s="41">
        <f ca="1">DATEDIF(Employees!$F509,TODAY(),"Y")</f>
        <v>7</v>
      </c>
      <c r="C509" s="49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510" spans="1:3" x14ac:dyDescent="0.35">
      <c r="A510" s="36" t="str">
        <f>_xlfn.TEXTJOIN(" ",TRUE,Employees_Data[[#This Row],[First Name]],Employees_Data[[#This Row],[Last Name]])</f>
        <v>Alaa Sultan</v>
      </c>
      <c r="B510" s="37">
        <f ca="1">DATEDIF(Employees!$F510,TODAY(),"Y")</f>
        <v>7</v>
      </c>
      <c r="C510" s="48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511" spans="1:3" x14ac:dyDescent="0.35">
      <c r="A511" s="40" t="str">
        <f>_xlfn.TEXTJOIN(" ",TRUE,Employees_Data[[#This Row],[First Name]],Employees_Data[[#This Row],[Last Name]])</f>
        <v>Sultan Taysir</v>
      </c>
      <c r="B511" s="41">
        <f ca="1">DATEDIF(Employees!$F511,TODAY(),"Y")</f>
        <v>10</v>
      </c>
      <c r="C511" s="49" t="str">
        <f ca="1">IFERROR(IF(Experience_Level[[#This Row],[Years]]&gt;=10,"Senior",IF(AND(Experience_Level[[#This Row],[Years]]&gt;=5,Experience_Level[[#This Row],[Years]]&lt;=9),"Mid-Level","Junior")),"Not Found")</f>
        <v>Senior</v>
      </c>
    </row>
    <row r="512" spans="1:3" x14ac:dyDescent="0.35">
      <c r="A512" s="36" t="str">
        <f>_xlfn.TEXTJOIN(" ",TRUE,Employees_Data[[#This Row],[First Name]],Employees_Data[[#This Row],[Last Name]])</f>
        <v>Hanan Kurdiun</v>
      </c>
      <c r="B512" s="37">
        <f ca="1">DATEDIF(Employees!$F512,TODAY(),"Y")</f>
        <v>7</v>
      </c>
      <c r="C512" s="48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513" spans="1:3" x14ac:dyDescent="0.35">
      <c r="A513" s="40" t="str">
        <f>_xlfn.TEXTJOIN(" ",TRUE,Employees_Data[[#This Row],[First Name]],Employees_Data[[#This Row],[Last Name]])</f>
        <v>Basil Salih</v>
      </c>
      <c r="B513" s="41">
        <f ca="1">DATEDIF(Employees!$F513,TODAY(),"Y")</f>
        <v>8</v>
      </c>
      <c r="C513" s="49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514" spans="1:3" x14ac:dyDescent="0.35">
      <c r="A514" s="36" t="str">
        <f>_xlfn.TEXTJOIN(" ",TRUE,Employees_Data[[#This Row],[First Name]],Employees_Data[[#This Row],[Last Name]])</f>
        <v>Rita Dib</v>
      </c>
      <c r="B514" s="37">
        <f ca="1">DATEDIF(Employees!$F514,TODAY(),"Y")</f>
        <v>6</v>
      </c>
      <c r="C514" s="48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515" spans="1:3" x14ac:dyDescent="0.35">
      <c r="A515" s="40" t="str">
        <f>_xlfn.TEXTJOIN(" ",TRUE,Employees_Data[[#This Row],[First Name]],Employees_Data[[#This Row],[Last Name]])</f>
        <v>Muhamad Alghush</v>
      </c>
      <c r="B515" s="41">
        <f ca="1">DATEDIF(Employees!$F515,TODAY(),"Y")</f>
        <v>7</v>
      </c>
      <c r="C515" s="49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516" spans="1:3" x14ac:dyDescent="0.35">
      <c r="A516" s="36" t="str">
        <f>_xlfn.TEXTJOIN(" ",TRUE,Employees_Data[[#This Row],[First Name]],Employees_Data[[#This Row],[Last Name]])</f>
        <v>Muhamad Iismaeil</v>
      </c>
      <c r="B516" s="37">
        <f ca="1">DATEDIF(Employees!$F516,TODAY(),"Y")</f>
        <v>5</v>
      </c>
      <c r="C516" s="48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517" spans="1:3" x14ac:dyDescent="0.35">
      <c r="A517" s="40" t="str">
        <f>_xlfn.TEXTJOIN(" ",TRUE,Employees_Data[[#This Row],[First Name]],Employees_Data[[#This Row],[Last Name]])</f>
        <v>Khaldun Alsaedi</v>
      </c>
      <c r="B517" s="41">
        <f ca="1">DATEDIF(Employees!$F517,TODAY(),"Y")</f>
        <v>6</v>
      </c>
      <c r="C517" s="49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518" spans="1:3" x14ac:dyDescent="0.35">
      <c r="A518" s="36" t="str">
        <f>_xlfn.TEXTJOIN(" ",TRUE,Employees_Data[[#This Row],[First Name]],Employees_Data[[#This Row],[Last Name]])</f>
        <v>Ghaliah Eibad</v>
      </c>
      <c r="B518" s="37">
        <f ca="1">DATEDIF(Employees!$F518,TODAY(),"Y")</f>
        <v>6</v>
      </c>
      <c r="C518" s="48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519" spans="1:3" x14ac:dyDescent="0.35">
      <c r="A519" s="40" t="str">
        <f>_xlfn.TEXTJOIN(" ",TRUE,Employees_Data[[#This Row],[First Name]],Employees_Data[[#This Row],[Last Name]])</f>
        <v>Muhamad Alsaedi</v>
      </c>
      <c r="B519" s="41">
        <f ca="1">DATEDIF(Employees!$F519,TODAY(),"Y")</f>
        <v>6</v>
      </c>
      <c r="C519" s="49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520" spans="1:3" x14ac:dyDescent="0.35">
      <c r="A520" s="36" t="str">
        <f>_xlfn.TEXTJOIN(" ",TRUE,Employees_Data[[#This Row],[First Name]],Employees_Data[[#This Row],[Last Name]])</f>
        <v>Eala Zaniqa</v>
      </c>
      <c r="B520" s="37">
        <f ca="1">DATEDIF(Employees!$F520,TODAY(),"Y")</f>
        <v>9</v>
      </c>
      <c r="C520" s="48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521" spans="1:3" x14ac:dyDescent="0.35">
      <c r="A521" s="40" t="str">
        <f>_xlfn.TEXTJOIN(" ",TRUE,Employees_Data[[#This Row],[First Name]],Employees_Data[[#This Row],[Last Name]])</f>
        <v>Ayham Sharfah</v>
      </c>
      <c r="B521" s="41">
        <f ca="1">DATEDIF(Employees!$F521,TODAY(),"Y")</f>
        <v>8</v>
      </c>
      <c r="C521" s="49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522" spans="1:3" x14ac:dyDescent="0.35">
      <c r="A522" s="36" t="str">
        <f>_xlfn.TEXTJOIN(" ",TRUE,Employees_Data[[#This Row],[First Name]],Employees_Data[[#This Row],[Last Name]])</f>
        <v>Ahmad Kazeur</v>
      </c>
      <c r="B522" s="37">
        <f ca="1">DATEDIF(Employees!$F522,TODAY(),"Y")</f>
        <v>7</v>
      </c>
      <c r="C522" s="48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523" spans="1:3" x14ac:dyDescent="0.35">
      <c r="A523" s="40" t="str">
        <f>_xlfn.TEXTJOIN(" ",TRUE,Employees_Data[[#This Row],[First Name]],Employees_Data[[#This Row],[Last Name]])</f>
        <v>Mujdi Kiwan</v>
      </c>
      <c r="B523" s="41">
        <f ca="1">DATEDIF(Employees!$F523,TODAY(),"Y")</f>
        <v>5</v>
      </c>
      <c r="C523" s="49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524" spans="1:3" x14ac:dyDescent="0.35">
      <c r="A524" s="36" t="str">
        <f>_xlfn.TEXTJOIN(" ",TRUE,Employees_Data[[#This Row],[First Name]],Employees_Data[[#This Row],[Last Name]])</f>
        <v>Muhamad Altynawi</v>
      </c>
      <c r="B524" s="37">
        <f ca="1">DATEDIF(Employees!$F524,TODAY(),"Y")</f>
        <v>7</v>
      </c>
      <c r="C524" s="48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525" spans="1:3" x14ac:dyDescent="0.35">
      <c r="A525" s="40" t="str">
        <f>_xlfn.TEXTJOIN(" ",TRUE,Employees_Data[[#This Row],[First Name]],Employees_Data[[#This Row],[Last Name]])</f>
        <v>Lama Alhasan</v>
      </c>
      <c r="B525" s="41">
        <f ca="1">DATEDIF(Employees!$F525,TODAY(),"Y")</f>
        <v>8</v>
      </c>
      <c r="C525" s="49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526" spans="1:3" x14ac:dyDescent="0.35">
      <c r="A526" s="36" t="str">
        <f>_xlfn.TEXTJOIN(" ",TRUE,Employees_Data[[#This Row],[First Name]],Employees_Data[[#This Row],[Last Name]])</f>
        <v>Lama Almisri</v>
      </c>
      <c r="B526" s="37">
        <f ca="1">DATEDIF(Employees!$F526,TODAY(),"Y")</f>
        <v>6</v>
      </c>
      <c r="C526" s="48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527" spans="1:3" x14ac:dyDescent="0.35">
      <c r="A527" s="40" t="str">
        <f>_xlfn.TEXTJOIN(" ",TRUE,Employees_Data[[#This Row],[First Name]],Employees_Data[[#This Row],[Last Name]])</f>
        <v>Thayir Hamuwda</v>
      </c>
      <c r="B527" s="41">
        <f ca="1">DATEDIF(Employees!$F527,TODAY(),"Y")</f>
        <v>6</v>
      </c>
      <c r="C527" s="49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528" spans="1:3" x14ac:dyDescent="0.35">
      <c r="A528" s="36" t="str">
        <f>_xlfn.TEXTJOIN(" ",TRUE,Employees_Data[[#This Row],[First Name]],Employees_Data[[#This Row],[Last Name]])</f>
        <v>Abdallah Zakariaa</v>
      </c>
      <c r="B528" s="37">
        <f ca="1">DATEDIF(Employees!$F528,TODAY(),"Y")</f>
        <v>7</v>
      </c>
      <c r="C528" s="48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529" spans="1:3" x14ac:dyDescent="0.35">
      <c r="A529" s="40" t="str">
        <f>_xlfn.TEXTJOIN(" ",TRUE,Employees_Data[[#This Row],[First Name]],Employees_Data[[#This Row],[Last Name]])</f>
        <v>Ikhlas Alhasan</v>
      </c>
      <c r="B529" s="41">
        <f ca="1">DATEDIF(Employees!$F529,TODAY(),"Y")</f>
        <v>6</v>
      </c>
      <c r="C529" s="49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530" spans="1:3" x14ac:dyDescent="0.35">
      <c r="A530" s="36" t="str">
        <f>_xlfn.TEXTJOIN(" ",TRUE,Employees_Data[[#This Row],[First Name]],Employees_Data[[#This Row],[Last Name]])</f>
        <v>Muhamad Jzayrly</v>
      </c>
      <c r="B530" s="37">
        <f ca="1">DATEDIF(Employees!$F530,TODAY(),"Y")</f>
        <v>8</v>
      </c>
      <c r="C530" s="48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531" spans="1:3" x14ac:dyDescent="0.35">
      <c r="A531" s="40" t="str">
        <f>_xlfn.TEXTJOIN(" ",TRUE,Employees_Data[[#This Row],[First Name]],Employees_Data[[#This Row],[Last Name]])</f>
        <v>Husam Badr</v>
      </c>
      <c r="B531" s="41">
        <f ca="1">DATEDIF(Employees!$F531,TODAY(),"Y")</f>
        <v>7</v>
      </c>
      <c r="C531" s="49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532" spans="1:3" x14ac:dyDescent="0.35">
      <c r="A532" s="36" t="str">
        <f>_xlfn.TEXTJOIN(" ",TRUE,Employees_Data[[#This Row],[First Name]],Employees_Data[[#This Row],[Last Name]])</f>
        <v>Rami Hunun</v>
      </c>
      <c r="B532" s="37">
        <f ca="1">DATEDIF(Employees!$F532,TODAY(),"Y")</f>
        <v>6</v>
      </c>
      <c r="C532" s="48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533" spans="1:3" x14ac:dyDescent="0.35">
      <c r="A533" s="40" t="str">
        <f>_xlfn.TEXTJOIN(" ",TRUE,Employees_Data[[#This Row],[First Name]],Employees_Data[[#This Row],[Last Name]])</f>
        <v>Alia Abu</v>
      </c>
      <c r="B533" s="41">
        <f ca="1">DATEDIF(Employees!$F533,TODAY(),"Y")</f>
        <v>7</v>
      </c>
      <c r="C533" s="49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534" spans="1:3" x14ac:dyDescent="0.35">
      <c r="A534" s="36" t="str">
        <f>_xlfn.TEXTJOIN(" ",TRUE,Employees_Data[[#This Row],[First Name]],Employees_Data[[#This Row],[Last Name]])</f>
        <v>Samir Sariji</v>
      </c>
      <c r="B534" s="37">
        <f ca="1">DATEDIF(Employees!$F534,TODAY(),"Y")</f>
        <v>6</v>
      </c>
      <c r="C534" s="48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535" spans="1:3" x14ac:dyDescent="0.35">
      <c r="A535" s="40" t="str">
        <f>_xlfn.TEXTJOIN(" ",TRUE,Employees_Data[[#This Row],[First Name]],Employees_Data[[#This Row],[Last Name]])</f>
        <v>Muhamad Albieli</v>
      </c>
      <c r="B535" s="41">
        <f ca="1">DATEDIF(Employees!$F535,TODAY(),"Y")</f>
        <v>10</v>
      </c>
      <c r="C535" s="49" t="str">
        <f ca="1">IFERROR(IF(Experience_Level[[#This Row],[Years]]&gt;=10,"Senior",IF(AND(Experience_Level[[#This Row],[Years]]&gt;=5,Experience_Level[[#This Row],[Years]]&lt;=9),"Mid-Level","Junior")),"Not Found")</f>
        <v>Senior</v>
      </c>
    </row>
    <row r="536" spans="1:3" x14ac:dyDescent="0.35">
      <c r="A536" s="36" t="str">
        <f>_xlfn.TEXTJOIN(" ",TRUE,Employees_Data[[#This Row],[First Name]],Employees_Data[[#This Row],[Last Name]])</f>
        <v>Ahmad Eyd Bndqjy</v>
      </c>
      <c r="B536" s="37">
        <f ca="1">DATEDIF(Employees!$F536,TODAY(),"Y")</f>
        <v>9</v>
      </c>
      <c r="C536" s="48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537" spans="1:3" x14ac:dyDescent="0.35">
      <c r="A537" s="40" t="str">
        <f>_xlfn.TEXTJOIN(" ",TRUE,Employees_Data[[#This Row],[First Name]],Employees_Data[[#This Row],[Last Name]])</f>
        <v>Maria Lulu</v>
      </c>
      <c r="B537" s="41">
        <f ca="1">DATEDIF(Employees!$F537,TODAY(),"Y")</f>
        <v>8</v>
      </c>
      <c r="C537" s="49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538" spans="1:3" x14ac:dyDescent="0.35">
      <c r="A538" s="36" t="str">
        <f>_xlfn.TEXTJOIN(" ",TRUE,Employees_Data[[#This Row],[First Name]],Employees_Data[[#This Row],[Last Name]])</f>
        <v>Muhamad Shhybr</v>
      </c>
      <c r="B538" s="37">
        <f ca="1">DATEDIF(Employees!$F538,TODAY(),"Y")</f>
        <v>6</v>
      </c>
      <c r="C538" s="48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539" spans="1:3" x14ac:dyDescent="0.35">
      <c r="A539" s="40" t="str">
        <f>_xlfn.TEXTJOIN(" ",TRUE,Employees_Data[[#This Row],[First Name]],Employees_Data[[#This Row],[Last Name]])</f>
        <v>Abdalbasit Aljazayiriu</v>
      </c>
      <c r="B539" s="41">
        <f ca="1">DATEDIF(Employees!$F539,TODAY(),"Y")</f>
        <v>7</v>
      </c>
      <c r="C539" s="49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540" spans="1:3" x14ac:dyDescent="0.35">
      <c r="A540" s="36" t="str">
        <f>_xlfn.TEXTJOIN(" ",TRUE,Employees_Data[[#This Row],[First Name]],Employees_Data[[#This Row],[Last Name]])</f>
        <v>Bilal Aywbi</v>
      </c>
      <c r="B540" s="37">
        <f ca="1">DATEDIF(Employees!$F540,TODAY(),"Y")</f>
        <v>6</v>
      </c>
      <c r="C540" s="48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541" spans="1:3" x14ac:dyDescent="0.35">
      <c r="A541" s="40" t="str">
        <f>_xlfn.TEXTJOIN(" ",TRUE,Employees_Data[[#This Row],[First Name]],Employees_Data[[#This Row],[Last Name]])</f>
        <v>Ahmad Dabana</v>
      </c>
      <c r="B541" s="41">
        <f ca="1">DATEDIF(Employees!$F541,TODAY(),"Y")</f>
        <v>7</v>
      </c>
      <c r="C541" s="49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542" spans="1:3" x14ac:dyDescent="0.35">
      <c r="A542" s="36" t="str">
        <f>_xlfn.TEXTJOIN(" ",TRUE,Employees_Data[[#This Row],[First Name]],Employees_Data[[#This Row],[Last Name]])</f>
        <v>Fawaz Ghazal</v>
      </c>
      <c r="B542" s="37">
        <f ca="1">DATEDIF(Employees!$F542,TODAY(),"Y")</f>
        <v>6</v>
      </c>
      <c r="C542" s="48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543" spans="1:3" x14ac:dyDescent="0.35">
      <c r="A543" s="40" t="str">
        <f>_xlfn.TEXTJOIN(" ",TRUE,Employees_Data[[#This Row],[First Name]],Employees_Data[[#This Row],[Last Name]])</f>
        <v>Bisam Altahhan</v>
      </c>
      <c r="B543" s="41">
        <f ca="1">DATEDIF(Employees!$F543,TODAY(),"Y")</f>
        <v>7</v>
      </c>
      <c r="C543" s="49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544" spans="1:3" x14ac:dyDescent="0.35">
      <c r="A544" s="36" t="str">
        <f>_xlfn.TEXTJOIN(" ",TRUE,Employees_Data[[#This Row],[First Name]],Employees_Data[[#This Row],[Last Name]])</f>
        <v>Muhamad Amir</v>
      </c>
      <c r="B544" s="37">
        <f ca="1">DATEDIF(Employees!$F544,TODAY(),"Y")</f>
        <v>8</v>
      </c>
      <c r="C544" s="48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545" spans="1:3" x14ac:dyDescent="0.35">
      <c r="A545" s="40" t="str">
        <f>_xlfn.TEXTJOIN(" ",TRUE,Employees_Data[[#This Row],[First Name]],Employees_Data[[#This Row],[Last Name]])</f>
        <v>Lilas Nafae</v>
      </c>
      <c r="B545" s="41">
        <f ca="1">DATEDIF(Employees!$F545,TODAY(),"Y")</f>
        <v>8</v>
      </c>
      <c r="C545" s="49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546" spans="1:3" x14ac:dyDescent="0.35">
      <c r="A546" s="36" t="str">
        <f>_xlfn.TEXTJOIN(" ",TRUE,Employees_Data[[#This Row],[First Name]],Employees_Data[[#This Row],[Last Name]])</f>
        <v>Muhamad Ayman</v>
      </c>
      <c r="B546" s="37">
        <f ca="1">DATEDIF(Employees!$F546,TODAY(),"Y")</f>
        <v>10</v>
      </c>
      <c r="C546" s="48" t="str">
        <f ca="1">IFERROR(IF(Experience_Level[[#This Row],[Years]]&gt;=10,"Senior",IF(AND(Experience_Level[[#This Row],[Years]]&gt;=5,Experience_Level[[#This Row],[Years]]&lt;=9),"Mid-Level","Junior")),"Not Found")</f>
        <v>Senior</v>
      </c>
    </row>
    <row r="547" spans="1:3" x14ac:dyDescent="0.35">
      <c r="A547" s="40" t="str">
        <f>_xlfn.TEXTJOIN(" ",TRUE,Employees_Data[[#This Row],[First Name]],Employees_Data[[#This Row],[Last Name]])</f>
        <v>Ranim Earabi</v>
      </c>
      <c r="B547" s="41">
        <f ca="1">DATEDIF(Employees!$F547,TODAY(),"Y")</f>
        <v>6</v>
      </c>
      <c r="C547" s="49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548" spans="1:3" x14ac:dyDescent="0.35">
      <c r="A548" s="36" t="str">
        <f>_xlfn.TEXTJOIN(" ",TRUE,Employees_Data[[#This Row],[First Name]],Employees_Data[[#This Row],[Last Name]])</f>
        <v>Amani Altujjar</v>
      </c>
      <c r="B548" s="37">
        <f ca="1">DATEDIF(Employees!$F548,TODAY(),"Y")</f>
        <v>9</v>
      </c>
      <c r="C548" s="48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549" spans="1:3" x14ac:dyDescent="0.35">
      <c r="A549" s="40" t="str">
        <f>_xlfn.TEXTJOIN(" ",TRUE,Employees_Data[[#This Row],[First Name]],Employees_Data[[#This Row],[Last Name]])</f>
        <v>Muhamad Rashid</v>
      </c>
      <c r="B549" s="41">
        <f ca="1">DATEDIF(Employees!$F549,TODAY(),"Y")</f>
        <v>5</v>
      </c>
      <c r="C549" s="49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550" spans="1:3" x14ac:dyDescent="0.35">
      <c r="A550" s="36" t="str">
        <f>_xlfn.TEXTJOIN(" ",TRUE,Employees_Data[[#This Row],[First Name]],Employees_Data[[#This Row],[Last Name]])</f>
        <v>Amin Hamid</v>
      </c>
      <c r="B550" s="37">
        <f ca="1">DATEDIF(Employees!$F550,TODAY(),"Y")</f>
        <v>10</v>
      </c>
      <c r="C550" s="48" t="str">
        <f ca="1">IFERROR(IF(Experience_Level[[#This Row],[Years]]&gt;=10,"Senior",IF(AND(Experience_Level[[#This Row],[Years]]&gt;=5,Experience_Level[[#This Row],[Years]]&lt;=9),"Mid-Level","Junior")),"Not Found")</f>
        <v>Senior</v>
      </c>
    </row>
    <row r="551" spans="1:3" x14ac:dyDescent="0.35">
      <c r="A551" s="40" t="str">
        <f>_xlfn.TEXTJOIN(" ",TRUE,Employees_Data[[#This Row],[First Name]],Employees_Data[[#This Row],[Last Name]])</f>
        <v>Khalid Jameah</v>
      </c>
      <c r="B551" s="41">
        <f ca="1">DATEDIF(Employees!$F551,TODAY(),"Y")</f>
        <v>7</v>
      </c>
      <c r="C551" s="49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552" spans="1:3" x14ac:dyDescent="0.35">
      <c r="A552" s="36" t="str">
        <f>_xlfn.TEXTJOIN(" ",TRUE,Employees_Data[[#This Row],[First Name]],Employees_Data[[#This Row],[Last Name]])</f>
        <v>Fahd Shaykh</v>
      </c>
      <c r="B552" s="37">
        <f ca="1">DATEDIF(Employees!$F552,TODAY(),"Y")</f>
        <v>6</v>
      </c>
      <c r="C552" s="48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553" spans="1:3" x14ac:dyDescent="0.35">
      <c r="A553" s="40" t="str">
        <f>_xlfn.TEXTJOIN(" ",TRUE,Employees_Data[[#This Row],[First Name]],Employees_Data[[#This Row],[Last Name]])</f>
        <v>Lilas Kashik</v>
      </c>
      <c r="B553" s="41">
        <f ca="1">DATEDIF(Employees!$F553,TODAY(),"Y")</f>
        <v>10</v>
      </c>
      <c r="C553" s="49" t="str">
        <f ca="1">IFERROR(IF(Experience_Level[[#This Row],[Years]]&gt;=10,"Senior",IF(AND(Experience_Level[[#This Row],[Years]]&gt;=5,Experience_Level[[#This Row],[Years]]&lt;=9),"Mid-Level","Junior")),"Not Found")</f>
        <v>Senior</v>
      </c>
    </row>
    <row r="554" spans="1:3" x14ac:dyDescent="0.35">
      <c r="A554" s="36" t="str">
        <f>_xlfn.TEXTJOIN(" ",TRUE,Employees_Data[[#This Row],[First Name]],Employees_Data[[#This Row],[Last Name]])</f>
        <v>Fatima Hasan</v>
      </c>
      <c r="B554" s="37">
        <f ca="1">DATEDIF(Employees!$F554,TODAY(),"Y")</f>
        <v>8</v>
      </c>
      <c r="C554" s="48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555" spans="1:3" x14ac:dyDescent="0.35">
      <c r="A555" s="40" t="str">
        <f>_xlfn.TEXTJOIN(" ",TRUE,Employees_Data[[#This Row],[First Name]],Employees_Data[[#This Row],[Last Name]])</f>
        <v>Diea Dakhal</v>
      </c>
      <c r="B555" s="41">
        <f ca="1">DATEDIF(Employees!$F555,TODAY(),"Y")</f>
        <v>6</v>
      </c>
      <c r="C555" s="49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556" spans="1:3" x14ac:dyDescent="0.35">
      <c r="A556" s="36" t="str">
        <f>_xlfn.TEXTJOIN(" ",TRUE,Employees_Data[[#This Row],[First Name]],Employees_Data[[#This Row],[Last Name]])</f>
        <v>Amir Karishati</v>
      </c>
      <c r="B556" s="37">
        <f ca="1">DATEDIF(Employees!$F556,TODAY(),"Y")</f>
        <v>7</v>
      </c>
      <c r="C556" s="48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557" spans="1:3" x14ac:dyDescent="0.35">
      <c r="A557" s="40" t="str">
        <f>_xlfn.TEXTJOIN(" ",TRUE,Employees_Data[[#This Row],[First Name]],Employees_Data[[#This Row],[Last Name]])</f>
        <v>Madlin Alsaed</v>
      </c>
      <c r="B557" s="41">
        <f ca="1">DATEDIF(Employees!$F557,TODAY(),"Y")</f>
        <v>9</v>
      </c>
      <c r="C557" s="49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558" spans="1:3" x14ac:dyDescent="0.35">
      <c r="A558" s="36" t="str">
        <f>_xlfn.TEXTJOIN(" ",TRUE,Employees_Data[[#This Row],[First Name]],Employees_Data[[#This Row],[Last Name]])</f>
        <v>Adnan Aleaqla</v>
      </c>
      <c r="B558" s="37">
        <f ca="1">DATEDIF(Employees!$F558,TODAY(),"Y")</f>
        <v>9</v>
      </c>
      <c r="C558" s="48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559" spans="1:3" x14ac:dyDescent="0.35">
      <c r="A559" s="40" t="str">
        <f>_xlfn.TEXTJOIN(" ",TRUE,Employees_Data[[#This Row],[First Name]],Employees_Data[[#This Row],[Last Name]])</f>
        <v>Muhamad Eursaly</v>
      </c>
      <c r="B559" s="41">
        <f ca="1">DATEDIF(Employees!$F559,TODAY(),"Y")</f>
        <v>7</v>
      </c>
      <c r="C559" s="49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560" spans="1:3" x14ac:dyDescent="0.35">
      <c r="A560" s="36" t="str">
        <f>_xlfn.TEXTJOIN(" ",TRUE,Employees_Data[[#This Row],[First Name]],Employees_Data[[#This Row],[Last Name]])</f>
        <v>Ranya Alaishhab</v>
      </c>
      <c r="B560" s="37">
        <f ca="1">DATEDIF(Employees!$F560,TODAY(),"Y")</f>
        <v>9</v>
      </c>
      <c r="C560" s="48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561" spans="1:3" x14ac:dyDescent="0.35">
      <c r="A561" s="40" t="str">
        <f>_xlfn.TEXTJOIN(" ",TRUE,Employees_Data[[#This Row],[First Name]],Employees_Data[[#This Row],[Last Name]])</f>
        <v>Rulaa Shannar</v>
      </c>
      <c r="B561" s="41">
        <f ca="1">DATEDIF(Employees!$F561,TODAY(),"Y")</f>
        <v>6</v>
      </c>
      <c r="C561" s="49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562" spans="1:3" x14ac:dyDescent="0.35">
      <c r="A562" s="36" t="str">
        <f>_xlfn.TEXTJOIN(" ",TRUE,Employees_Data[[#This Row],[First Name]],Employees_Data[[#This Row],[Last Name]])</f>
        <v>Aynas Alhiwat</v>
      </c>
      <c r="B562" s="37">
        <f ca="1">DATEDIF(Employees!$F562,TODAY(),"Y")</f>
        <v>5</v>
      </c>
      <c r="C562" s="48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563" spans="1:3" x14ac:dyDescent="0.35">
      <c r="A563" s="40" t="str">
        <f>_xlfn.TEXTJOIN(" ",TRUE,Employees_Data[[#This Row],[First Name]],Employees_Data[[#This Row],[Last Name]])</f>
        <v>Sara Tabanaj</v>
      </c>
      <c r="B563" s="41">
        <f ca="1">DATEDIF(Employees!$F563,TODAY(),"Y")</f>
        <v>8</v>
      </c>
      <c r="C563" s="49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564" spans="1:3" x14ac:dyDescent="0.35">
      <c r="A564" s="36" t="str">
        <f>_xlfn.TEXTJOIN(" ",TRUE,Employees_Data[[#This Row],[First Name]],Employees_Data[[#This Row],[Last Name]])</f>
        <v>Abd Allah Aldahan</v>
      </c>
      <c r="B564" s="37">
        <f ca="1">DATEDIF(Employees!$F564,TODAY(),"Y")</f>
        <v>5</v>
      </c>
      <c r="C564" s="48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565" spans="1:3" x14ac:dyDescent="0.35">
      <c r="A565" s="40" t="str">
        <f>_xlfn.TEXTJOIN(" ",TRUE,Employees_Data[[#This Row],[First Name]],Employees_Data[[#This Row],[Last Name]])</f>
        <v>Muhamad Ramzi</v>
      </c>
      <c r="B565" s="41">
        <f ca="1">DATEDIF(Employees!$F565,TODAY(),"Y")</f>
        <v>8</v>
      </c>
      <c r="C565" s="49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566" spans="1:3" x14ac:dyDescent="0.35">
      <c r="A566" s="36" t="str">
        <f>_xlfn.TEXTJOIN(" ",TRUE,Employees_Data[[#This Row],[First Name]],Employees_Data[[#This Row],[Last Name]])</f>
        <v>Jan Mikayiylian</v>
      </c>
      <c r="B566" s="37">
        <f ca="1">DATEDIF(Employees!$F566,TODAY(),"Y")</f>
        <v>10</v>
      </c>
      <c r="C566" s="48" t="str">
        <f ca="1">IFERROR(IF(Experience_Level[[#This Row],[Years]]&gt;=10,"Senior",IF(AND(Experience_Level[[#This Row],[Years]]&gt;=5,Experience_Level[[#This Row],[Years]]&lt;=9),"Mid-Level","Junior")),"Not Found")</f>
        <v>Senior</v>
      </c>
    </row>
    <row r="567" spans="1:3" x14ac:dyDescent="0.35">
      <c r="A567" s="40" t="str">
        <f>_xlfn.TEXTJOIN(" ",TRUE,Employees_Data[[#This Row],[First Name]],Employees_Data[[#This Row],[Last Name]])</f>
        <v>Almuthanaa Alsaediu</v>
      </c>
      <c r="B567" s="41">
        <f ca="1">DATEDIF(Employees!$F567,TODAY(),"Y")</f>
        <v>6</v>
      </c>
      <c r="C567" s="49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568" spans="1:3" x14ac:dyDescent="0.35">
      <c r="A568" s="36" t="str">
        <f>_xlfn.TEXTJOIN(" ",TRUE,Employees_Data[[#This Row],[First Name]],Employees_Data[[#This Row],[Last Name]])</f>
        <v>Emad Dulul</v>
      </c>
      <c r="B568" s="37">
        <f ca="1">DATEDIF(Employees!$F568,TODAY(),"Y")</f>
        <v>8</v>
      </c>
      <c r="C568" s="48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569" spans="1:3" x14ac:dyDescent="0.35">
      <c r="A569" s="40" t="str">
        <f>_xlfn.TEXTJOIN(" ",TRUE,Employees_Data[[#This Row],[First Name]],Employees_Data[[#This Row],[Last Name]])</f>
        <v>Sarah Haydar</v>
      </c>
      <c r="B569" s="41">
        <f ca="1">DATEDIF(Employees!$F569,TODAY(),"Y")</f>
        <v>7</v>
      </c>
      <c r="C569" s="49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570" spans="1:3" x14ac:dyDescent="0.35">
      <c r="A570" s="36" t="str">
        <f>_xlfn.TEXTJOIN(" ",TRUE,Employees_Data[[#This Row],[First Name]],Employees_Data[[#This Row],[Last Name]])</f>
        <v>Abdalkarim Shueayb</v>
      </c>
      <c r="B570" s="37">
        <f ca="1">DATEDIF(Employees!$F570,TODAY(),"Y")</f>
        <v>7</v>
      </c>
      <c r="C570" s="48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571" spans="1:3" x14ac:dyDescent="0.35">
      <c r="A571" s="40" t="str">
        <f>_xlfn.TEXTJOIN(" ",TRUE,Employees_Data[[#This Row],[First Name]],Employees_Data[[#This Row],[Last Name]])</f>
        <v>Muhamad Khayr</v>
      </c>
      <c r="B571" s="41">
        <f ca="1">DATEDIF(Employees!$F571,TODAY(),"Y")</f>
        <v>6</v>
      </c>
      <c r="C571" s="49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572" spans="1:3" x14ac:dyDescent="0.35">
      <c r="A572" s="36" t="str">
        <f>_xlfn.TEXTJOIN(" ",TRUE,Employees_Data[[#This Row],[First Name]],Employees_Data[[#This Row],[Last Name]])</f>
        <v>Shadi Qitan</v>
      </c>
      <c r="B572" s="37">
        <f ca="1">DATEDIF(Employees!$F572,TODAY(),"Y")</f>
        <v>9</v>
      </c>
      <c r="C572" s="48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573" spans="1:3" x14ac:dyDescent="0.35">
      <c r="A573" s="40" t="str">
        <f>_xlfn.TEXTJOIN(" ",TRUE,Employees_Data[[#This Row],[First Name]],Employees_Data[[#This Row],[Last Name]])</f>
        <v>Muhamad Rajab</v>
      </c>
      <c r="B573" s="41">
        <f ca="1">DATEDIF(Employees!$F573,TODAY(),"Y")</f>
        <v>5</v>
      </c>
      <c r="C573" s="49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574" spans="1:3" x14ac:dyDescent="0.35">
      <c r="A574" s="36" t="str">
        <f>_xlfn.TEXTJOIN(" ",TRUE,Employees_Data[[#This Row],[First Name]],Employees_Data[[#This Row],[Last Name]])</f>
        <v>Khalid Alkhawam</v>
      </c>
      <c r="B574" s="37">
        <f ca="1">DATEDIF(Employees!$F574,TODAY(),"Y")</f>
        <v>10</v>
      </c>
      <c r="C574" s="48" t="str">
        <f ca="1">IFERROR(IF(Experience_Level[[#This Row],[Years]]&gt;=10,"Senior",IF(AND(Experience_Level[[#This Row],[Years]]&gt;=5,Experience_Level[[#This Row],[Years]]&lt;=9),"Mid-Level","Junior")),"Not Found")</f>
        <v>Senior</v>
      </c>
    </row>
    <row r="575" spans="1:3" x14ac:dyDescent="0.35">
      <c r="A575" s="40" t="str">
        <f>_xlfn.TEXTJOIN(" ",TRUE,Employees_Data[[#This Row],[First Name]],Employees_Data[[#This Row],[Last Name]])</f>
        <v>Muhamad Asamh</v>
      </c>
      <c r="B575" s="41">
        <f ca="1">DATEDIF(Employees!$F575,TODAY(),"Y")</f>
        <v>8</v>
      </c>
      <c r="C575" s="49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576" spans="1:3" x14ac:dyDescent="0.35">
      <c r="A576" s="36" t="str">
        <f>_xlfn.TEXTJOIN(" ",TRUE,Employees_Data[[#This Row],[First Name]],Employees_Data[[#This Row],[Last Name]])</f>
        <v>Alaa Alyusif</v>
      </c>
      <c r="B576" s="37">
        <f ca="1">DATEDIF(Employees!$F576,TODAY(),"Y")</f>
        <v>6</v>
      </c>
      <c r="C576" s="48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577" spans="1:3" x14ac:dyDescent="0.35">
      <c r="A577" s="40" t="str">
        <f>_xlfn.TEXTJOIN(" ",TRUE,Employees_Data[[#This Row],[First Name]],Employees_Data[[#This Row],[Last Name]])</f>
        <v>Asym Aleaqqad</v>
      </c>
      <c r="B577" s="41">
        <f ca="1">DATEDIF(Employees!$F577,TODAY(),"Y")</f>
        <v>7</v>
      </c>
      <c r="C577" s="49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578" spans="1:3" x14ac:dyDescent="0.35">
      <c r="A578" s="36" t="str">
        <f>_xlfn.TEXTJOIN(" ",TRUE,Employees_Data[[#This Row],[First Name]],Employees_Data[[#This Row],[Last Name]])</f>
        <v>Ahmad Dahman</v>
      </c>
      <c r="B578" s="37">
        <f ca="1">DATEDIF(Employees!$F578,TODAY(),"Y")</f>
        <v>6</v>
      </c>
      <c r="C578" s="48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579" spans="1:3" x14ac:dyDescent="0.35">
      <c r="A579" s="40" t="str">
        <f>_xlfn.TEXTJOIN(" ",TRUE,Employees_Data[[#This Row],[First Name]],Employees_Data[[#This Row],[Last Name]])</f>
        <v>Oqba Alqintar</v>
      </c>
      <c r="B579" s="41">
        <f ca="1">DATEDIF(Employees!$F579,TODAY(),"Y")</f>
        <v>7</v>
      </c>
      <c r="C579" s="49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580" spans="1:3" x14ac:dyDescent="0.35">
      <c r="A580" s="36" t="str">
        <f>_xlfn.TEXTJOIN(" ",TRUE,Employees_Data[[#This Row],[First Name]],Employees_Data[[#This Row],[Last Name]])</f>
        <v>Rahaf Laylanaan</v>
      </c>
      <c r="B580" s="37">
        <f ca="1">DATEDIF(Employees!$F580,TODAY(),"Y")</f>
        <v>7</v>
      </c>
      <c r="C580" s="48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581" spans="1:3" x14ac:dyDescent="0.35">
      <c r="A581" s="40" t="str">
        <f>_xlfn.TEXTJOIN(" ",TRUE,Employees_Data[[#This Row],[First Name]],Employees_Data[[#This Row],[Last Name]])</f>
        <v>Muhamad Rajab</v>
      </c>
      <c r="B581" s="41">
        <f ca="1">DATEDIF(Employees!$F581,TODAY(),"Y")</f>
        <v>8</v>
      </c>
      <c r="C581" s="49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582" spans="1:3" x14ac:dyDescent="0.35">
      <c r="A582" s="36" t="str">
        <f>_xlfn.TEXTJOIN(" ",TRUE,Employees_Data[[#This Row],[First Name]],Employees_Data[[#This Row],[Last Name]])</f>
        <v>Ramadan Muhii Aldiyn</v>
      </c>
      <c r="B582" s="37">
        <f ca="1">DATEDIF(Employees!$F582,TODAY(),"Y")</f>
        <v>7</v>
      </c>
      <c r="C582" s="48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583" spans="1:3" x14ac:dyDescent="0.35">
      <c r="A583" s="40" t="str">
        <f>_xlfn.TEXTJOIN(" ",TRUE,Employees_Data[[#This Row],[First Name]],Employees_Data[[#This Row],[Last Name]])</f>
        <v>Zaynab Eirat</v>
      </c>
      <c r="B583" s="41">
        <f ca="1">DATEDIF(Employees!$F583,TODAY(),"Y")</f>
        <v>6</v>
      </c>
      <c r="C583" s="49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584" spans="1:3" x14ac:dyDescent="0.35">
      <c r="A584" s="36" t="str">
        <f>_xlfn.TEXTJOIN(" ",TRUE,Employees_Data[[#This Row],[First Name]],Employees_Data[[#This Row],[Last Name]])</f>
        <v>Salah Aldiyn Altibae</v>
      </c>
      <c r="B584" s="37">
        <f ca="1">DATEDIF(Employees!$F584,TODAY(),"Y")</f>
        <v>6</v>
      </c>
      <c r="C584" s="48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585" spans="1:3" x14ac:dyDescent="0.35">
      <c r="A585" s="40" t="str">
        <f>_xlfn.TEXTJOIN(" ",TRUE,Employees_Data[[#This Row],[First Name]],Employees_Data[[#This Row],[Last Name]])</f>
        <v>Faras Alghandur</v>
      </c>
      <c r="B585" s="41">
        <f ca="1">DATEDIF(Employees!$F585,TODAY(),"Y")</f>
        <v>7</v>
      </c>
      <c r="C585" s="49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586" spans="1:3" x14ac:dyDescent="0.35">
      <c r="A586" s="36" t="str">
        <f>_xlfn.TEXTJOIN(" ",TRUE,Employees_Data[[#This Row],[First Name]],Employees_Data[[#This Row],[Last Name]])</f>
        <v>Husam Tamim</v>
      </c>
      <c r="B586" s="37">
        <f ca="1">DATEDIF(Employees!$F586,TODAY(),"Y")</f>
        <v>7</v>
      </c>
      <c r="C586" s="48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587" spans="1:3" x14ac:dyDescent="0.35">
      <c r="A587" s="40" t="str">
        <f>_xlfn.TEXTJOIN(" ",TRUE,Employees_Data[[#This Row],[First Name]],Employees_Data[[#This Row],[Last Name]])</f>
        <v>Ayat Byd</v>
      </c>
      <c r="B587" s="41">
        <f ca="1">DATEDIF(Employees!$F587,TODAY(),"Y")</f>
        <v>9</v>
      </c>
      <c r="C587" s="49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588" spans="1:3" x14ac:dyDescent="0.35">
      <c r="A588" s="36" t="str">
        <f>_xlfn.TEXTJOIN(" ",TRUE,Employees_Data[[#This Row],[First Name]],Employees_Data[[#This Row],[Last Name]])</f>
        <v>Rima Daly</v>
      </c>
      <c r="B588" s="37">
        <f ca="1">DATEDIF(Employees!$F588,TODAY(),"Y")</f>
        <v>6</v>
      </c>
      <c r="C588" s="48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589" spans="1:3" x14ac:dyDescent="0.35">
      <c r="A589" s="40" t="str">
        <f>_xlfn.TEXTJOIN(" ",TRUE,Employees_Data[[#This Row],[First Name]],Employees_Data[[#This Row],[Last Name]])</f>
        <v>Muhamad Almunajid</v>
      </c>
      <c r="B589" s="41">
        <f ca="1">DATEDIF(Employees!$F589,TODAY(),"Y")</f>
        <v>6</v>
      </c>
      <c r="C589" s="49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590" spans="1:3" x14ac:dyDescent="0.35">
      <c r="A590" s="36" t="str">
        <f>_xlfn.TEXTJOIN(" ",TRUE,Employees_Data[[#This Row],[First Name]],Employees_Data[[#This Row],[Last Name]])</f>
        <v>Eynas Muhamad</v>
      </c>
      <c r="B590" s="37">
        <f ca="1">DATEDIF(Employees!$F590,TODAY(),"Y")</f>
        <v>6</v>
      </c>
      <c r="C590" s="48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591" spans="1:3" x14ac:dyDescent="0.35">
      <c r="A591" s="40" t="str">
        <f>_xlfn.TEXTJOIN(" ",TRUE,Employees_Data[[#This Row],[First Name]],Employees_Data[[#This Row],[Last Name]])</f>
        <v>Ahmad Ahmid</v>
      </c>
      <c r="B591" s="41">
        <f ca="1">DATEDIF(Employees!$F591,TODAY(),"Y")</f>
        <v>6</v>
      </c>
      <c r="C591" s="49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592" spans="1:3" x14ac:dyDescent="0.35">
      <c r="A592" s="36" t="str">
        <f>_xlfn.TEXTJOIN(" ",TRUE,Employees_Data[[#This Row],[First Name]],Employees_Data[[#This Row],[Last Name]])</f>
        <v>Madlin Aljabaei</v>
      </c>
      <c r="B592" s="37">
        <f ca="1">DATEDIF(Employees!$F592,TODAY(),"Y")</f>
        <v>6</v>
      </c>
      <c r="C592" s="48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593" spans="1:3" x14ac:dyDescent="0.35">
      <c r="A593" s="40" t="str">
        <f>_xlfn.TEXTJOIN(" ",TRUE,Employees_Data[[#This Row],[First Name]],Employees_Data[[#This Row],[Last Name]])</f>
        <v>Ali Alqadri</v>
      </c>
      <c r="B593" s="41">
        <f ca="1">DATEDIF(Employees!$F593,TODAY(),"Y")</f>
        <v>7</v>
      </c>
      <c r="C593" s="49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594" spans="1:3" x14ac:dyDescent="0.35">
      <c r="A594" s="36" t="str">
        <f>_xlfn.TEXTJOIN(" ",TRUE,Employees_Data[[#This Row],[First Name]],Employees_Data[[#This Row],[Last Name]])</f>
        <v>Muhamad Dib</v>
      </c>
      <c r="B594" s="37">
        <f ca="1">DATEDIF(Employees!$F594,TODAY(),"Y")</f>
        <v>7</v>
      </c>
      <c r="C594" s="48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595" spans="1:3" x14ac:dyDescent="0.35">
      <c r="A595" s="40" t="str">
        <f>_xlfn.TEXTJOIN(" ",TRUE,Employees_Data[[#This Row],[First Name]],Employees_Data[[#This Row],[Last Name]])</f>
        <v>Hanan Bradiei</v>
      </c>
      <c r="B595" s="41">
        <f ca="1">DATEDIF(Employees!$F595,TODAY(),"Y")</f>
        <v>8</v>
      </c>
      <c r="C595" s="49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596" spans="1:3" x14ac:dyDescent="0.35">
      <c r="A596" s="36" t="str">
        <f>_xlfn.TEXTJOIN(" ",TRUE,Employees_Data[[#This Row],[First Name]],Employees_Data[[#This Row],[Last Name]])</f>
        <v>Danah Suirkili</v>
      </c>
      <c r="B596" s="37">
        <f ca="1">DATEDIF(Employees!$F596,TODAY(),"Y")</f>
        <v>6</v>
      </c>
      <c r="C596" s="48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597" spans="1:3" x14ac:dyDescent="0.35">
      <c r="A597" s="40" t="str">
        <f>_xlfn.TEXTJOIN(" ",TRUE,Employees_Data[[#This Row],[First Name]],Employees_Data[[#This Row],[Last Name]])</f>
        <v>Ghada Darakal</v>
      </c>
      <c r="B597" s="41">
        <f ca="1">DATEDIF(Employees!$F597,TODAY(),"Y")</f>
        <v>8</v>
      </c>
      <c r="C597" s="49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598" spans="1:3" x14ac:dyDescent="0.35">
      <c r="A598" s="36" t="str">
        <f>_xlfn.TEXTJOIN(" ",TRUE,Employees_Data[[#This Row],[First Name]],Employees_Data[[#This Row],[Last Name]])</f>
        <v>Mazin Bihtiti</v>
      </c>
      <c r="B598" s="37">
        <f ca="1">DATEDIF(Employees!$F598,TODAY(),"Y")</f>
        <v>8</v>
      </c>
      <c r="C598" s="48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599" spans="1:3" x14ac:dyDescent="0.35">
      <c r="A599" s="40" t="str">
        <f>_xlfn.TEXTJOIN(" ",TRUE,Employees_Data[[#This Row],[First Name]],Employees_Data[[#This Row],[Last Name]])</f>
        <v>Ridwan Alshulyan</v>
      </c>
      <c r="B599" s="41">
        <f ca="1">DATEDIF(Employees!$F599,TODAY(),"Y")</f>
        <v>9</v>
      </c>
      <c r="C599" s="49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600" spans="1:3" x14ac:dyDescent="0.35">
      <c r="A600" s="36" t="str">
        <f>_xlfn.TEXTJOIN(" ",TRUE,Employees_Data[[#This Row],[First Name]],Employees_Data[[#This Row],[Last Name]])</f>
        <v>Ali Barghaly</v>
      </c>
      <c r="B600" s="37">
        <f ca="1">DATEDIF(Employees!$F600,TODAY(),"Y")</f>
        <v>9</v>
      </c>
      <c r="C600" s="48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601" spans="1:3" x14ac:dyDescent="0.35">
      <c r="A601" s="40" t="str">
        <f>_xlfn.TEXTJOIN(" ",TRUE,Employees_Data[[#This Row],[First Name]],Employees_Data[[#This Row],[Last Name]])</f>
        <v>Iad Badran</v>
      </c>
      <c r="B601" s="41">
        <f ca="1">DATEDIF(Employees!$F601,TODAY(),"Y")</f>
        <v>6</v>
      </c>
      <c r="C601" s="49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602" spans="1:3" x14ac:dyDescent="0.35">
      <c r="A602" s="36" t="str">
        <f>_xlfn.TEXTJOIN(" ",TRUE,Employees_Data[[#This Row],[First Name]],Employees_Data[[#This Row],[Last Name]])</f>
        <v>Abdalrhmin Shwk</v>
      </c>
      <c r="B602" s="37">
        <f ca="1">DATEDIF(Employees!$F602,TODAY(),"Y")</f>
        <v>7</v>
      </c>
      <c r="C602" s="48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603" spans="1:3" x14ac:dyDescent="0.35">
      <c r="A603" s="40" t="str">
        <f>_xlfn.TEXTJOIN(" ",TRUE,Employees_Data[[#This Row],[First Name]],Employees_Data[[#This Row],[Last Name]])</f>
        <v>Husam Aldiyn</v>
      </c>
      <c r="B603" s="41">
        <f ca="1">DATEDIF(Employees!$F603,TODAY(),"Y")</f>
        <v>7</v>
      </c>
      <c r="C603" s="49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604" spans="1:3" x14ac:dyDescent="0.35">
      <c r="A604" s="36" t="str">
        <f>_xlfn.TEXTJOIN(" ",TRUE,Employees_Data[[#This Row],[First Name]],Employees_Data[[#This Row],[Last Name]])</f>
        <v>Ahmad Hamuwdatan</v>
      </c>
      <c r="B604" s="37">
        <f ca="1">DATEDIF(Employees!$F604,TODAY(),"Y")</f>
        <v>10</v>
      </c>
      <c r="C604" s="48" t="str">
        <f ca="1">IFERROR(IF(Experience_Level[[#This Row],[Years]]&gt;=10,"Senior",IF(AND(Experience_Level[[#This Row],[Years]]&gt;=5,Experience_Level[[#This Row],[Years]]&lt;=9),"Mid-Level","Junior")),"Not Found")</f>
        <v>Senior</v>
      </c>
    </row>
    <row r="605" spans="1:3" x14ac:dyDescent="0.35">
      <c r="A605" s="40" t="str">
        <f>_xlfn.TEXTJOIN(" ",TRUE,Employees_Data[[#This Row],[First Name]],Employees_Data[[#This Row],[Last Name]])</f>
        <v>Ahmad Laylana</v>
      </c>
      <c r="B605" s="41">
        <f ca="1">DATEDIF(Employees!$F605,TODAY(),"Y")</f>
        <v>9</v>
      </c>
      <c r="C605" s="49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606" spans="1:3" x14ac:dyDescent="0.35">
      <c r="A606" s="36" t="str">
        <f>_xlfn.TEXTJOIN(" ",TRUE,Employees_Data[[#This Row],[First Name]],Employees_Data[[#This Row],[Last Name]])</f>
        <v>Shuruq Aljuju</v>
      </c>
      <c r="B606" s="37">
        <f ca="1">DATEDIF(Employees!$F606,TODAY(),"Y")</f>
        <v>6</v>
      </c>
      <c r="C606" s="48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607" spans="1:3" x14ac:dyDescent="0.35">
      <c r="A607" s="40" t="str">
        <f>_xlfn.TEXTJOIN(" ",TRUE,Employees_Data[[#This Row],[First Name]],Employees_Data[[#This Row],[Last Name]])</f>
        <v>Muhamad Alshahrur</v>
      </c>
      <c r="B607" s="41">
        <f ca="1">DATEDIF(Employees!$F607,TODAY(),"Y")</f>
        <v>9</v>
      </c>
      <c r="C607" s="49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608" spans="1:3" x14ac:dyDescent="0.35">
      <c r="A608" s="36" t="str">
        <f>_xlfn.TEXTJOIN(" ",TRUE,Employees_Data[[#This Row],[First Name]],Employees_Data[[#This Row],[Last Name]])</f>
        <v>Rafif Khalf</v>
      </c>
      <c r="B608" s="37">
        <f ca="1">DATEDIF(Employees!$F608,TODAY(),"Y")</f>
        <v>7</v>
      </c>
      <c r="C608" s="48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609" spans="1:3" x14ac:dyDescent="0.35">
      <c r="A609" s="40" t="str">
        <f>_xlfn.TEXTJOIN(" ",TRUE,Employees_Data[[#This Row],[First Name]],Employees_Data[[#This Row],[Last Name]])</f>
        <v>Muhamad Alkhatib</v>
      </c>
      <c r="B609" s="41">
        <f ca="1">DATEDIF(Employees!$F609,TODAY(),"Y")</f>
        <v>6</v>
      </c>
      <c r="C609" s="49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610" spans="1:3" x14ac:dyDescent="0.35">
      <c r="A610" s="36" t="str">
        <f>_xlfn.TEXTJOIN(" ",TRUE,Employees_Data[[#This Row],[First Name]],Employees_Data[[#This Row],[Last Name]])</f>
        <v>Muhamad Albarnawi</v>
      </c>
      <c r="B610" s="37">
        <f ca="1">DATEDIF(Employees!$F610,TODAY(),"Y")</f>
        <v>10</v>
      </c>
      <c r="C610" s="48" t="str">
        <f ca="1">IFERROR(IF(Experience_Level[[#This Row],[Years]]&gt;=10,"Senior",IF(AND(Experience_Level[[#This Row],[Years]]&gt;=5,Experience_Level[[#This Row],[Years]]&lt;=9),"Mid-Level","Junior")),"Not Found")</f>
        <v>Senior</v>
      </c>
    </row>
    <row r="611" spans="1:3" x14ac:dyDescent="0.35">
      <c r="A611" s="40" t="str">
        <f>_xlfn.TEXTJOIN(" ",TRUE,Employees_Data[[#This Row],[First Name]],Employees_Data[[#This Row],[Last Name]])</f>
        <v>Ali Almiqdad</v>
      </c>
      <c r="B611" s="41">
        <f ca="1">DATEDIF(Employees!$F611,TODAY(),"Y")</f>
        <v>8</v>
      </c>
      <c r="C611" s="49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612" spans="1:3" x14ac:dyDescent="0.35">
      <c r="A612" s="36" t="str">
        <f>_xlfn.TEXTJOIN(" ",TRUE,Employees_Data[[#This Row],[First Name]],Employees_Data[[#This Row],[Last Name]])</f>
        <v>Ranya Faris</v>
      </c>
      <c r="B612" s="37">
        <f ca="1">DATEDIF(Employees!$F612,TODAY(),"Y")</f>
        <v>9</v>
      </c>
      <c r="C612" s="48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613" spans="1:3" x14ac:dyDescent="0.35">
      <c r="A613" s="40" t="str">
        <f>_xlfn.TEXTJOIN(" ",TRUE,Employees_Data[[#This Row],[First Name]],Employees_Data[[#This Row],[Last Name]])</f>
        <v>Ali Alshaykh</v>
      </c>
      <c r="B613" s="41">
        <f ca="1">DATEDIF(Employees!$F613,TODAY(),"Y")</f>
        <v>8</v>
      </c>
      <c r="C613" s="49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614" spans="1:3" x14ac:dyDescent="0.35">
      <c r="A614" s="36" t="str">
        <f>_xlfn.TEXTJOIN(" ",TRUE,Employees_Data[[#This Row],[First Name]],Employees_Data[[#This Row],[Last Name]])</f>
        <v>Iin Kafa</v>
      </c>
      <c r="B614" s="37">
        <f ca="1">DATEDIF(Employees!$F614,TODAY(),"Y")</f>
        <v>9</v>
      </c>
      <c r="C614" s="48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615" spans="1:3" x14ac:dyDescent="0.35">
      <c r="A615" s="40" t="str">
        <f>_xlfn.TEXTJOIN(" ",TRUE,Employees_Data[[#This Row],[First Name]],Employees_Data[[#This Row],[Last Name]])</f>
        <v>Muhamad Almaghribi</v>
      </c>
      <c r="B615" s="41">
        <f ca="1">DATEDIF(Employees!$F615,TODAY(),"Y")</f>
        <v>7</v>
      </c>
      <c r="C615" s="49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616" spans="1:3" x14ac:dyDescent="0.35">
      <c r="A616" s="36" t="str">
        <f>_xlfn.TEXTJOIN(" ",TRUE,Employees_Data[[#This Row],[First Name]],Employees_Data[[#This Row],[Last Name]])</f>
        <v>Sami Aldrwysh</v>
      </c>
      <c r="B616" s="37">
        <f ca="1">DATEDIF(Employees!$F616,TODAY(),"Y")</f>
        <v>9</v>
      </c>
      <c r="C616" s="48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617" spans="1:3" x14ac:dyDescent="0.35">
      <c r="A617" s="40" t="str">
        <f>_xlfn.TEXTJOIN(" ",TRUE,Employees_Data[[#This Row],[First Name]],Employees_Data[[#This Row],[Last Name]])</f>
        <v>Samah Alkhatib</v>
      </c>
      <c r="B617" s="41">
        <f ca="1">DATEDIF(Employees!$F617,TODAY(),"Y")</f>
        <v>8</v>
      </c>
      <c r="C617" s="49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618" spans="1:3" x14ac:dyDescent="0.35">
      <c r="A618" s="36" t="str">
        <f>_xlfn.TEXTJOIN(" ",TRUE,Employees_Data[[#This Row],[First Name]],Employees_Data[[#This Row],[Last Name]])</f>
        <v>Eala Hatim</v>
      </c>
      <c r="B618" s="37">
        <f ca="1">DATEDIF(Employees!$F618,TODAY(),"Y")</f>
        <v>7</v>
      </c>
      <c r="C618" s="48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619" spans="1:3" x14ac:dyDescent="0.35">
      <c r="A619" s="40" t="str">
        <f>_xlfn.TEXTJOIN(" ",TRUE,Employees_Data[[#This Row],[First Name]],Employees_Data[[#This Row],[Last Name]])</f>
        <v>Dalia Nahlawi</v>
      </c>
      <c r="B619" s="41">
        <f ca="1">DATEDIF(Employees!$F619,TODAY(),"Y")</f>
        <v>8</v>
      </c>
      <c r="C619" s="49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620" spans="1:3" x14ac:dyDescent="0.35">
      <c r="A620" s="36" t="str">
        <f>_xlfn.TEXTJOIN(" ",TRUE,Employees_Data[[#This Row],[First Name]],Employees_Data[[#This Row],[Last Name]])</f>
        <v>Rabye' Alzrqawy</v>
      </c>
      <c r="B620" s="37">
        <f ca="1">DATEDIF(Employees!$F620,TODAY(),"Y")</f>
        <v>7</v>
      </c>
      <c r="C620" s="48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621" spans="1:3" x14ac:dyDescent="0.35">
      <c r="A621" s="40" t="str">
        <f>_xlfn.TEXTJOIN(" ",TRUE,Employees_Data[[#This Row],[First Name]],Employees_Data[[#This Row],[Last Name]])</f>
        <v>Kholoud Huquq</v>
      </c>
      <c r="B621" s="41">
        <f ca="1">DATEDIF(Employees!$F621,TODAY(),"Y")</f>
        <v>7</v>
      </c>
      <c r="C621" s="49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622" spans="1:3" x14ac:dyDescent="0.35">
      <c r="A622" s="36" t="str">
        <f>_xlfn.TEXTJOIN(" ",TRUE,Employees_Data[[#This Row],[First Name]],Employees_Data[[#This Row],[Last Name]])</f>
        <v>Ibrahim Alqatish</v>
      </c>
      <c r="B622" s="37">
        <f ca="1">DATEDIF(Employees!$F622,TODAY(),"Y")</f>
        <v>7</v>
      </c>
      <c r="C622" s="48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623" spans="1:3" x14ac:dyDescent="0.35">
      <c r="A623" s="40" t="str">
        <f>_xlfn.TEXTJOIN(" ",TRUE,Employees_Data[[#This Row],[First Name]],Employees_Data[[#This Row],[Last Name]])</f>
        <v>Salih Altawil</v>
      </c>
      <c r="B623" s="41">
        <f ca="1">DATEDIF(Employees!$F623,TODAY(),"Y")</f>
        <v>7</v>
      </c>
      <c r="C623" s="49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624" spans="1:3" x14ac:dyDescent="0.35">
      <c r="A624" s="36" t="str">
        <f>_xlfn.TEXTJOIN(" ",TRUE,Employees_Data[[#This Row],[First Name]],Employees_Data[[#This Row],[Last Name]])</f>
        <v>Sami Alsyd Ahmad</v>
      </c>
      <c r="B624" s="37">
        <f ca="1">DATEDIF(Employees!$F624,TODAY(),"Y")</f>
        <v>7</v>
      </c>
      <c r="C624" s="48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625" spans="1:3" x14ac:dyDescent="0.35">
      <c r="A625" s="40" t="str">
        <f>_xlfn.TEXTJOIN(" ",TRUE,Employees_Data[[#This Row],[First Name]],Employees_Data[[#This Row],[Last Name]])</f>
        <v>Zahir Aleitar</v>
      </c>
      <c r="B625" s="41">
        <f ca="1">DATEDIF(Employees!$F625,TODAY(),"Y")</f>
        <v>8</v>
      </c>
      <c r="C625" s="49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626" spans="1:3" x14ac:dyDescent="0.35">
      <c r="A626" s="36" t="str">
        <f>_xlfn.TEXTJOIN(" ",TRUE,Employees_Data[[#This Row],[First Name]],Employees_Data[[#This Row],[Last Name]])</f>
        <v>Fatir Alealiu</v>
      </c>
      <c r="B626" s="37">
        <f ca="1">DATEDIF(Employees!$F626,TODAY(),"Y")</f>
        <v>7</v>
      </c>
      <c r="C626" s="48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627" spans="1:3" x14ac:dyDescent="0.35">
      <c r="A627" s="40" t="str">
        <f>_xlfn.TEXTJOIN(" ",TRUE,Employees_Data[[#This Row],[First Name]],Employees_Data[[#This Row],[Last Name]])</f>
        <v>Samir Alealiu</v>
      </c>
      <c r="B627" s="41">
        <f ca="1">DATEDIF(Employees!$F627,TODAY(),"Y")</f>
        <v>7</v>
      </c>
      <c r="C627" s="49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628" spans="1:3" x14ac:dyDescent="0.35">
      <c r="A628" s="36" t="str">
        <f>_xlfn.TEXTJOIN(" ",TRUE,Employees_Data[[#This Row],[First Name]],Employees_Data[[#This Row],[Last Name]])</f>
        <v>Muhamad Sulayman</v>
      </c>
      <c r="B628" s="37">
        <f ca="1">DATEDIF(Employees!$F628,TODAY(),"Y")</f>
        <v>8</v>
      </c>
      <c r="C628" s="48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629" spans="1:3" x14ac:dyDescent="0.35">
      <c r="A629" s="40" t="str">
        <f>_xlfn.TEXTJOIN(" ",TRUE,Employees_Data[[#This Row],[First Name]],Employees_Data[[#This Row],[Last Name]])</f>
        <v>Muhamad Suqabani</v>
      </c>
      <c r="B629" s="41">
        <f ca="1">DATEDIF(Employees!$F629,TODAY(),"Y")</f>
        <v>5</v>
      </c>
      <c r="C629" s="49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630" spans="1:3" x14ac:dyDescent="0.35">
      <c r="A630" s="36" t="str">
        <f>_xlfn.TEXTJOIN(" ",TRUE,Employees_Data[[#This Row],[First Name]],Employees_Data[[#This Row],[Last Name]])</f>
        <v>Muhamad Aldubbas</v>
      </c>
      <c r="B630" s="37">
        <f ca="1">DATEDIF(Employees!$F630,TODAY(),"Y")</f>
        <v>7</v>
      </c>
      <c r="C630" s="48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631" spans="1:3" x14ac:dyDescent="0.35">
      <c r="A631" s="40" t="str">
        <f>_xlfn.TEXTJOIN(" ",TRUE,Employees_Data[[#This Row],[First Name]],Employees_Data[[#This Row],[Last Name]])</f>
        <v>Hamzaa Astitih</v>
      </c>
      <c r="B631" s="41">
        <f ca="1">DATEDIF(Employees!$F631,TODAY(),"Y")</f>
        <v>6</v>
      </c>
      <c r="C631" s="49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632" spans="1:3" x14ac:dyDescent="0.35">
      <c r="A632" s="36" t="str">
        <f>_xlfn.TEXTJOIN(" ",TRUE,Employees_Data[[#This Row],[First Name]],Employees_Data[[#This Row],[Last Name]])</f>
        <v>Sulayman Zinu</v>
      </c>
      <c r="B632" s="37">
        <f ca="1">DATEDIF(Employees!$F632,TODAY(),"Y")</f>
        <v>8</v>
      </c>
      <c r="C632" s="48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633" spans="1:3" x14ac:dyDescent="0.35">
      <c r="A633" s="40" t="str">
        <f>_xlfn.TEXTJOIN(" ",TRUE,Employees_Data[[#This Row],[First Name]],Employees_Data[[#This Row],[Last Name]])</f>
        <v>Alaa Alrifaei</v>
      </c>
      <c r="B633" s="41">
        <f ca="1">DATEDIF(Employees!$F633,TODAY(),"Y")</f>
        <v>6</v>
      </c>
      <c r="C633" s="49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634" spans="1:3" x14ac:dyDescent="0.35">
      <c r="A634" s="36" t="str">
        <f>_xlfn.TEXTJOIN(" ",TRUE,Employees_Data[[#This Row],[First Name]],Employees_Data[[#This Row],[Last Name]])</f>
        <v>Rasha Alrifaei</v>
      </c>
      <c r="B634" s="37">
        <f ca="1">DATEDIF(Employees!$F634,TODAY(),"Y")</f>
        <v>7</v>
      </c>
      <c r="C634" s="48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635" spans="1:3" x14ac:dyDescent="0.35">
      <c r="A635" s="40" t="str">
        <f>_xlfn.TEXTJOIN(" ",TRUE,Employees_Data[[#This Row],[First Name]],Employees_Data[[#This Row],[Last Name]])</f>
        <v>Bayan Darbika</v>
      </c>
      <c r="B635" s="41">
        <f ca="1">DATEDIF(Employees!$F635,TODAY(),"Y")</f>
        <v>7</v>
      </c>
      <c r="C635" s="49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636" spans="1:3" x14ac:dyDescent="0.35">
      <c r="A636" s="36" t="str">
        <f>_xlfn.TEXTJOIN(" ",TRUE,Employees_Data[[#This Row],[First Name]],Employees_Data[[#This Row],[Last Name]])</f>
        <v>Iin Almunzilijiu</v>
      </c>
      <c r="B636" s="37">
        <f ca="1">DATEDIF(Employees!$F636,TODAY(),"Y")</f>
        <v>10</v>
      </c>
      <c r="C636" s="48" t="str">
        <f ca="1">IFERROR(IF(Experience_Level[[#This Row],[Years]]&gt;=10,"Senior",IF(AND(Experience_Level[[#This Row],[Years]]&gt;=5,Experience_Level[[#This Row],[Years]]&lt;=9),"Mid-Level","Junior")),"Not Found")</f>
        <v>Senior</v>
      </c>
    </row>
    <row r="637" spans="1:3" x14ac:dyDescent="0.35">
      <c r="A637" s="40" t="str">
        <f>_xlfn.TEXTJOIN(" ",TRUE,Employees_Data[[#This Row],[First Name]],Employees_Data[[#This Row],[Last Name]])</f>
        <v>Abd Alwahhab Aldhiyab</v>
      </c>
      <c r="B637" s="41">
        <f ca="1">DATEDIF(Employees!$F637,TODAY(),"Y")</f>
        <v>7</v>
      </c>
      <c r="C637" s="49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638" spans="1:3" x14ac:dyDescent="0.35">
      <c r="A638" s="36" t="str">
        <f>_xlfn.TEXTJOIN(" ",TRUE,Employees_Data[[#This Row],[First Name]],Employees_Data[[#This Row],[Last Name]])</f>
        <v>Hanan Salahi</v>
      </c>
      <c r="B638" s="37">
        <f ca="1">DATEDIF(Employees!$F638,TODAY(),"Y")</f>
        <v>5</v>
      </c>
      <c r="C638" s="48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639" spans="1:3" x14ac:dyDescent="0.35">
      <c r="A639" s="40" t="str">
        <f>_xlfn.TEXTJOIN(" ",TRUE,Employees_Data[[#This Row],[First Name]],Employees_Data[[#This Row],[Last Name]])</f>
        <v>Mari Ayuwb</v>
      </c>
      <c r="B639" s="41">
        <f ca="1">DATEDIF(Employees!$F639,TODAY(),"Y")</f>
        <v>10</v>
      </c>
      <c r="C639" s="49" t="str">
        <f ca="1">IFERROR(IF(Experience_Level[[#This Row],[Years]]&gt;=10,"Senior",IF(AND(Experience_Level[[#This Row],[Years]]&gt;=5,Experience_Level[[#This Row],[Years]]&lt;=9),"Mid-Level","Junior")),"Not Found")</f>
        <v>Senior</v>
      </c>
    </row>
    <row r="640" spans="1:3" x14ac:dyDescent="0.35">
      <c r="A640" s="36" t="str">
        <f>_xlfn.TEXTJOIN(" ",TRUE,Employees_Data[[#This Row],[First Name]],Employees_Data[[#This Row],[Last Name]])</f>
        <v>Omar Shawqi</v>
      </c>
      <c r="B640" s="37">
        <f ca="1">DATEDIF(Employees!$F640,TODAY(),"Y")</f>
        <v>7</v>
      </c>
      <c r="C640" s="48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641" spans="1:3" x14ac:dyDescent="0.35">
      <c r="A641" s="40" t="str">
        <f>_xlfn.TEXTJOIN(" ",TRUE,Employees_Data[[#This Row],[First Name]],Employees_Data[[#This Row],[Last Name]])</f>
        <v>Tariq Aldhahabi</v>
      </c>
      <c r="B641" s="41">
        <f ca="1">DATEDIF(Employees!$F641,TODAY(),"Y")</f>
        <v>6</v>
      </c>
      <c r="C641" s="49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642" spans="1:3" x14ac:dyDescent="0.35">
      <c r="A642" s="36" t="str">
        <f>_xlfn.TEXTJOIN(" ",TRUE,Employees_Data[[#This Row],[First Name]],Employees_Data[[#This Row],[Last Name]])</f>
        <v>Rama Asead</v>
      </c>
      <c r="B642" s="37">
        <f ca="1">DATEDIF(Employees!$F642,TODAY(),"Y")</f>
        <v>7</v>
      </c>
      <c r="C642" s="48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643" spans="1:3" x14ac:dyDescent="0.35">
      <c r="A643" s="40" t="str">
        <f>_xlfn.TEXTJOIN(" ",TRUE,Employees_Data[[#This Row],[First Name]],Employees_Data[[#This Row],[Last Name]])</f>
        <v>Ghayth Eali</v>
      </c>
      <c r="B643" s="41">
        <f ca="1">DATEDIF(Employees!$F643,TODAY(),"Y")</f>
        <v>7</v>
      </c>
      <c r="C643" s="49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644" spans="1:3" x14ac:dyDescent="0.35">
      <c r="A644" s="36" t="str">
        <f>_xlfn.TEXTJOIN(" ",TRUE,Employees_Data[[#This Row],[First Name]],Employees_Data[[#This Row],[Last Name]])</f>
        <v>Mahir Eabuwd</v>
      </c>
      <c r="B644" s="37">
        <f ca="1">DATEDIF(Employees!$F644,TODAY(),"Y")</f>
        <v>8</v>
      </c>
      <c r="C644" s="48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645" spans="1:3" x14ac:dyDescent="0.35">
      <c r="A645" s="40" t="str">
        <f>_xlfn.TEXTJOIN(" ",TRUE,Employees_Data[[#This Row],[First Name]],Employees_Data[[#This Row],[Last Name]])</f>
        <v>Muwmin Almujahid</v>
      </c>
      <c r="B645" s="41">
        <f ca="1">DATEDIF(Employees!$F645,TODAY(),"Y")</f>
        <v>6</v>
      </c>
      <c r="C645" s="49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646" spans="1:3" x14ac:dyDescent="0.35">
      <c r="A646" s="36" t="str">
        <f>_xlfn.TEXTJOIN(" ",TRUE,Employees_Data[[#This Row],[First Name]],Employees_Data[[#This Row],[Last Name]])</f>
        <v>Dima Drwysh</v>
      </c>
      <c r="B646" s="37">
        <f ca="1">DATEDIF(Employees!$F646,TODAY(),"Y")</f>
        <v>6</v>
      </c>
      <c r="C646" s="48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647" spans="1:3" x14ac:dyDescent="0.35">
      <c r="A647" s="40" t="str">
        <f>_xlfn.TEXTJOIN(" ",TRUE,Employees_Data[[#This Row],[First Name]],Employees_Data[[#This Row],[Last Name]])</f>
        <v>Muhamad Khalid</v>
      </c>
      <c r="B647" s="41">
        <f ca="1">DATEDIF(Employees!$F647,TODAY(),"Y")</f>
        <v>8</v>
      </c>
      <c r="C647" s="49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648" spans="1:3" x14ac:dyDescent="0.35">
      <c r="A648" s="36" t="str">
        <f>_xlfn.TEXTJOIN(" ",TRUE,Employees_Data[[#This Row],[First Name]],Employees_Data[[#This Row],[Last Name]])</f>
        <v>Diea Filyun</v>
      </c>
      <c r="B648" s="37">
        <f ca="1">DATEDIF(Employees!$F648,TODAY(),"Y")</f>
        <v>6</v>
      </c>
      <c r="C648" s="48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649" spans="1:3" x14ac:dyDescent="0.35">
      <c r="A649" s="40" t="str">
        <f>_xlfn.TEXTJOIN(" ",TRUE,Employees_Data[[#This Row],[First Name]],Employees_Data[[#This Row],[Last Name]])</f>
        <v>Muhamad Tasbihji</v>
      </c>
      <c r="B649" s="41">
        <f ca="1">DATEDIF(Employees!$F649,TODAY(),"Y")</f>
        <v>6</v>
      </c>
      <c r="C649" s="49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650" spans="1:3" x14ac:dyDescent="0.35">
      <c r="A650" s="36" t="str">
        <f>_xlfn.TEXTJOIN(" ",TRUE,Employees_Data[[#This Row],[First Name]],Employees_Data[[#This Row],[Last Name]])</f>
        <v>Mazin Shumut</v>
      </c>
      <c r="B650" s="37">
        <f ca="1">DATEDIF(Employees!$F650,TODAY(),"Y")</f>
        <v>9</v>
      </c>
      <c r="C650" s="48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651" spans="1:3" x14ac:dyDescent="0.35">
      <c r="A651" s="40" t="str">
        <f>_xlfn.TEXTJOIN(" ",TRUE,Employees_Data[[#This Row],[First Name]],Employees_Data[[#This Row],[Last Name]])</f>
        <v>Omar Zaqzuq</v>
      </c>
      <c r="B651" s="41">
        <f ca="1">DATEDIF(Employees!$F651,TODAY(),"Y")</f>
        <v>6</v>
      </c>
      <c r="C651" s="49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652" spans="1:3" x14ac:dyDescent="0.35">
      <c r="A652" s="36" t="str">
        <f>_xlfn.TEXTJOIN(" ",TRUE,Employees_Data[[#This Row],[First Name]],Employees_Data[[#This Row],[Last Name]])</f>
        <v>Yasmin Eamir</v>
      </c>
      <c r="B652" s="37">
        <f ca="1">DATEDIF(Employees!$F652,TODAY(),"Y")</f>
        <v>9</v>
      </c>
      <c r="C652" s="48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653" spans="1:3" x14ac:dyDescent="0.35">
      <c r="A653" s="40" t="str">
        <f>_xlfn.TEXTJOIN(" ",TRUE,Employees_Data[[#This Row],[First Name]],Employees_Data[[#This Row],[Last Name]])</f>
        <v>Muhamad Haydar</v>
      </c>
      <c r="B653" s="41">
        <f ca="1">DATEDIF(Employees!$F653,TODAY(),"Y")</f>
        <v>5</v>
      </c>
      <c r="C653" s="49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654" spans="1:3" x14ac:dyDescent="0.35">
      <c r="A654" s="36" t="str">
        <f>_xlfn.TEXTJOIN(" ",TRUE,Employees_Data[[#This Row],[First Name]],Employees_Data[[#This Row],[Last Name]])</f>
        <v>Muhamad Ratib</v>
      </c>
      <c r="B654" s="37">
        <f ca="1">DATEDIF(Employees!$F654,TODAY(),"Y")</f>
        <v>6</v>
      </c>
      <c r="C654" s="48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655" spans="1:3" x14ac:dyDescent="0.35">
      <c r="A655" s="40" t="str">
        <f>_xlfn.TEXTJOIN(" ",TRUE,Employees_Data[[#This Row],[First Name]],Employees_Data[[#This Row],[Last Name]])</f>
        <v>Muayid Siedih</v>
      </c>
      <c r="B655" s="41">
        <f ca="1">DATEDIF(Employees!$F655,TODAY(),"Y")</f>
        <v>7</v>
      </c>
      <c r="C655" s="49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656" spans="1:3" x14ac:dyDescent="0.35">
      <c r="A656" s="36" t="str">
        <f>_xlfn.TEXTJOIN(" ",TRUE,Employees_Data[[#This Row],[First Name]],Employees_Data[[#This Row],[Last Name]])</f>
        <v>Husam Alhamd</v>
      </c>
      <c r="B656" s="37">
        <f ca="1">DATEDIF(Employees!$F656,TODAY(),"Y")</f>
        <v>9</v>
      </c>
      <c r="C656" s="48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657" spans="1:3" x14ac:dyDescent="0.35">
      <c r="A657" s="40" t="str">
        <f>_xlfn.TEXTJOIN(" ",TRUE,Employees_Data[[#This Row],[First Name]],Employees_Data[[#This Row],[Last Name]])</f>
        <v>Abdalkrim Fadal</v>
      </c>
      <c r="B657" s="41">
        <f ca="1">DATEDIF(Employees!$F657,TODAY(),"Y")</f>
        <v>6</v>
      </c>
      <c r="C657" s="49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658" spans="1:3" x14ac:dyDescent="0.35">
      <c r="A658" s="36" t="str">
        <f>_xlfn.TEXTJOIN(" ",TRUE,Employees_Data[[#This Row],[First Name]],Employees_Data[[#This Row],[Last Name]])</f>
        <v>Bayan Eurnus</v>
      </c>
      <c r="B658" s="37">
        <f ca="1">DATEDIF(Employees!$F658,TODAY(),"Y")</f>
        <v>6</v>
      </c>
      <c r="C658" s="48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659" spans="1:3" x14ac:dyDescent="0.35">
      <c r="A659" s="40" t="str">
        <f>_xlfn.TEXTJOIN(" ",TRUE,Employees_Data[[#This Row],[First Name]],Employees_Data[[#This Row],[Last Name]])</f>
        <v>Abd Almueiyn Eitaya</v>
      </c>
      <c r="B659" s="41">
        <f ca="1">DATEDIF(Employees!$F659,TODAY(),"Y")</f>
        <v>8</v>
      </c>
      <c r="C659" s="49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660" spans="1:3" x14ac:dyDescent="0.35">
      <c r="A660" s="36" t="str">
        <f>_xlfn.TEXTJOIN(" ",TRUE,Employees_Data[[#This Row],[First Name]],Employees_Data[[#This Row],[Last Name]])</f>
        <v>Sahar Qisam</v>
      </c>
      <c r="B660" s="37">
        <f ca="1">DATEDIF(Employees!$F660,TODAY(),"Y")</f>
        <v>8</v>
      </c>
      <c r="C660" s="48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661" spans="1:3" x14ac:dyDescent="0.35">
      <c r="A661" s="40" t="str">
        <f>_xlfn.TEXTJOIN(" ",TRUE,Employees_Data[[#This Row],[First Name]],Employees_Data[[#This Row],[Last Name]])</f>
        <v>Rafat Musaa</v>
      </c>
      <c r="B661" s="41">
        <f ca="1">DATEDIF(Employees!$F661,TODAY(),"Y")</f>
        <v>7</v>
      </c>
      <c r="C661" s="49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662" spans="1:3" x14ac:dyDescent="0.35">
      <c r="A662" s="36" t="str">
        <f>_xlfn.TEXTJOIN(" ",TRUE,Employees_Data[[#This Row],[First Name]],Employees_Data[[#This Row],[Last Name]])</f>
        <v>Shafiq Almalih</v>
      </c>
      <c r="B662" s="37">
        <f ca="1">DATEDIF(Employees!$F662,TODAY(),"Y")</f>
        <v>7</v>
      </c>
      <c r="C662" s="48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663" spans="1:3" x14ac:dyDescent="0.35">
      <c r="A663" s="40" t="str">
        <f>_xlfn.TEXTJOIN(" ",TRUE,Employees_Data[[#This Row],[First Name]],Employees_Data[[#This Row],[Last Name]])</f>
        <v>Raghad Aghasi</v>
      </c>
      <c r="B663" s="41">
        <f ca="1">DATEDIF(Employees!$F663,TODAY(),"Y")</f>
        <v>6</v>
      </c>
      <c r="C663" s="49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664" spans="1:3" x14ac:dyDescent="0.35">
      <c r="A664" s="36" t="str">
        <f>_xlfn.TEXTJOIN(" ",TRUE,Employees_Data[[#This Row],[First Name]],Employees_Data[[#This Row],[Last Name]])</f>
        <v>Ruba Alhumwi</v>
      </c>
      <c r="B664" s="37">
        <f ca="1">DATEDIF(Employees!$F664,TODAY(),"Y")</f>
        <v>7</v>
      </c>
      <c r="C664" s="48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665" spans="1:3" x14ac:dyDescent="0.35">
      <c r="A665" s="40" t="str">
        <f>_xlfn.TEXTJOIN(" ",TRUE,Employees_Data[[#This Row],[First Name]],Employees_Data[[#This Row],[Last Name]])</f>
        <v>Bilal Alqalish</v>
      </c>
      <c r="B665" s="41">
        <f ca="1">DATEDIF(Employees!$F665,TODAY(),"Y")</f>
        <v>8</v>
      </c>
      <c r="C665" s="49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666" spans="1:3" x14ac:dyDescent="0.35">
      <c r="A666" s="36" t="str">
        <f>_xlfn.TEXTJOIN(" ",TRUE,Employees_Data[[#This Row],[First Name]],Employees_Data[[#This Row],[Last Name]])</f>
        <v>Muhamad Almisri</v>
      </c>
      <c r="B666" s="37">
        <f ca="1">DATEDIF(Employees!$F666,TODAY(),"Y")</f>
        <v>5</v>
      </c>
      <c r="C666" s="48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667" spans="1:3" x14ac:dyDescent="0.35">
      <c r="A667" s="40" t="str">
        <f>_xlfn.TEXTJOIN(" ",TRUE,Employees_Data[[#This Row],[First Name]],Employees_Data[[#This Row],[Last Name]])</f>
        <v>Husayn Hawria</v>
      </c>
      <c r="B667" s="41">
        <f ca="1">DATEDIF(Employees!$F667,TODAY(),"Y")</f>
        <v>6</v>
      </c>
      <c r="C667" s="49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668" spans="1:3" x14ac:dyDescent="0.35">
      <c r="A668" s="36" t="str">
        <f>_xlfn.TEXTJOIN(" ",TRUE,Employees_Data[[#This Row],[First Name]],Employees_Data[[#This Row],[Last Name]])</f>
        <v>Safa Alshahadat</v>
      </c>
      <c r="B668" s="37">
        <f ca="1">DATEDIF(Employees!$F668,TODAY(),"Y")</f>
        <v>8</v>
      </c>
      <c r="C668" s="48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669" spans="1:3" x14ac:dyDescent="0.35">
      <c r="A669" s="40" t="str">
        <f>_xlfn.TEXTJOIN(" ",TRUE,Employees_Data[[#This Row],[First Name]],Employees_Data[[#This Row],[Last Name]])</f>
        <v>Ahmad Aldiyk</v>
      </c>
      <c r="B669" s="41">
        <f ca="1">DATEDIF(Employees!$F669,TODAY(),"Y")</f>
        <v>6</v>
      </c>
      <c r="C669" s="49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670" spans="1:3" x14ac:dyDescent="0.35">
      <c r="A670" s="36" t="str">
        <f>_xlfn.TEXTJOIN(" ",TRUE,Employees_Data[[#This Row],[First Name]],Employees_Data[[#This Row],[Last Name]])</f>
        <v>Hind Almueasaeas</v>
      </c>
      <c r="B670" s="37">
        <f ca="1">DATEDIF(Employees!$F670,TODAY(),"Y")</f>
        <v>7</v>
      </c>
      <c r="C670" s="48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671" spans="1:3" x14ac:dyDescent="0.35">
      <c r="A671" s="40" t="str">
        <f>_xlfn.TEXTJOIN(" ",TRUE,Employees_Data[[#This Row],[First Name]],Employees_Data[[#This Row],[Last Name]])</f>
        <v>Dania Earmush</v>
      </c>
      <c r="B671" s="41">
        <f ca="1">DATEDIF(Employees!$F671,TODAY(),"Y")</f>
        <v>6</v>
      </c>
      <c r="C671" s="49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672" spans="1:3" x14ac:dyDescent="0.35">
      <c r="A672" s="36" t="str">
        <f>_xlfn.TEXTJOIN(" ",TRUE,Employees_Data[[#This Row],[First Name]],Employees_Data[[#This Row],[Last Name]])</f>
        <v>Ayly Bahriin</v>
      </c>
      <c r="B672" s="37">
        <f ca="1">DATEDIF(Employees!$F672,TODAY(),"Y")</f>
        <v>9</v>
      </c>
      <c r="C672" s="48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673" spans="1:3" x14ac:dyDescent="0.35">
      <c r="A673" s="40" t="str">
        <f>_xlfn.TEXTJOIN(" ",TRUE,Employees_Data[[#This Row],[First Name]],Employees_Data[[#This Row],[Last Name]])</f>
        <v>Jihan Nadir</v>
      </c>
      <c r="B673" s="41">
        <f ca="1">DATEDIF(Employees!$F673,TODAY(),"Y")</f>
        <v>7</v>
      </c>
      <c r="C673" s="49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674" spans="1:3" x14ac:dyDescent="0.35">
      <c r="A674" s="36" t="str">
        <f>_xlfn.TEXTJOIN(" ",TRUE,Employees_Data[[#This Row],[First Name]],Employees_Data[[#This Row],[Last Name]])</f>
        <v>Muhamad Sharif Aldaghly</v>
      </c>
      <c r="B674" s="37">
        <f ca="1">DATEDIF(Employees!$F674,TODAY(),"Y")</f>
        <v>8</v>
      </c>
      <c r="C674" s="48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675" spans="1:3" x14ac:dyDescent="0.35">
      <c r="A675" s="40" t="str">
        <f>_xlfn.TEXTJOIN(" ",TRUE,Employees_Data[[#This Row],[First Name]],Employees_Data[[#This Row],[Last Name]])</f>
        <v>Emara bwalsibae</v>
      </c>
      <c r="B675" s="41">
        <f ca="1">DATEDIF(Employees!$F675,TODAY(),"Y")</f>
        <v>8</v>
      </c>
      <c r="C675" s="49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676" spans="1:3" x14ac:dyDescent="0.35">
      <c r="A676" s="36" t="str">
        <f>_xlfn.TEXTJOIN(" ",TRUE,Employees_Data[[#This Row],[First Name]],Employees_Data[[#This Row],[Last Name]])</f>
        <v>Razzan Alhusayni</v>
      </c>
      <c r="B676" s="37">
        <f ca="1">DATEDIF(Employees!$F676,TODAY(),"Y")</f>
        <v>6</v>
      </c>
      <c r="C676" s="48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677" spans="1:3" x14ac:dyDescent="0.35">
      <c r="A677" s="40" t="str">
        <f>_xlfn.TEXTJOIN(" ",TRUE,Employees_Data[[#This Row],[First Name]],Employees_Data[[#This Row],[Last Name]])</f>
        <v>Ghassan Aljamal</v>
      </c>
      <c r="B677" s="41">
        <f ca="1">DATEDIF(Employees!$F677,TODAY(),"Y")</f>
        <v>8</v>
      </c>
      <c r="C677" s="49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678" spans="1:3" x14ac:dyDescent="0.35">
      <c r="A678" s="36" t="str">
        <f>_xlfn.TEXTJOIN(" ",TRUE,Employees_Data[[#This Row],[First Name]],Employees_Data[[#This Row],[Last Name]])</f>
        <v>Omar Kahulus</v>
      </c>
      <c r="B678" s="37">
        <f ca="1">DATEDIF(Employees!$F678,TODAY(),"Y")</f>
        <v>8</v>
      </c>
      <c r="C678" s="48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679" spans="1:3" x14ac:dyDescent="0.35">
      <c r="A679" s="40" t="str">
        <f>_xlfn.TEXTJOIN(" ",TRUE,Employees_Data[[#This Row],[First Name]],Employees_Data[[#This Row],[Last Name]])</f>
        <v>Amjad Nasir</v>
      </c>
      <c r="B679" s="41">
        <f ca="1">DATEDIF(Employees!$F679,TODAY(),"Y")</f>
        <v>7</v>
      </c>
      <c r="C679" s="49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680" spans="1:3" x14ac:dyDescent="0.35">
      <c r="A680" s="36" t="str">
        <f>_xlfn.TEXTJOIN(" ",TRUE,Employees_Data[[#This Row],[First Name]],Employees_Data[[#This Row],[Last Name]])</f>
        <v>Iman Ghrz Aldiyn</v>
      </c>
      <c r="B680" s="37">
        <f ca="1">DATEDIF(Employees!$F680,TODAY(),"Y")</f>
        <v>7</v>
      </c>
      <c r="C680" s="48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681" spans="1:3" x14ac:dyDescent="0.35">
      <c r="A681" s="40" t="str">
        <f>_xlfn.TEXTJOIN(" ",TRUE,Employees_Data[[#This Row],[First Name]],Employees_Data[[#This Row],[Last Name]])</f>
        <v>Alysia Alyaghshiu</v>
      </c>
      <c r="B681" s="41">
        <f ca="1">DATEDIF(Employees!$F681,TODAY(),"Y")</f>
        <v>7</v>
      </c>
      <c r="C681" s="49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682" spans="1:3" x14ac:dyDescent="0.35">
      <c r="A682" s="36" t="str">
        <f>_xlfn.TEXTJOIN(" ",TRUE,Employees_Data[[#This Row],[First Name]],Employees_Data[[#This Row],[Last Name]])</f>
        <v>Ayham Alqadi</v>
      </c>
      <c r="B682" s="37">
        <f ca="1">DATEDIF(Employees!$F682,TODAY(),"Y")</f>
        <v>6</v>
      </c>
      <c r="C682" s="48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683" spans="1:3" x14ac:dyDescent="0.35">
      <c r="A683" s="40" t="str">
        <f>_xlfn.TEXTJOIN(" ",TRUE,Employees_Data[[#This Row],[First Name]],Employees_Data[[#This Row],[Last Name]])</f>
        <v>Diea Shuelan</v>
      </c>
      <c r="B683" s="41">
        <f ca="1">DATEDIF(Employees!$F683,TODAY(),"Y")</f>
        <v>7</v>
      </c>
      <c r="C683" s="49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684" spans="1:3" x14ac:dyDescent="0.35">
      <c r="A684" s="36" t="str">
        <f>_xlfn.TEXTJOIN(" ",TRUE,Employees_Data[[#This Row],[First Name]],Employees_Data[[#This Row],[Last Name]])</f>
        <v>Husam Alsaed</v>
      </c>
      <c r="B684" s="37">
        <f ca="1">DATEDIF(Employees!$F684,TODAY(),"Y")</f>
        <v>10</v>
      </c>
      <c r="C684" s="48" t="str">
        <f ca="1">IFERROR(IF(Experience_Level[[#This Row],[Years]]&gt;=10,"Senior",IF(AND(Experience_Level[[#This Row],[Years]]&gt;=5,Experience_Level[[#This Row],[Years]]&lt;=9),"Mid-Level","Junior")),"Not Found")</f>
        <v>Senior</v>
      </c>
    </row>
    <row r="685" spans="1:3" x14ac:dyDescent="0.35">
      <c r="A685" s="40" t="str">
        <f>_xlfn.TEXTJOIN(" ",TRUE,Employees_Data[[#This Row],[First Name]],Employees_Data[[#This Row],[Last Name]])</f>
        <v>Asd Bwfaeur</v>
      </c>
      <c r="B685" s="41">
        <f ca="1">DATEDIF(Employees!$F685,TODAY(),"Y")</f>
        <v>9</v>
      </c>
      <c r="C685" s="49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686" spans="1:3" x14ac:dyDescent="0.35">
      <c r="A686" s="36" t="str">
        <f>_xlfn.TEXTJOIN(" ",TRUE,Employees_Data[[#This Row],[First Name]],Employees_Data[[#This Row],[Last Name]])</f>
        <v>Sari Hanna</v>
      </c>
      <c r="B686" s="37">
        <f ca="1">DATEDIF(Employees!$F686,TODAY(),"Y")</f>
        <v>6</v>
      </c>
      <c r="C686" s="48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687" spans="1:3" x14ac:dyDescent="0.35">
      <c r="A687" s="40" t="str">
        <f>_xlfn.TEXTJOIN(" ",TRUE,Employees_Data[[#This Row],[First Name]],Employees_Data[[#This Row],[Last Name]])</f>
        <v>Eubayda Kayd</v>
      </c>
      <c r="B687" s="41">
        <f ca="1">DATEDIF(Employees!$F687,TODAY(),"Y")</f>
        <v>6</v>
      </c>
      <c r="C687" s="49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688" spans="1:3" x14ac:dyDescent="0.35">
      <c r="A688" s="36" t="str">
        <f>_xlfn.TEXTJOIN(" ",TRUE,Employees_Data[[#This Row],[First Name]],Employees_Data[[#This Row],[Last Name]])</f>
        <v>Khalil Alkalu</v>
      </c>
      <c r="B688" s="37">
        <f ca="1">DATEDIF(Employees!$F688,TODAY(),"Y")</f>
        <v>9</v>
      </c>
      <c r="C688" s="48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689" spans="1:3" x14ac:dyDescent="0.35">
      <c r="A689" s="40" t="str">
        <f>_xlfn.TEXTJOIN(" ",TRUE,Employees_Data[[#This Row],[First Name]],Employees_Data[[#This Row],[Last Name]])</f>
        <v>Muhamad Shrbjy</v>
      </c>
      <c r="B689" s="41">
        <f ca="1">DATEDIF(Employees!$F689,TODAY(),"Y")</f>
        <v>8</v>
      </c>
      <c r="C689" s="49" t="str">
        <f ca="1">IFERROR(IF(Experience_Level[[#This Row],[Years]]&gt;=10,"Senior",IF(AND(Experience_Level[[#This Row],[Years]]&gt;=5,Experience_Level[[#This Row],[Years]]&lt;=9),"Mid-Level","Junior")),"Not Found")</f>
        <v>Mid-Level</v>
      </c>
    </row>
    <row r="690" spans="1:3" x14ac:dyDescent="0.35">
      <c r="A690" s="44" t="str">
        <f>_xlfn.TEXTJOIN(" ",TRUE,Employees_Data[[#This Row],[First Name]],Employees_Data[[#This Row],[Last Name]])</f>
        <v>Abd Albasit AlAhmar</v>
      </c>
      <c r="B690" s="45">
        <f ca="1">DATEDIF(Employees!$F690,TODAY(),"Y")</f>
        <v>6</v>
      </c>
      <c r="C690" s="50" t="str">
        <f ca="1">IFERROR(IF(Experience_Level[[#This Row],[Years]]&gt;=10,"Senior",IF(AND(Experience_Level[[#This Row],[Years]]&gt;=5,Experience_Level[[#This Row],[Years]]&lt;=9),"Mid-Level","Junior")),"Not Found")</f>
        <v>Mid-Level</v>
      </c>
    </row>
  </sheetData>
  <conditionalFormatting sqref="A2:A690">
    <cfRule type="containsBlanks" dxfId="22" priority="6">
      <formula>LEN(TRIM(A2))=0</formula>
    </cfRule>
  </conditionalFormatting>
  <conditionalFormatting sqref="B2:B690">
    <cfRule type="containsBlanks" dxfId="21" priority="5">
      <formula>LEN(TRIM(B2))=0</formula>
    </cfRule>
  </conditionalFormatting>
  <conditionalFormatting sqref="C1:C690">
    <cfRule type="containsText" dxfId="20" priority="1" operator="containsText" text="Junior">
      <formula>NOT(ISERROR(SEARCH("Junior",C1)))</formula>
    </cfRule>
    <cfRule type="containsText" dxfId="19" priority="2" operator="containsText" text="Mid-level">
      <formula>NOT(ISERROR(SEARCH("Mid-level",C1)))</formula>
    </cfRule>
    <cfRule type="containsText" dxfId="18" priority="3" operator="containsText" text="Senior">
      <formula>NOT(ISERROR(SEARCH("Senior",C1)))</formula>
    </cfRule>
  </conditionalFormatting>
  <conditionalFormatting sqref="C2:C690">
    <cfRule type="containsBlanks" dxfId="17" priority="4">
      <formula>LEN(TRIM(C2))=0</formula>
    </cfRule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AF73E-B598-4A9B-9898-2D3EFB523E65}">
  <dimension ref="A1:D690"/>
  <sheetViews>
    <sheetView workbookViewId="0">
      <selection activeCell="G13" sqref="G13"/>
    </sheetView>
  </sheetViews>
  <sheetFormatPr defaultRowHeight="15.5" x14ac:dyDescent="0.35"/>
  <cols>
    <col min="1" max="1" width="22.33203125" bestFit="1" customWidth="1"/>
    <col min="3" max="3" width="15.5" customWidth="1"/>
    <col min="4" max="4" width="21.75" customWidth="1"/>
  </cols>
  <sheetData>
    <row r="1" spans="1:4" x14ac:dyDescent="0.35">
      <c r="A1" s="32" t="s">
        <v>24</v>
      </c>
      <c r="B1" s="33" t="s">
        <v>10</v>
      </c>
      <c r="C1" s="34" t="s">
        <v>20</v>
      </c>
      <c r="D1" s="35" t="s">
        <v>915</v>
      </c>
    </row>
    <row r="2" spans="1:4" x14ac:dyDescent="0.35">
      <c r="A2" s="36" t="str">
        <f>_xlfn.TEXTJOIN(" ",TRUE,Employees_Data[[#This Row],[First Name]],Employees_Data[[#This Row],[Last Name]])</f>
        <v>Ghadir Hmshw</v>
      </c>
      <c r="B2" s="37">
        <f ca="1">DATEDIF(Employees!$F2,TODAY(),"Y")</f>
        <v>8</v>
      </c>
      <c r="C2" s="38">
        <v>183</v>
      </c>
      <c r="D2" s="39" t="str">
        <f ca="1">IFERROR(IF(AND(Hardworking_Employee[[#This Row],[Years]]&gt;=5,Hardworking_Employee[[#This Row],[Overtime Hours]]&gt;50),"Yes","No"),"Not Found")</f>
        <v>Yes</v>
      </c>
    </row>
    <row r="3" spans="1:4" x14ac:dyDescent="0.35">
      <c r="A3" s="40" t="str">
        <f>_xlfn.TEXTJOIN(" ",TRUE,Employees_Data[[#This Row],[First Name]],Employees_Data[[#This Row],[Last Name]])</f>
        <v>Omar Hishan</v>
      </c>
      <c r="B3" s="41">
        <f ca="1">DATEDIF(Employees!$F3,TODAY(),"Y")</f>
        <v>6</v>
      </c>
      <c r="C3" s="42">
        <v>198</v>
      </c>
      <c r="D3" s="43" t="str">
        <f ca="1">IFERROR(IF(AND(Hardworking_Employee[[#This Row],[Years]]&gt;=5,Hardworking_Employee[[#This Row],[Overtime Hours]]&gt;50),"Yes","No"),"Not Found")</f>
        <v>Yes</v>
      </c>
    </row>
    <row r="4" spans="1:4" x14ac:dyDescent="0.35">
      <c r="A4" s="36" t="str">
        <f>_xlfn.TEXTJOIN(" ",TRUE,Employees_Data[[#This Row],[First Name]],Employees_Data[[#This Row],[Last Name]])</f>
        <v>Ailya Sharaf</v>
      </c>
      <c r="B4" s="37">
        <f ca="1">DATEDIF(Employees!$F4,TODAY(),"Y")</f>
        <v>9</v>
      </c>
      <c r="C4" s="38">
        <v>192</v>
      </c>
      <c r="D4" s="39" t="str">
        <f ca="1">IFERROR(IF(AND(Hardworking_Employee[[#This Row],[Years]]&gt;=5,Hardworking_Employee[[#This Row],[Overtime Hours]]&gt;50),"Yes","No"),"Not Found")</f>
        <v>Yes</v>
      </c>
    </row>
    <row r="5" spans="1:4" x14ac:dyDescent="0.35">
      <c r="A5" s="40" t="str">
        <f>_xlfn.TEXTJOIN(" ",TRUE,Employees_Data[[#This Row],[First Name]],Employees_Data[[#This Row],[Last Name]])</f>
        <v>Lwiy Qbany</v>
      </c>
      <c r="B5" s="41">
        <f ca="1">DATEDIF(Employees!$F5,TODAY(),"Y")</f>
        <v>8</v>
      </c>
      <c r="C5" s="42">
        <v>7</v>
      </c>
      <c r="D5" s="43" t="str">
        <f ca="1">IFERROR(IF(AND(Hardworking_Employee[[#This Row],[Years]]&gt;=5,Hardworking_Employee[[#This Row],[Overtime Hours]]&gt;50),"Yes","No"),"Not Found")</f>
        <v>No</v>
      </c>
    </row>
    <row r="6" spans="1:4" x14ac:dyDescent="0.35">
      <c r="A6" s="36" t="str">
        <f>_xlfn.TEXTJOIN(" ",TRUE,Employees_Data[[#This Row],[First Name]],Employees_Data[[#This Row],[Last Name]])</f>
        <v>Ahmad Bikri</v>
      </c>
      <c r="B6" s="37">
        <f ca="1">DATEDIF(Employees!$F6,TODAY(),"Y")</f>
        <v>6</v>
      </c>
      <c r="C6" s="38">
        <v>121</v>
      </c>
      <c r="D6" s="39" t="str">
        <f ca="1">IFERROR(IF(AND(Hardworking_Employee[[#This Row],[Years]]&gt;=5,Hardworking_Employee[[#This Row],[Overtime Hours]]&gt;50),"Yes","No"),"Not Found")</f>
        <v>Yes</v>
      </c>
    </row>
    <row r="7" spans="1:4" x14ac:dyDescent="0.35">
      <c r="A7" s="40" t="str">
        <f>_xlfn.TEXTJOIN(" ",TRUE,Employees_Data[[#This Row],[First Name]],Employees_Data[[#This Row],[Last Name]])</f>
        <v>Muhamad Zueitr</v>
      </c>
      <c r="B7" s="41">
        <f ca="1">DATEDIF(Employees!$F7,TODAY(),"Y")</f>
        <v>10</v>
      </c>
      <c r="C7" s="42">
        <v>8</v>
      </c>
      <c r="D7" s="43" t="str">
        <f ca="1">IFERROR(IF(AND(Hardworking_Employee[[#This Row],[Years]]&gt;=5,Hardworking_Employee[[#This Row],[Overtime Hours]]&gt;50),"Yes","No"),"Not Found")</f>
        <v>No</v>
      </c>
    </row>
    <row r="8" spans="1:4" x14ac:dyDescent="0.35">
      <c r="A8" s="36" t="str">
        <f>_xlfn.TEXTJOIN(" ",TRUE,Employees_Data[[#This Row],[First Name]],Employees_Data[[#This Row],[Last Name]])</f>
        <v>Iin Alhalaliu</v>
      </c>
      <c r="B8" s="37">
        <f ca="1">DATEDIF(Employees!$F8,TODAY(),"Y")</f>
        <v>6</v>
      </c>
      <c r="C8" s="38">
        <v>116</v>
      </c>
      <c r="D8" s="39" t="str">
        <f ca="1">IFERROR(IF(AND(Hardworking_Employee[[#This Row],[Years]]&gt;=5,Hardworking_Employee[[#This Row],[Overtime Hours]]&gt;50),"Yes","No"),"Not Found")</f>
        <v>Yes</v>
      </c>
    </row>
    <row r="9" spans="1:4" x14ac:dyDescent="0.35">
      <c r="A9" s="40" t="str">
        <f>_xlfn.TEXTJOIN(" ",TRUE,Employees_Data[[#This Row],[First Name]],Employees_Data[[#This Row],[Last Name]])</f>
        <v>Muhamad Alaya</v>
      </c>
      <c r="B9" s="41">
        <f ca="1">DATEDIF(Employees!$F9,TODAY(),"Y")</f>
        <v>8</v>
      </c>
      <c r="C9" s="42">
        <v>7</v>
      </c>
      <c r="D9" s="43" t="str">
        <f ca="1">IFERROR(IF(AND(Hardworking_Employee[[#This Row],[Years]]&gt;=5,Hardworking_Employee[[#This Row],[Overtime Hours]]&gt;50),"Yes","No"),"Not Found")</f>
        <v>No</v>
      </c>
    </row>
    <row r="10" spans="1:4" x14ac:dyDescent="0.35">
      <c r="A10" s="36" t="str">
        <f>_xlfn.TEXTJOIN(" ",TRUE,Employees_Data[[#This Row],[First Name]],Employees_Data[[#This Row],[Last Name]])</f>
        <v>Susin Almilat</v>
      </c>
      <c r="B10" s="37">
        <f ca="1">DATEDIF(Employees!$F10,TODAY(),"Y")</f>
        <v>8</v>
      </c>
      <c r="C10" s="38">
        <v>105</v>
      </c>
      <c r="D10" s="39" t="str">
        <f ca="1">IFERROR(IF(AND(Hardworking_Employee[[#This Row],[Years]]&gt;=5,Hardworking_Employee[[#This Row],[Overtime Hours]]&gt;50),"Yes","No"),"Not Found")</f>
        <v>Yes</v>
      </c>
    </row>
    <row r="11" spans="1:4" x14ac:dyDescent="0.35">
      <c r="A11" s="40" t="str">
        <f>_xlfn.TEXTJOIN(" ",TRUE,Employees_Data[[#This Row],[First Name]],Employees_Data[[#This Row],[Last Name]])</f>
        <v>Muhamad Alrifaei</v>
      </c>
      <c r="B11" s="41">
        <f ca="1">DATEDIF(Employees!$F11,TODAY(),"Y")</f>
        <v>6</v>
      </c>
      <c r="C11" s="42">
        <v>153</v>
      </c>
      <c r="D11" s="43" t="str">
        <f ca="1">IFERROR(IF(AND(Hardworking_Employee[[#This Row],[Years]]&gt;=5,Hardworking_Employee[[#This Row],[Overtime Hours]]&gt;50),"Yes","No"),"Not Found")</f>
        <v>Yes</v>
      </c>
    </row>
    <row r="12" spans="1:4" x14ac:dyDescent="0.35">
      <c r="A12" s="36" t="str">
        <f>_xlfn.TEXTJOIN(" ",TRUE,Employees_Data[[#This Row],[First Name]],Employees_Data[[#This Row],[Last Name]])</f>
        <v>Muhamad Alqadah</v>
      </c>
      <c r="B12" s="37">
        <f ca="1">DATEDIF(Employees!$F12,TODAY(),"Y")</f>
        <v>8</v>
      </c>
      <c r="C12" s="38">
        <v>12</v>
      </c>
      <c r="D12" s="39" t="str">
        <f ca="1">IFERROR(IF(AND(Hardworking_Employee[[#This Row],[Years]]&gt;=5,Hardworking_Employee[[#This Row],[Overtime Hours]]&gt;50),"Yes","No"),"Not Found")</f>
        <v>No</v>
      </c>
    </row>
    <row r="13" spans="1:4" x14ac:dyDescent="0.35">
      <c r="A13" s="40" t="str">
        <f>_xlfn.TEXTJOIN(" ",TRUE,Employees_Data[[#This Row],[First Name]],Employees_Data[[#This Row],[Last Name]])</f>
        <v>Muhamad Iad</v>
      </c>
      <c r="B13" s="41">
        <f ca="1">DATEDIF(Employees!$F13,TODAY(),"Y")</f>
        <v>8</v>
      </c>
      <c r="C13" s="42">
        <v>70</v>
      </c>
      <c r="D13" s="43" t="str">
        <f ca="1">IFERROR(IF(AND(Hardworking_Employee[[#This Row],[Years]]&gt;=5,Hardworking_Employee[[#This Row],[Overtime Hours]]&gt;50),"Yes","No"),"Not Found")</f>
        <v>Yes</v>
      </c>
    </row>
    <row r="14" spans="1:4" x14ac:dyDescent="0.35">
      <c r="A14" s="36" t="str">
        <f>_xlfn.TEXTJOIN(" ",TRUE,Employees_Data[[#This Row],[First Name]],Employees_Data[[#This Row],[Last Name]])</f>
        <v>Razaan Nasif</v>
      </c>
      <c r="B14" s="37">
        <f ca="1">DATEDIF(Employees!$F14,TODAY(),"Y")</f>
        <v>7</v>
      </c>
      <c r="C14" s="38">
        <v>85</v>
      </c>
      <c r="D14" s="39" t="str">
        <f ca="1">IFERROR(IF(AND(Hardworking_Employee[[#This Row],[Years]]&gt;=5,Hardworking_Employee[[#This Row],[Overtime Hours]]&gt;50),"Yes","No"),"Not Found")</f>
        <v>Yes</v>
      </c>
    </row>
    <row r="15" spans="1:4" x14ac:dyDescent="0.35">
      <c r="A15" s="40" t="str">
        <f>_xlfn.TEXTJOIN(" ",TRUE,Employees_Data[[#This Row],[First Name]],Employees_Data[[#This Row],[Last Name]])</f>
        <v>Iilian Dbs</v>
      </c>
      <c r="B15" s="41">
        <f ca="1">DATEDIF(Employees!$F15,TODAY(),"Y")</f>
        <v>10</v>
      </c>
      <c r="C15" s="42">
        <v>8</v>
      </c>
      <c r="D15" s="43" t="str">
        <f ca="1">IFERROR(IF(AND(Hardworking_Employee[[#This Row],[Years]]&gt;=5,Hardworking_Employee[[#This Row],[Overtime Hours]]&gt;50),"Yes","No"),"Not Found")</f>
        <v>No</v>
      </c>
    </row>
    <row r="16" spans="1:4" x14ac:dyDescent="0.35">
      <c r="A16" s="36" t="str">
        <f>_xlfn.TEXTJOIN(" ",TRUE,Employees_Data[[#This Row],[First Name]],Employees_Data[[#This Row],[Last Name]])</f>
        <v>Bayan Qdw</v>
      </c>
      <c r="B16" s="37">
        <f ca="1">DATEDIF(Employees!$F16,TODAY(),"Y")</f>
        <v>7</v>
      </c>
      <c r="C16" s="38">
        <v>8</v>
      </c>
      <c r="D16" s="39" t="str">
        <f ca="1">IFERROR(IF(AND(Hardworking_Employee[[#This Row],[Years]]&gt;=5,Hardworking_Employee[[#This Row],[Overtime Hours]]&gt;50),"Yes","No"),"Not Found")</f>
        <v>No</v>
      </c>
    </row>
    <row r="17" spans="1:4" x14ac:dyDescent="0.35">
      <c r="A17" s="40" t="str">
        <f>_xlfn.TEXTJOIN(" ",TRUE,Employees_Data[[#This Row],[First Name]],Employees_Data[[#This Row],[Last Name]])</f>
        <v>Alaa Muhamad</v>
      </c>
      <c r="B17" s="41">
        <f ca="1">DATEDIF(Employees!$F17,TODAY(),"Y")</f>
        <v>7</v>
      </c>
      <c r="C17" s="42">
        <v>77</v>
      </c>
      <c r="D17" s="43" t="str">
        <f ca="1">IFERROR(IF(AND(Hardworking_Employee[[#This Row],[Years]]&gt;=5,Hardworking_Employee[[#This Row],[Overtime Hours]]&gt;50),"Yes","No"),"Not Found")</f>
        <v>Yes</v>
      </c>
    </row>
    <row r="18" spans="1:4" x14ac:dyDescent="0.35">
      <c r="A18" s="36" t="str">
        <f>_xlfn.TEXTJOIN(" ",TRUE,Employees_Data[[#This Row],[First Name]],Employees_Data[[#This Row],[Last Name]])</f>
        <v>Sandra Aljurmqaniu</v>
      </c>
      <c r="B18" s="37">
        <f ca="1">DATEDIF(Employees!$F18,TODAY(),"Y")</f>
        <v>10</v>
      </c>
      <c r="C18" s="38">
        <v>93</v>
      </c>
      <c r="D18" s="39" t="str">
        <f ca="1">IFERROR(IF(AND(Hardworking_Employee[[#This Row],[Years]]&gt;=5,Hardworking_Employee[[#This Row],[Overtime Hours]]&gt;50),"Yes","No"),"Not Found")</f>
        <v>Yes</v>
      </c>
    </row>
    <row r="19" spans="1:4" x14ac:dyDescent="0.35">
      <c r="A19" s="40" t="str">
        <f>_xlfn.TEXTJOIN(" ",TRUE,Employees_Data[[#This Row],[First Name]],Employees_Data[[#This Row],[Last Name]])</f>
        <v>Farahad Husayn</v>
      </c>
      <c r="B19" s="41">
        <f ca="1">DATEDIF(Employees!$F19,TODAY(),"Y")</f>
        <v>8</v>
      </c>
      <c r="C19" s="42">
        <v>153</v>
      </c>
      <c r="D19" s="43" t="str">
        <f ca="1">IFERROR(IF(AND(Hardworking_Employee[[#This Row],[Years]]&gt;=5,Hardworking_Employee[[#This Row],[Overtime Hours]]&gt;50),"Yes","No"),"Not Found")</f>
        <v>Yes</v>
      </c>
    </row>
    <row r="20" spans="1:4" x14ac:dyDescent="0.35">
      <c r="A20" s="36" t="str">
        <f>_xlfn.TEXTJOIN(" ",TRUE,Employees_Data[[#This Row],[First Name]],Employees_Data[[#This Row],[Last Name]])</f>
        <v>Ahed Salim</v>
      </c>
      <c r="B20" s="37">
        <f ca="1">DATEDIF(Employees!$F20,TODAY(),"Y")</f>
        <v>8</v>
      </c>
      <c r="C20" s="38">
        <v>8</v>
      </c>
      <c r="D20" s="39" t="str">
        <f ca="1">IFERROR(IF(AND(Hardworking_Employee[[#This Row],[Years]]&gt;=5,Hardworking_Employee[[#This Row],[Overtime Hours]]&gt;50),"Yes","No"),"Not Found")</f>
        <v>No</v>
      </c>
    </row>
    <row r="21" spans="1:4" x14ac:dyDescent="0.35">
      <c r="A21" s="40" t="str">
        <f>_xlfn.TEXTJOIN(" ",TRUE,Employees_Data[[#This Row],[First Name]],Employees_Data[[#This Row],[Last Name]])</f>
        <v>Ayham Tutwnji</v>
      </c>
      <c r="B21" s="41">
        <f ca="1">DATEDIF(Employees!$F21,TODAY(),"Y")</f>
        <v>7</v>
      </c>
      <c r="C21" s="42">
        <v>10</v>
      </c>
      <c r="D21" s="43" t="str">
        <f ca="1">IFERROR(IF(AND(Hardworking_Employee[[#This Row],[Years]]&gt;=5,Hardworking_Employee[[#This Row],[Overtime Hours]]&gt;50),"Yes","No"),"Not Found")</f>
        <v>No</v>
      </c>
    </row>
    <row r="22" spans="1:4" x14ac:dyDescent="0.35">
      <c r="A22" s="36" t="str">
        <f>_xlfn.TEXTJOIN(" ",TRUE,Employees_Data[[#This Row],[First Name]],Employees_Data[[#This Row],[Last Name]])</f>
        <v>Samir Alsafdi</v>
      </c>
      <c r="B22" s="37">
        <f ca="1">DATEDIF(Employees!$F22,TODAY(),"Y")</f>
        <v>5</v>
      </c>
      <c r="C22" s="38">
        <v>98</v>
      </c>
      <c r="D22" s="39" t="str">
        <f ca="1">IFERROR(IF(AND(Hardworking_Employee[[#This Row],[Years]]&gt;=5,Hardworking_Employee[[#This Row],[Overtime Hours]]&gt;50),"Yes","No"),"Not Found")</f>
        <v>Yes</v>
      </c>
    </row>
    <row r="23" spans="1:4" x14ac:dyDescent="0.35">
      <c r="A23" s="40" t="str">
        <f>_xlfn.TEXTJOIN(" ",TRUE,Employees_Data[[#This Row],[First Name]],Employees_Data[[#This Row],[Last Name]])</f>
        <v>Bilal Jalal</v>
      </c>
      <c r="B23" s="41">
        <f ca="1">DATEDIF(Employees!$F23,TODAY(),"Y")</f>
        <v>7</v>
      </c>
      <c r="C23" s="42">
        <v>109</v>
      </c>
      <c r="D23" s="43" t="str">
        <f ca="1">IFERROR(IF(AND(Hardworking_Employee[[#This Row],[Years]]&gt;=5,Hardworking_Employee[[#This Row],[Overtime Hours]]&gt;50),"Yes","No"),"Not Found")</f>
        <v>Yes</v>
      </c>
    </row>
    <row r="24" spans="1:4" x14ac:dyDescent="0.35">
      <c r="A24" s="36" t="str">
        <f>_xlfn.TEXTJOIN(" ",TRUE,Employees_Data[[#This Row],[First Name]],Employees_Data[[#This Row],[Last Name]])</f>
        <v>Riad Sahalul</v>
      </c>
      <c r="B24" s="37">
        <f ca="1">DATEDIF(Employees!$F24,TODAY(),"Y")</f>
        <v>6</v>
      </c>
      <c r="C24" s="38">
        <v>111</v>
      </c>
      <c r="D24" s="39" t="str">
        <f ca="1">IFERROR(IF(AND(Hardworking_Employee[[#This Row],[Years]]&gt;=5,Hardworking_Employee[[#This Row],[Overtime Hours]]&gt;50),"Yes","No"),"Not Found")</f>
        <v>Yes</v>
      </c>
    </row>
    <row r="25" spans="1:4" x14ac:dyDescent="0.35">
      <c r="A25" s="40" t="str">
        <f>_xlfn.TEXTJOIN(" ",TRUE,Employees_Data[[#This Row],[First Name]],Employees_Data[[#This Row],[Last Name]])</f>
        <v>Ahmad Ahmad</v>
      </c>
      <c r="B25" s="41">
        <f ca="1">DATEDIF(Employees!$F25,TODAY(),"Y")</f>
        <v>7</v>
      </c>
      <c r="C25" s="42">
        <v>32</v>
      </c>
      <c r="D25" s="43" t="str">
        <f ca="1">IFERROR(IF(AND(Hardworking_Employee[[#This Row],[Years]]&gt;=5,Hardworking_Employee[[#This Row],[Overtime Hours]]&gt;50),"Yes","No"),"Not Found")</f>
        <v>No</v>
      </c>
    </row>
    <row r="26" spans="1:4" x14ac:dyDescent="0.35">
      <c r="A26" s="36" t="str">
        <f>_xlfn.TEXTJOIN(" ",TRUE,Employees_Data[[#This Row],[First Name]],Employees_Data[[#This Row],[Last Name]])</f>
        <v>Muhamad Altarah</v>
      </c>
      <c r="B26" s="37">
        <f ca="1">DATEDIF(Employees!$F26,TODAY(),"Y")</f>
        <v>5</v>
      </c>
      <c r="C26" s="38">
        <v>94</v>
      </c>
      <c r="D26" s="39" t="str">
        <f ca="1">IFERROR(IF(AND(Hardworking_Employee[[#This Row],[Years]]&gt;=5,Hardworking_Employee[[#This Row],[Overtime Hours]]&gt;50),"Yes","No"),"Not Found")</f>
        <v>Yes</v>
      </c>
    </row>
    <row r="27" spans="1:4" x14ac:dyDescent="0.35">
      <c r="A27" s="40" t="str">
        <f>_xlfn.TEXTJOIN(" ",TRUE,Employees_Data[[#This Row],[First Name]],Employees_Data[[#This Row],[Last Name]])</f>
        <v>Lwna Abu</v>
      </c>
      <c r="B27" s="41">
        <f ca="1">DATEDIF(Employees!$F27,TODAY(),"Y")</f>
        <v>6</v>
      </c>
      <c r="C27" s="42">
        <v>13</v>
      </c>
      <c r="D27" s="43" t="str">
        <f ca="1">IFERROR(IF(AND(Hardworking_Employee[[#This Row],[Years]]&gt;=5,Hardworking_Employee[[#This Row],[Overtime Hours]]&gt;50),"Yes","No"),"Not Found")</f>
        <v>No</v>
      </c>
    </row>
    <row r="28" spans="1:4" x14ac:dyDescent="0.35">
      <c r="A28" s="36" t="str">
        <f>_xlfn.TEXTJOIN(" ",TRUE,Employees_Data[[#This Row],[First Name]],Employees_Data[[#This Row],[Last Name]])</f>
        <v>Jalal Almuluhi</v>
      </c>
      <c r="B28" s="37">
        <f ca="1">DATEDIF(Employees!$F28,TODAY(),"Y")</f>
        <v>7</v>
      </c>
      <c r="C28" s="38">
        <v>70</v>
      </c>
      <c r="D28" s="39" t="str">
        <f ca="1">IFERROR(IF(AND(Hardworking_Employee[[#This Row],[Years]]&gt;=5,Hardworking_Employee[[#This Row],[Overtime Hours]]&gt;50),"Yes","No"),"Not Found")</f>
        <v>Yes</v>
      </c>
    </row>
    <row r="29" spans="1:4" x14ac:dyDescent="0.35">
      <c r="A29" s="40" t="str">
        <f>_xlfn.TEXTJOIN(" ",TRUE,Employees_Data[[#This Row],[First Name]],Employees_Data[[#This Row],[Last Name]])</f>
        <v>Rana Mius</v>
      </c>
      <c r="B29" s="41">
        <f ca="1">DATEDIF(Employees!$F29,TODAY(),"Y")</f>
        <v>7</v>
      </c>
      <c r="C29" s="42">
        <v>9</v>
      </c>
      <c r="D29" s="43" t="str">
        <f ca="1">IFERROR(IF(AND(Hardworking_Employee[[#This Row],[Years]]&gt;=5,Hardworking_Employee[[#This Row],[Overtime Hours]]&gt;50),"Yes","No"),"Not Found")</f>
        <v>No</v>
      </c>
    </row>
    <row r="30" spans="1:4" x14ac:dyDescent="0.35">
      <c r="A30" s="36" t="str">
        <f>_xlfn.TEXTJOIN(" ",TRUE,Employees_Data[[#This Row],[First Name]],Employees_Data[[#This Row],[Last Name]])</f>
        <v>Lina Aljabaan</v>
      </c>
      <c r="B30" s="37">
        <f ca="1">DATEDIF(Employees!$F30,TODAY(),"Y")</f>
        <v>6</v>
      </c>
      <c r="C30" s="38">
        <v>97</v>
      </c>
      <c r="D30" s="39" t="str">
        <f ca="1">IFERROR(IF(AND(Hardworking_Employee[[#This Row],[Years]]&gt;=5,Hardworking_Employee[[#This Row],[Overtime Hours]]&gt;50),"Yes","No"),"Not Found")</f>
        <v>Yes</v>
      </c>
    </row>
    <row r="31" spans="1:4" x14ac:dyDescent="0.35">
      <c r="A31" s="40" t="str">
        <f>_xlfn.TEXTJOIN(" ",TRUE,Employees_Data[[#This Row],[First Name]],Employees_Data[[#This Row],[Last Name]])</f>
        <v>Rami Shanan</v>
      </c>
      <c r="B31" s="41">
        <f ca="1">DATEDIF(Employees!$F31,TODAY(),"Y")</f>
        <v>7</v>
      </c>
      <c r="C31" s="42">
        <v>71</v>
      </c>
      <c r="D31" s="43" t="str">
        <f ca="1">IFERROR(IF(AND(Hardworking_Employee[[#This Row],[Years]]&gt;=5,Hardworking_Employee[[#This Row],[Overtime Hours]]&gt;50),"Yes","No"),"Not Found")</f>
        <v>Yes</v>
      </c>
    </row>
    <row r="32" spans="1:4" x14ac:dyDescent="0.35">
      <c r="A32" s="36" t="str">
        <f>_xlfn.TEXTJOIN(" ",TRUE,Employees_Data[[#This Row],[First Name]],Employees_Data[[#This Row],[Last Name]])</f>
        <v>Eala Alhaj</v>
      </c>
      <c r="B32" s="37">
        <f ca="1">DATEDIF(Employees!$F32,TODAY(),"Y")</f>
        <v>6</v>
      </c>
      <c r="C32" s="38">
        <v>100</v>
      </c>
      <c r="D32" s="39" t="str">
        <f ca="1">IFERROR(IF(AND(Hardworking_Employee[[#This Row],[Years]]&gt;=5,Hardworking_Employee[[#This Row],[Overtime Hours]]&gt;50),"Yes","No"),"Not Found")</f>
        <v>Yes</v>
      </c>
    </row>
    <row r="33" spans="1:4" x14ac:dyDescent="0.35">
      <c r="A33" s="40" t="str">
        <f>_xlfn.TEXTJOIN(" ",TRUE,Employees_Data[[#This Row],[First Name]],Employees_Data[[#This Row],[Last Name]])</f>
        <v>Ghalib Zakianiin</v>
      </c>
      <c r="B33" s="41">
        <f ca="1">DATEDIF(Employees!$F33,TODAY(),"Y")</f>
        <v>7</v>
      </c>
      <c r="C33" s="42">
        <v>48</v>
      </c>
      <c r="D33" s="43" t="str">
        <f ca="1">IFERROR(IF(AND(Hardworking_Employee[[#This Row],[Years]]&gt;=5,Hardworking_Employee[[#This Row],[Overtime Hours]]&gt;50),"Yes","No"),"Not Found")</f>
        <v>No</v>
      </c>
    </row>
    <row r="34" spans="1:4" x14ac:dyDescent="0.35">
      <c r="A34" s="36" t="str">
        <f>_xlfn.TEXTJOIN(" ",TRUE,Employees_Data[[#This Row],[First Name]],Employees_Data[[#This Row],[Last Name]])</f>
        <v>Muhamad Eurul</v>
      </c>
      <c r="B34" s="37">
        <f ca="1">DATEDIF(Employees!$F34,TODAY(),"Y")</f>
        <v>9</v>
      </c>
      <c r="C34" s="38">
        <v>148</v>
      </c>
      <c r="D34" s="39" t="str">
        <f ca="1">IFERROR(IF(AND(Hardworking_Employee[[#This Row],[Years]]&gt;=5,Hardworking_Employee[[#This Row],[Overtime Hours]]&gt;50),"Yes","No"),"Not Found")</f>
        <v>Yes</v>
      </c>
    </row>
    <row r="35" spans="1:4" x14ac:dyDescent="0.35">
      <c r="A35" s="40" t="str">
        <f>_xlfn.TEXTJOIN(" ",TRUE,Employees_Data[[#This Row],[First Name]],Employees_Data[[#This Row],[Last Name]])</f>
        <v>Eizat Ghanim</v>
      </c>
      <c r="B35" s="41">
        <f ca="1">DATEDIF(Employees!$F35,TODAY(),"Y")</f>
        <v>9</v>
      </c>
      <c r="C35" s="42">
        <v>5</v>
      </c>
      <c r="D35" s="43" t="str">
        <f ca="1">IFERROR(IF(AND(Hardworking_Employee[[#This Row],[Years]]&gt;=5,Hardworking_Employee[[#This Row],[Overtime Hours]]&gt;50),"Yes","No"),"Not Found")</f>
        <v>No</v>
      </c>
    </row>
    <row r="36" spans="1:4" x14ac:dyDescent="0.35">
      <c r="A36" s="36" t="str">
        <f>_xlfn.TEXTJOIN(" ",TRUE,Employees_Data[[#This Row],[First Name]],Employees_Data[[#This Row],[Last Name]])</f>
        <v>Ahmad Swyd</v>
      </c>
      <c r="B36" s="37">
        <f ca="1">DATEDIF(Employees!$F36,TODAY(),"Y")</f>
        <v>9</v>
      </c>
      <c r="C36" s="38">
        <v>7</v>
      </c>
      <c r="D36" s="39" t="str">
        <f ca="1">IFERROR(IF(AND(Hardworking_Employee[[#This Row],[Years]]&gt;=5,Hardworking_Employee[[#This Row],[Overtime Hours]]&gt;50),"Yes","No"),"Not Found")</f>
        <v>No</v>
      </c>
    </row>
    <row r="37" spans="1:4" x14ac:dyDescent="0.35">
      <c r="A37" s="40" t="str">
        <f>_xlfn.TEXTJOIN(" ",TRUE,Employees_Data[[#This Row],[First Name]],Employees_Data[[#This Row],[Last Name]])</f>
        <v>Muhamad Aleass</v>
      </c>
      <c r="B37" s="41">
        <f ca="1">DATEDIF(Employees!$F37,TODAY(),"Y")</f>
        <v>7</v>
      </c>
      <c r="C37" s="42">
        <v>37</v>
      </c>
      <c r="D37" s="43" t="str">
        <f ca="1">IFERROR(IF(AND(Hardworking_Employee[[#This Row],[Years]]&gt;=5,Hardworking_Employee[[#This Row],[Overtime Hours]]&gt;50),"Yes","No"),"Not Found")</f>
        <v>No</v>
      </c>
    </row>
    <row r="38" spans="1:4" x14ac:dyDescent="0.35">
      <c r="A38" s="36" t="str">
        <f>_xlfn.TEXTJOIN(" ",TRUE,Employees_Data[[#This Row],[First Name]],Employees_Data[[#This Row],[Last Name]])</f>
        <v>Rima AlAsfar</v>
      </c>
      <c r="B38" s="37">
        <f ca="1">DATEDIF(Employees!$F38,TODAY(),"Y")</f>
        <v>10</v>
      </c>
      <c r="C38" s="38">
        <v>5</v>
      </c>
      <c r="D38" s="39" t="str">
        <f ca="1">IFERROR(IF(AND(Hardworking_Employee[[#This Row],[Years]]&gt;=5,Hardworking_Employee[[#This Row],[Overtime Hours]]&gt;50),"Yes","No"),"Not Found")</f>
        <v>No</v>
      </c>
    </row>
    <row r="39" spans="1:4" x14ac:dyDescent="0.35">
      <c r="A39" s="40" t="str">
        <f>_xlfn.TEXTJOIN(" ",TRUE,Employees_Data[[#This Row],[First Name]],Employees_Data[[#This Row],[Last Name]])</f>
        <v>Zayn Aleabdyn Zaetar</v>
      </c>
      <c r="B39" s="41">
        <f ca="1">DATEDIF(Employees!$F39,TODAY(),"Y")</f>
        <v>5</v>
      </c>
      <c r="C39" s="42">
        <v>3</v>
      </c>
      <c r="D39" s="43" t="str">
        <f ca="1">IFERROR(IF(AND(Hardworking_Employee[[#This Row],[Years]]&gt;=5,Hardworking_Employee[[#This Row],[Overtime Hours]]&gt;50),"Yes","No"),"Not Found")</f>
        <v>No</v>
      </c>
    </row>
    <row r="40" spans="1:4" x14ac:dyDescent="0.35">
      <c r="A40" s="36" t="str">
        <f>_xlfn.TEXTJOIN(" ",TRUE,Employees_Data[[#This Row],[First Name]],Employees_Data[[#This Row],[Last Name]])</f>
        <v>Hazim Alshshatim</v>
      </c>
      <c r="B40" s="37">
        <f ca="1">DATEDIF(Employees!$F40,TODAY(),"Y")</f>
        <v>8</v>
      </c>
      <c r="C40" s="38">
        <v>9</v>
      </c>
      <c r="D40" s="39" t="str">
        <f ca="1">IFERROR(IF(AND(Hardworking_Employee[[#This Row],[Years]]&gt;=5,Hardworking_Employee[[#This Row],[Overtime Hours]]&gt;50),"Yes","No"),"Not Found")</f>
        <v>No</v>
      </c>
    </row>
    <row r="41" spans="1:4" x14ac:dyDescent="0.35">
      <c r="A41" s="40" t="str">
        <f>_xlfn.TEXTJOIN(" ",TRUE,Employees_Data[[#This Row],[First Name]],Employees_Data[[#This Row],[Last Name]])</f>
        <v>Dia Alshahf</v>
      </c>
      <c r="B41" s="41">
        <f ca="1">DATEDIF(Employees!$F41,TODAY(),"Y")</f>
        <v>7</v>
      </c>
      <c r="C41" s="42">
        <v>0</v>
      </c>
      <c r="D41" s="43" t="str">
        <f ca="1">IFERROR(IF(AND(Hardworking_Employee[[#This Row],[Years]]&gt;=5,Hardworking_Employee[[#This Row],[Overtime Hours]]&gt;50),"Yes","No"),"Not Found")</f>
        <v>No</v>
      </c>
    </row>
    <row r="42" spans="1:4" x14ac:dyDescent="0.35">
      <c r="A42" s="36" t="str">
        <f>_xlfn.TEXTJOIN(" ",TRUE,Employees_Data[[#This Row],[First Name]],Employees_Data[[#This Row],[Last Name]])</f>
        <v>Ayham Almusaa</v>
      </c>
      <c r="B42" s="37">
        <f ca="1">DATEDIF(Employees!$F42,TODAY(),"Y")</f>
        <v>7</v>
      </c>
      <c r="C42" s="38">
        <v>26</v>
      </c>
      <c r="D42" s="39" t="str">
        <f ca="1">IFERROR(IF(AND(Hardworking_Employee[[#This Row],[Years]]&gt;=5,Hardworking_Employee[[#This Row],[Overtime Hours]]&gt;50),"Yes","No"),"Not Found")</f>
        <v>No</v>
      </c>
    </row>
    <row r="43" spans="1:4" x14ac:dyDescent="0.35">
      <c r="A43" s="40" t="str">
        <f>_xlfn.TEXTJOIN(" ",TRUE,Employees_Data[[#This Row],[First Name]],Employees_Data[[#This Row],[Last Name]])</f>
        <v>Abd Allatif Mabrukh</v>
      </c>
      <c r="B43" s="41">
        <f ca="1">DATEDIF(Employees!$F43,TODAY(),"Y")</f>
        <v>5</v>
      </c>
      <c r="C43" s="42">
        <v>7</v>
      </c>
      <c r="D43" s="43" t="str">
        <f ca="1">IFERROR(IF(AND(Hardworking_Employee[[#This Row],[Years]]&gt;=5,Hardworking_Employee[[#This Row],[Overtime Hours]]&gt;50),"Yes","No"),"Not Found")</f>
        <v>No</v>
      </c>
    </row>
    <row r="44" spans="1:4" x14ac:dyDescent="0.35">
      <c r="A44" s="36" t="str">
        <f>_xlfn.TEXTJOIN(" ",TRUE,Employees_Data[[#This Row],[First Name]],Employees_Data[[#This Row],[Last Name]])</f>
        <v>Salim Abumaeun</v>
      </c>
      <c r="B44" s="37">
        <f ca="1">DATEDIF(Employees!$F44,TODAY(),"Y")</f>
        <v>9</v>
      </c>
      <c r="C44" s="38">
        <v>14</v>
      </c>
      <c r="D44" s="39" t="str">
        <f ca="1">IFERROR(IF(AND(Hardworking_Employee[[#This Row],[Years]]&gt;=5,Hardworking_Employee[[#This Row],[Overtime Hours]]&gt;50),"Yes","No"),"Not Found")</f>
        <v>No</v>
      </c>
    </row>
    <row r="45" spans="1:4" x14ac:dyDescent="0.35">
      <c r="A45" s="40" t="str">
        <f>_xlfn.TEXTJOIN(" ",TRUE,Employees_Data[[#This Row],[First Name]],Employees_Data[[#This Row],[Last Name]])</f>
        <v>Rafat Hamza</v>
      </c>
      <c r="B45" s="41">
        <f ca="1">DATEDIF(Employees!$F45,TODAY(),"Y")</f>
        <v>6</v>
      </c>
      <c r="C45" s="42">
        <v>9</v>
      </c>
      <c r="D45" s="43" t="str">
        <f ca="1">IFERROR(IF(AND(Hardworking_Employee[[#This Row],[Years]]&gt;=5,Hardworking_Employee[[#This Row],[Overtime Hours]]&gt;50),"Yes","No"),"Not Found")</f>
        <v>No</v>
      </c>
    </row>
    <row r="46" spans="1:4" x14ac:dyDescent="0.35">
      <c r="A46" s="36" t="str">
        <f>_xlfn.TEXTJOIN(" ",TRUE,Employees_Data[[#This Row],[First Name]],Employees_Data[[#This Row],[Last Name]])</f>
        <v>Ahmad Laylana</v>
      </c>
      <c r="B46" s="37">
        <f ca="1">DATEDIF(Employees!$F46,TODAY(),"Y")</f>
        <v>9</v>
      </c>
      <c r="C46" s="38">
        <v>7</v>
      </c>
      <c r="D46" s="39" t="str">
        <f ca="1">IFERROR(IF(AND(Hardworking_Employee[[#This Row],[Years]]&gt;=5,Hardworking_Employee[[#This Row],[Overtime Hours]]&gt;50),"Yes","No"),"Not Found")</f>
        <v>No</v>
      </c>
    </row>
    <row r="47" spans="1:4" x14ac:dyDescent="0.35">
      <c r="A47" s="40" t="str">
        <f>_xlfn.TEXTJOIN(" ",TRUE,Employees_Data[[#This Row],[First Name]],Employees_Data[[#This Row],[Last Name]])</f>
        <v>Lobnaa Khalifih</v>
      </c>
      <c r="B47" s="41">
        <f ca="1">DATEDIF(Employees!$F47,TODAY(),"Y")</f>
        <v>6</v>
      </c>
      <c r="C47" s="42">
        <v>3</v>
      </c>
      <c r="D47" s="43" t="str">
        <f ca="1">IFERROR(IF(AND(Hardworking_Employee[[#This Row],[Years]]&gt;=5,Hardworking_Employee[[#This Row],[Overtime Hours]]&gt;50),"Yes","No"),"Not Found")</f>
        <v>No</v>
      </c>
    </row>
    <row r="48" spans="1:4" x14ac:dyDescent="0.35">
      <c r="A48" s="36" t="str">
        <f>_xlfn.TEXTJOIN(" ",TRUE,Employees_Data[[#This Row],[First Name]],Employees_Data[[#This Row],[Last Name]])</f>
        <v>Sami Alkhujih</v>
      </c>
      <c r="B48" s="37">
        <f ca="1">DATEDIF(Employees!$F48,TODAY(),"Y")</f>
        <v>7</v>
      </c>
      <c r="C48" s="38">
        <v>0</v>
      </c>
      <c r="D48" s="39" t="str">
        <f ca="1">IFERROR(IF(AND(Hardworking_Employee[[#This Row],[Years]]&gt;=5,Hardworking_Employee[[#This Row],[Overtime Hours]]&gt;50),"Yes","No"),"Not Found")</f>
        <v>No</v>
      </c>
    </row>
    <row r="49" spans="1:4" x14ac:dyDescent="0.35">
      <c r="A49" s="40" t="str">
        <f>_xlfn.TEXTJOIN(" ",TRUE,Employees_Data[[#This Row],[First Name]],Employees_Data[[#This Row],[Last Name]])</f>
        <v>Salam Alealbi</v>
      </c>
      <c r="B49" s="41">
        <f ca="1">DATEDIF(Employees!$F49,TODAY(),"Y")</f>
        <v>10</v>
      </c>
      <c r="C49" s="42">
        <v>3</v>
      </c>
      <c r="D49" s="43" t="str">
        <f ca="1">IFERROR(IF(AND(Hardworking_Employee[[#This Row],[Years]]&gt;=5,Hardworking_Employee[[#This Row],[Overtime Hours]]&gt;50),"Yes","No"),"Not Found")</f>
        <v>No</v>
      </c>
    </row>
    <row r="50" spans="1:4" x14ac:dyDescent="0.35">
      <c r="A50" s="36" t="str">
        <f>_xlfn.TEXTJOIN(" ",TRUE,Employees_Data[[#This Row],[First Name]],Employees_Data[[#This Row],[Last Name]])</f>
        <v>Rim Almusaa</v>
      </c>
      <c r="B50" s="37">
        <f ca="1">DATEDIF(Employees!$F50,TODAY(),"Y")</f>
        <v>6</v>
      </c>
      <c r="C50" s="38">
        <v>1</v>
      </c>
      <c r="D50" s="39" t="str">
        <f ca="1">IFERROR(IF(AND(Hardworking_Employee[[#This Row],[Years]]&gt;=5,Hardworking_Employee[[#This Row],[Overtime Hours]]&gt;50),"Yes","No"),"Not Found")</f>
        <v>No</v>
      </c>
    </row>
    <row r="51" spans="1:4" x14ac:dyDescent="0.35">
      <c r="A51" s="40" t="str">
        <f>_xlfn.TEXTJOIN(" ",TRUE,Employees_Data[[#This Row],[First Name]],Employees_Data[[#This Row],[Last Name]])</f>
        <v>Ghada Aleasimii</v>
      </c>
      <c r="B51" s="41">
        <f ca="1">DATEDIF(Employees!$F51,TODAY(),"Y")</f>
        <v>7</v>
      </c>
      <c r="C51" s="42">
        <v>1</v>
      </c>
      <c r="D51" s="43" t="str">
        <f ca="1">IFERROR(IF(AND(Hardworking_Employee[[#This Row],[Years]]&gt;=5,Hardworking_Employee[[#This Row],[Overtime Hours]]&gt;50),"Yes","No"),"Not Found")</f>
        <v>No</v>
      </c>
    </row>
    <row r="52" spans="1:4" x14ac:dyDescent="0.35">
      <c r="A52" s="36" t="str">
        <f>_xlfn.TEXTJOIN(" ",TRUE,Employees_Data[[#This Row],[First Name]],Employees_Data[[#This Row],[Last Name]])</f>
        <v>Abd Alwahhab Muhamad</v>
      </c>
      <c r="B52" s="37">
        <f ca="1">DATEDIF(Employees!$F52,TODAY(),"Y")</f>
        <v>7</v>
      </c>
      <c r="C52" s="38">
        <v>1</v>
      </c>
      <c r="D52" s="39" t="str">
        <f ca="1">IFERROR(IF(AND(Hardworking_Employee[[#This Row],[Years]]&gt;=5,Hardworking_Employee[[#This Row],[Overtime Hours]]&gt;50),"Yes","No"),"Not Found")</f>
        <v>No</v>
      </c>
    </row>
    <row r="53" spans="1:4" x14ac:dyDescent="0.35">
      <c r="A53" s="40" t="str">
        <f>_xlfn.TEXTJOIN(" ",TRUE,Employees_Data[[#This Row],[First Name]],Employees_Data[[#This Row],[Last Name]])</f>
        <v>Ayman Eubayd</v>
      </c>
      <c r="B53" s="41">
        <f ca="1">DATEDIF(Employees!$F53,TODAY(),"Y")</f>
        <v>7</v>
      </c>
      <c r="C53" s="42">
        <v>10</v>
      </c>
      <c r="D53" s="43" t="str">
        <f ca="1">IFERROR(IF(AND(Hardworking_Employee[[#This Row],[Years]]&gt;=5,Hardworking_Employee[[#This Row],[Overtime Hours]]&gt;50),"Yes","No"),"Not Found")</f>
        <v>No</v>
      </c>
    </row>
    <row r="54" spans="1:4" x14ac:dyDescent="0.35">
      <c r="A54" s="36" t="str">
        <f>_xlfn.TEXTJOIN(" ",TRUE,Employees_Data[[#This Row],[First Name]],Employees_Data[[#This Row],[Last Name]])</f>
        <v>Faras Karim</v>
      </c>
      <c r="B54" s="37">
        <f ca="1">DATEDIF(Employees!$F54,TODAY(),"Y")</f>
        <v>6</v>
      </c>
      <c r="C54" s="38">
        <v>5</v>
      </c>
      <c r="D54" s="39" t="str">
        <f ca="1">IFERROR(IF(AND(Hardworking_Employee[[#This Row],[Years]]&gt;=5,Hardworking_Employee[[#This Row],[Overtime Hours]]&gt;50),"Yes","No"),"Not Found")</f>
        <v>No</v>
      </c>
    </row>
    <row r="55" spans="1:4" x14ac:dyDescent="0.35">
      <c r="A55" s="40" t="str">
        <f>_xlfn.TEXTJOIN(" ",TRUE,Employees_Data[[#This Row],[First Name]],Employees_Data[[#This Row],[Last Name]])</f>
        <v>Shadi Salayk</v>
      </c>
      <c r="B55" s="41">
        <f ca="1">DATEDIF(Employees!$F55,TODAY(),"Y")</f>
        <v>7</v>
      </c>
      <c r="C55" s="42">
        <v>10</v>
      </c>
      <c r="D55" s="43" t="str">
        <f ca="1">IFERROR(IF(AND(Hardworking_Employee[[#This Row],[Years]]&gt;=5,Hardworking_Employee[[#This Row],[Overtime Hours]]&gt;50),"Yes","No"),"Not Found")</f>
        <v>No</v>
      </c>
    </row>
    <row r="56" spans="1:4" x14ac:dyDescent="0.35">
      <c r="A56" s="36" t="str">
        <f>_xlfn.TEXTJOIN(" ",TRUE,Employees_Data[[#This Row],[First Name]],Employees_Data[[#This Row],[Last Name]])</f>
        <v>Eubay Alttahir</v>
      </c>
      <c r="B56" s="37">
        <f ca="1">DATEDIF(Employees!$F56,TODAY(),"Y")</f>
        <v>10</v>
      </c>
      <c r="C56" s="38">
        <v>5</v>
      </c>
      <c r="D56" s="39" t="str">
        <f ca="1">IFERROR(IF(AND(Hardworking_Employee[[#This Row],[Years]]&gt;=5,Hardworking_Employee[[#This Row],[Overtime Hours]]&gt;50),"Yes","No"),"Not Found")</f>
        <v>No</v>
      </c>
    </row>
    <row r="57" spans="1:4" x14ac:dyDescent="0.35">
      <c r="A57" s="40" t="str">
        <f>_xlfn.TEXTJOIN(" ",TRUE,Employees_Data[[#This Row],[First Name]],Employees_Data[[#This Row],[Last Name]])</f>
        <v>Abd Alhadi Alzzahir</v>
      </c>
      <c r="B57" s="41">
        <f ca="1">DATEDIF(Employees!$F57,TODAY(),"Y")</f>
        <v>8</v>
      </c>
      <c r="C57" s="42">
        <v>85</v>
      </c>
      <c r="D57" s="43" t="str">
        <f ca="1">IFERROR(IF(AND(Hardworking_Employee[[#This Row],[Years]]&gt;=5,Hardworking_Employee[[#This Row],[Overtime Hours]]&gt;50),"Yes","No"),"Not Found")</f>
        <v>Yes</v>
      </c>
    </row>
    <row r="58" spans="1:4" x14ac:dyDescent="0.35">
      <c r="A58" s="36" t="str">
        <f>_xlfn.TEXTJOIN(" ",TRUE,Employees_Data[[#This Row],[First Name]],Employees_Data[[#This Row],[Last Name]])</f>
        <v>Majdulin Ashbrh</v>
      </c>
      <c r="B58" s="37">
        <f ca="1">DATEDIF(Employees!$F58,TODAY(),"Y")</f>
        <v>7</v>
      </c>
      <c r="C58" s="38">
        <v>10</v>
      </c>
      <c r="D58" s="39" t="str">
        <f ca="1">IFERROR(IF(AND(Hardworking_Employee[[#This Row],[Years]]&gt;=5,Hardworking_Employee[[#This Row],[Overtime Hours]]&gt;50),"Yes","No"),"Not Found")</f>
        <v>No</v>
      </c>
    </row>
    <row r="59" spans="1:4" x14ac:dyDescent="0.35">
      <c r="A59" s="40" t="str">
        <f>_xlfn.TEXTJOIN(" ",TRUE,Employees_Data[[#This Row],[First Name]],Employees_Data[[#This Row],[Last Name]])</f>
        <v>Aylyn Dahadal</v>
      </c>
      <c r="B59" s="41">
        <f ca="1">DATEDIF(Employees!$F59,TODAY(),"Y")</f>
        <v>6</v>
      </c>
      <c r="C59" s="42">
        <v>0</v>
      </c>
      <c r="D59" s="43" t="str">
        <f ca="1">IFERROR(IF(AND(Hardworking_Employee[[#This Row],[Years]]&gt;=5,Hardworking_Employee[[#This Row],[Overtime Hours]]&gt;50),"Yes","No"),"Not Found")</f>
        <v>No</v>
      </c>
    </row>
    <row r="60" spans="1:4" x14ac:dyDescent="0.35">
      <c r="A60" s="36" t="str">
        <f>_xlfn.TEXTJOIN(" ",TRUE,Employees_Data[[#This Row],[First Name]],Employees_Data[[#This Row],[Last Name]])</f>
        <v>Tala Tuish</v>
      </c>
      <c r="B60" s="37">
        <f ca="1">DATEDIF(Employees!$F60,TODAY(),"Y")</f>
        <v>7</v>
      </c>
      <c r="C60" s="38">
        <v>11</v>
      </c>
      <c r="D60" s="39" t="str">
        <f ca="1">IFERROR(IF(AND(Hardworking_Employee[[#This Row],[Years]]&gt;=5,Hardworking_Employee[[#This Row],[Overtime Hours]]&gt;50),"Yes","No"),"Not Found")</f>
        <v>No</v>
      </c>
    </row>
    <row r="61" spans="1:4" x14ac:dyDescent="0.35">
      <c r="A61" s="40" t="str">
        <f>_xlfn.TEXTJOIN(" ",TRUE,Employees_Data[[#This Row],[First Name]],Employees_Data[[#This Row],[Last Name]])</f>
        <v>Muhamad Qarh</v>
      </c>
      <c r="B61" s="41">
        <f ca="1">DATEDIF(Employees!$F61,TODAY(),"Y")</f>
        <v>7</v>
      </c>
      <c r="C61" s="42">
        <v>7</v>
      </c>
      <c r="D61" s="43" t="str">
        <f ca="1">IFERROR(IF(AND(Hardworking_Employee[[#This Row],[Years]]&gt;=5,Hardworking_Employee[[#This Row],[Overtime Hours]]&gt;50),"Yes","No"),"Not Found")</f>
        <v>No</v>
      </c>
    </row>
    <row r="62" spans="1:4" x14ac:dyDescent="0.35">
      <c r="A62" s="36" t="str">
        <f>_xlfn.TEXTJOIN(" ",TRUE,Employees_Data[[#This Row],[First Name]],Employees_Data[[#This Row],[Last Name]])</f>
        <v>Eala Almisri</v>
      </c>
      <c r="B62" s="37">
        <f ca="1">DATEDIF(Employees!$F62,TODAY(),"Y")</f>
        <v>7</v>
      </c>
      <c r="C62" s="38">
        <v>10</v>
      </c>
      <c r="D62" s="39" t="str">
        <f ca="1">IFERROR(IF(AND(Hardworking_Employee[[#This Row],[Years]]&gt;=5,Hardworking_Employee[[#This Row],[Overtime Hours]]&gt;50),"Yes","No"),"Not Found")</f>
        <v>No</v>
      </c>
    </row>
    <row r="63" spans="1:4" x14ac:dyDescent="0.35">
      <c r="A63" s="40" t="str">
        <f>_xlfn.TEXTJOIN(" ",TRUE,Employees_Data[[#This Row],[First Name]],Employees_Data[[#This Row],[Last Name]])</f>
        <v>Muhamad Alzaybq</v>
      </c>
      <c r="B63" s="41">
        <f ca="1">DATEDIF(Employees!$F63,TODAY(),"Y")</f>
        <v>7</v>
      </c>
      <c r="C63" s="42">
        <v>2</v>
      </c>
      <c r="D63" s="43" t="str">
        <f ca="1">IFERROR(IF(AND(Hardworking_Employee[[#This Row],[Years]]&gt;=5,Hardworking_Employee[[#This Row],[Overtime Hours]]&gt;50),"Yes","No"),"Not Found")</f>
        <v>No</v>
      </c>
    </row>
    <row r="64" spans="1:4" x14ac:dyDescent="0.35">
      <c r="A64" s="36" t="str">
        <f>_xlfn.TEXTJOIN(" ",TRUE,Employees_Data[[#This Row],[First Name]],Employees_Data[[#This Row],[Last Name]])</f>
        <v>Muhamad Asamy</v>
      </c>
      <c r="B64" s="37">
        <f ca="1">DATEDIF(Employees!$F64,TODAY(),"Y")</f>
        <v>9</v>
      </c>
      <c r="C64" s="38">
        <v>0</v>
      </c>
      <c r="D64" s="39" t="str">
        <f ca="1">IFERROR(IF(AND(Hardworking_Employee[[#This Row],[Years]]&gt;=5,Hardworking_Employee[[#This Row],[Overtime Hours]]&gt;50),"Yes","No"),"Not Found")</f>
        <v>No</v>
      </c>
    </row>
    <row r="65" spans="1:4" x14ac:dyDescent="0.35">
      <c r="A65" s="40" t="str">
        <f>_xlfn.TEXTJOIN(" ",TRUE,Employees_Data[[#This Row],[First Name]],Employees_Data[[#This Row],[Last Name]])</f>
        <v>Ahmad Alealbi</v>
      </c>
      <c r="B65" s="41">
        <f ca="1">DATEDIF(Employees!$F65,TODAY(),"Y")</f>
        <v>10</v>
      </c>
      <c r="C65" s="42">
        <v>2</v>
      </c>
      <c r="D65" s="43" t="str">
        <f ca="1">IFERROR(IF(AND(Hardworking_Employee[[#This Row],[Years]]&gt;=5,Hardworking_Employee[[#This Row],[Overtime Hours]]&gt;50),"Yes","No"),"Not Found")</f>
        <v>No</v>
      </c>
    </row>
    <row r="66" spans="1:4" x14ac:dyDescent="0.35">
      <c r="A66" s="36" t="str">
        <f>_xlfn.TEXTJOIN(" ",TRUE,Employees_Data[[#This Row],[First Name]],Employees_Data[[#This Row],[Last Name]])</f>
        <v>Ibrahim Almasri</v>
      </c>
      <c r="B66" s="37">
        <f ca="1">DATEDIF(Employees!$F66,TODAY(),"Y")</f>
        <v>8</v>
      </c>
      <c r="C66" s="38">
        <v>50</v>
      </c>
      <c r="D66" s="39" t="str">
        <f ca="1">IFERROR(IF(AND(Hardworking_Employee[[#This Row],[Years]]&gt;=5,Hardworking_Employee[[#This Row],[Overtime Hours]]&gt;50),"Yes","No"),"Not Found")</f>
        <v>No</v>
      </c>
    </row>
    <row r="67" spans="1:4" x14ac:dyDescent="0.35">
      <c r="A67" s="40" t="str">
        <f>_xlfn.TEXTJOIN(" ",TRUE,Employees_Data[[#This Row],[First Name]],Employees_Data[[#This Row],[Last Name]])</f>
        <v>Hamdah Alkhalifa</v>
      </c>
      <c r="B67" s="41">
        <f ca="1">DATEDIF(Employees!$F67,TODAY(),"Y")</f>
        <v>7</v>
      </c>
      <c r="C67" s="42">
        <v>3</v>
      </c>
      <c r="D67" s="43" t="str">
        <f ca="1">IFERROR(IF(AND(Hardworking_Employee[[#This Row],[Years]]&gt;=5,Hardworking_Employee[[#This Row],[Overtime Hours]]&gt;50),"Yes","No"),"Not Found")</f>
        <v>No</v>
      </c>
    </row>
    <row r="68" spans="1:4" x14ac:dyDescent="0.35">
      <c r="A68" s="36" t="str">
        <f>_xlfn.TEXTJOIN(" ",TRUE,Employees_Data[[#This Row],[First Name]],Employees_Data[[#This Row],[Last Name]])</f>
        <v>Muhamad Jawish</v>
      </c>
      <c r="B68" s="37">
        <f ca="1">DATEDIF(Employees!$F68,TODAY(),"Y")</f>
        <v>6</v>
      </c>
      <c r="C68" s="38">
        <v>4</v>
      </c>
      <c r="D68" s="39" t="str">
        <f ca="1">IFERROR(IF(AND(Hardworking_Employee[[#This Row],[Years]]&gt;=5,Hardworking_Employee[[#This Row],[Overtime Hours]]&gt;50),"Yes","No"),"Not Found")</f>
        <v>No</v>
      </c>
    </row>
    <row r="69" spans="1:4" x14ac:dyDescent="0.35">
      <c r="A69" s="40" t="str">
        <f>_xlfn.TEXTJOIN(" ",TRUE,Employees_Data[[#This Row],[First Name]],Employees_Data[[#This Row],[Last Name]])</f>
        <v>Muwmin Almudhin</v>
      </c>
      <c r="B69" s="41">
        <f ca="1">DATEDIF(Employees!$F69,TODAY(),"Y")</f>
        <v>6</v>
      </c>
      <c r="C69" s="42">
        <v>0</v>
      </c>
      <c r="D69" s="43" t="str">
        <f ca="1">IFERROR(IF(AND(Hardworking_Employee[[#This Row],[Years]]&gt;=5,Hardworking_Employee[[#This Row],[Overtime Hours]]&gt;50),"Yes","No"),"Not Found")</f>
        <v>No</v>
      </c>
    </row>
    <row r="70" spans="1:4" x14ac:dyDescent="0.35">
      <c r="A70" s="36" t="str">
        <f>_xlfn.TEXTJOIN(" ",TRUE,Employees_Data[[#This Row],[First Name]],Employees_Data[[#This Row],[Last Name]])</f>
        <v>Ahmad Zayd</v>
      </c>
      <c r="B70" s="37">
        <f ca="1">DATEDIF(Employees!$F70,TODAY(),"Y")</f>
        <v>8</v>
      </c>
      <c r="C70" s="38">
        <v>64</v>
      </c>
      <c r="D70" s="39" t="str">
        <f ca="1">IFERROR(IF(AND(Hardworking_Employee[[#This Row],[Years]]&gt;=5,Hardworking_Employee[[#This Row],[Overtime Hours]]&gt;50),"Yes","No"),"Not Found")</f>
        <v>Yes</v>
      </c>
    </row>
    <row r="71" spans="1:4" x14ac:dyDescent="0.35">
      <c r="A71" s="40" t="str">
        <f>_xlfn.TEXTJOIN(" ",TRUE,Employees_Data[[#This Row],[First Name]],Employees_Data[[#This Row],[Last Name]])</f>
        <v>Layzaan Nabulsi</v>
      </c>
      <c r="B71" s="41">
        <f ca="1">DATEDIF(Employees!$F71,TODAY(),"Y")</f>
        <v>6</v>
      </c>
      <c r="C71" s="42">
        <v>8</v>
      </c>
      <c r="D71" s="43" t="str">
        <f ca="1">IFERROR(IF(AND(Hardworking_Employee[[#This Row],[Years]]&gt;=5,Hardworking_Employee[[#This Row],[Overtime Hours]]&gt;50),"Yes","No"),"Not Found")</f>
        <v>No</v>
      </c>
    </row>
    <row r="72" spans="1:4" x14ac:dyDescent="0.35">
      <c r="A72" s="36" t="str">
        <f>_xlfn.TEXTJOIN(" ",TRUE,Employees_Data[[#This Row],[First Name]],Employees_Data[[#This Row],[Last Name]])</f>
        <v>Sarih Eammar</v>
      </c>
      <c r="B72" s="37">
        <f ca="1">DATEDIF(Employees!$F72,TODAY(),"Y")</f>
        <v>8</v>
      </c>
      <c r="C72" s="38">
        <v>2</v>
      </c>
      <c r="D72" s="39" t="str">
        <f ca="1">IFERROR(IF(AND(Hardworking_Employee[[#This Row],[Years]]&gt;=5,Hardworking_Employee[[#This Row],[Overtime Hours]]&gt;50),"Yes","No"),"Not Found")</f>
        <v>No</v>
      </c>
    </row>
    <row r="73" spans="1:4" x14ac:dyDescent="0.35">
      <c r="A73" s="40" t="str">
        <f>_xlfn.TEXTJOIN(" ",TRUE,Employees_Data[[#This Row],[First Name]],Employees_Data[[#This Row],[Last Name]])</f>
        <v>Karam Hutayniun</v>
      </c>
      <c r="B73" s="41">
        <f ca="1">DATEDIF(Employees!$F73,TODAY(),"Y")</f>
        <v>9</v>
      </c>
      <c r="C73" s="42">
        <v>10</v>
      </c>
      <c r="D73" s="43" t="str">
        <f ca="1">IFERROR(IF(AND(Hardworking_Employee[[#This Row],[Years]]&gt;=5,Hardworking_Employee[[#This Row],[Overtime Hours]]&gt;50),"Yes","No"),"Not Found")</f>
        <v>No</v>
      </c>
    </row>
    <row r="74" spans="1:4" x14ac:dyDescent="0.35">
      <c r="A74" s="36" t="str">
        <f>_xlfn.TEXTJOIN(" ",TRUE,Employees_Data[[#This Row],[First Name]],Employees_Data[[#This Row],[Last Name]])</f>
        <v>Shahad Shanan</v>
      </c>
      <c r="B74" s="37">
        <f ca="1">DATEDIF(Employees!$F74,TODAY(),"Y")</f>
        <v>7</v>
      </c>
      <c r="C74" s="38">
        <v>6</v>
      </c>
      <c r="D74" s="39" t="str">
        <f ca="1">IFERROR(IF(AND(Hardworking_Employee[[#This Row],[Years]]&gt;=5,Hardworking_Employee[[#This Row],[Overtime Hours]]&gt;50),"Yes","No"),"Not Found")</f>
        <v>No</v>
      </c>
    </row>
    <row r="75" spans="1:4" x14ac:dyDescent="0.35">
      <c r="A75" s="40" t="str">
        <f>_xlfn.TEXTJOIN(" ",TRUE,Employees_Data[[#This Row],[First Name]],Employees_Data[[#This Row],[Last Name]])</f>
        <v>Salah Ramadan</v>
      </c>
      <c r="B75" s="41">
        <f ca="1">DATEDIF(Employees!$F75,TODAY(),"Y")</f>
        <v>8</v>
      </c>
      <c r="C75" s="42">
        <v>0</v>
      </c>
      <c r="D75" s="43" t="str">
        <f ca="1">IFERROR(IF(AND(Hardworking_Employee[[#This Row],[Years]]&gt;=5,Hardworking_Employee[[#This Row],[Overtime Hours]]&gt;50),"Yes","No"),"Not Found")</f>
        <v>No</v>
      </c>
    </row>
    <row r="76" spans="1:4" x14ac:dyDescent="0.35">
      <c r="A76" s="36" t="str">
        <f>_xlfn.TEXTJOIN(" ",TRUE,Employees_Data[[#This Row],[First Name]],Employees_Data[[#This Row],[Last Name]])</f>
        <v>Sami Alkhayrat</v>
      </c>
      <c r="B76" s="37">
        <f ca="1">DATEDIF(Employees!$F76,TODAY(),"Y")</f>
        <v>5</v>
      </c>
      <c r="C76" s="38">
        <v>10</v>
      </c>
      <c r="D76" s="39" t="str">
        <f ca="1">IFERROR(IF(AND(Hardworking_Employee[[#This Row],[Years]]&gt;=5,Hardworking_Employee[[#This Row],[Overtime Hours]]&gt;50),"Yes","No"),"Not Found")</f>
        <v>No</v>
      </c>
    </row>
    <row r="77" spans="1:4" x14ac:dyDescent="0.35">
      <c r="A77" s="40" t="str">
        <f>_xlfn.TEXTJOIN(" ",TRUE,Employees_Data[[#This Row],[First Name]],Employees_Data[[#This Row],[Last Name]])</f>
        <v>Khalid Snan</v>
      </c>
      <c r="B77" s="41">
        <f ca="1">DATEDIF(Employees!$F77,TODAY(),"Y")</f>
        <v>6</v>
      </c>
      <c r="C77" s="42">
        <v>12</v>
      </c>
      <c r="D77" s="43" t="str">
        <f ca="1">IFERROR(IF(AND(Hardworking_Employee[[#This Row],[Years]]&gt;=5,Hardworking_Employee[[#This Row],[Overtime Hours]]&gt;50),"Yes","No"),"Not Found")</f>
        <v>No</v>
      </c>
    </row>
    <row r="78" spans="1:4" x14ac:dyDescent="0.35">
      <c r="A78" s="36" t="str">
        <f>_xlfn.TEXTJOIN(" ",TRUE,Employees_Data[[#This Row],[First Name]],Employees_Data[[#This Row],[Last Name]])</f>
        <v>Salam Alkhatib</v>
      </c>
      <c r="B78" s="37">
        <f ca="1">DATEDIF(Employees!$F78,TODAY(),"Y")</f>
        <v>8</v>
      </c>
      <c r="C78" s="38">
        <v>6</v>
      </c>
      <c r="D78" s="39" t="str">
        <f ca="1">IFERROR(IF(AND(Hardworking_Employee[[#This Row],[Years]]&gt;=5,Hardworking_Employee[[#This Row],[Overtime Hours]]&gt;50),"Yes","No"),"Not Found")</f>
        <v>No</v>
      </c>
    </row>
    <row r="79" spans="1:4" x14ac:dyDescent="0.35">
      <c r="A79" s="40" t="str">
        <f>_xlfn.TEXTJOIN(" ",TRUE,Employees_Data[[#This Row],[First Name]],Employees_Data[[#This Row],[Last Name]])</f>
        <v>Darar Alshiyraziu</v>
      </c>
      <c r="B79" s="41">
        <f ca="1">DATEDIF(Employees!$F79,TODAY(),"Y")</f>
        <v>6</v>
      </c>
      <c r="C79" s="42">
        <v>4</v>
      </c>
      <c r="D79" s="43" t="str">
        <f ca="1">IFERROR(IF(AND(Hardworking_Employee[[#This Row],[Years]]&gt;=5,Hardworking_Employee[[#This Row],[Overtime Hours]]&gt;50),"Yes","No"),"Not Found")</f>
        <v>No</v>
      </c>
    </row>
    <row r="80" spans="1:4" x14ac:dyDescent="0.35">
      <c r="A80" s="36" t="str">
        <f>_xlfn.TEXTJOIN(" ",TRUE,Employees_Data[[#This Row],[First Name]],Employees_Data[[#This Row],[Last Name]])</f>
        <v>Mazin Yusif</v>
      </c>
      <c r="B80" s="37">
        <f ca="1">DATEDIF(Employees!$F80,TODAY(),"Y")</f>
        <v>7</v>
      </c>
      <c r="C80" s="38">
        <v>9</v>
      </c>
      <c r="D80" s="39" t="str">
        <f ca="1">IFERROR(IF(AND(Hardworking_Employee[[#This Row],[Years]]&gt;=5,Hardworking_Employee[[#This Row],[Overtime Hours]]&gt;50),"Yes","No"),"Not Found")</f>
        <v>No</v>
      </c>
    </row>
    <row r="81" spans="1:4" x14ac:dyDescent="0.35">
      <c r="A81" s="40" t="str">
        <f>_xlfn.TEXTJOIN(" ",TRUE,Employees_Data[[#This Row],[First Name]],Employees_Data[[#This Row],[Last Name]])</f>
        <v>Rasha Naeim</v>
      </c>
      <c r="B81" s="41">
        <f ca="1">DATEDIF(Employees!$F81,TODAY(),"Y")</f>
        <v>7</v>
      </c>
      <c r="C81" s="42">
        <v>8</v>
      </c>
      <c r="D81" s="43" t="str">
        <f ca="1">IFERROR(IF(AND(Hardworking_Employee[[#This Row],[Years]]&gt;=5,Hardworking_Employee[[#This Row],[Overtime Hours]]&gt;50),"Yes","No"),"Not Found")</f>
        <v>No</v>
      </c>
    </row>
    <row r="82" spans="1:4" x14ac:dyDescent="0.35">
      <c r="A82" s="36" t="str">
        <f>_xlfn.TEXTJOIN(" ",TRUE,Employees_Data[[#This Row],[First Name]],Employees_Data[[#This Row],[Last Name]])</f>
        <v>Eamra Alshueranii</v>
      </c>
      <c r="B82" s="37">
        <f ca="1">DATEDIF(Employees!$F82,TODAY(),"Y")</f>
        <v>10</v>
      </c>
      <c r="C82" s="38">
        <v>10</v>
      </c>
      <c r="D82" s="39" t="str">
        <f ca="1">IFERROR(IF(AND(Hardworking_Employee[[#This Row],[Years]]&gt;=5,Hardworking_Employee[[#This Row],[Overtime Hours]]&gt;50),"Yes","No"),"Not Found")</f>
        <v>No</v>
      </c>
    </row>
    <row r="83" spans="1:4" x14ac:dyDescent="0.35">
      <c r="A83" s="40" t="str">
        <f>_xlfn.TEXTJOIN(" ",TRUE,Employees_Data[[#This Row],[First Name]],Employees_Data[[#This Row],[Last Name]])</f>
        <v>Amira Akrym</v>
      </c>
      <c r="B83" s="41">
        <f ca="1">DATEDIF(Employees!$F83,TODAY(),"Y")</f>
        <v>10</v>
      </c>
      <c r="C83" s="42">
        <v>11</v>
      </c>
      <c r="D83" s="43" t="str">
        <f ca="1">IFERROR(IF(AND(Hardworking_Employee[[#This Row],[Years]]&gt;=5,Hardworking_Employee[[#This Row],[Overtime Hours]]&gt;50),"Yes","No"),"Not Found")</f>
        <v>No</v>
      </c>
    </row>
    <row r="84" spans="1:4" x14ac:dyDescent="0.35">
      <c r="A84" s="36" t="str">
        <f>_xlfn.TEXTJOIN(" ",TRUE,Employees_Data[[#This Row],[First Name]],Employees_Data[[#This Row],[Last Name]])</f>
        <v>Muhamad Hamzat</v>
      </c>
      <c r="B84" s="37">
        <f ca="1">DATEDIF(Employees!$F84,TODAY(),"Y")</f>
        <v>6</v>
      </c>
      <c r="C84" s="38">
        <v>2</v>
      </c>
      <c r="D84" s="39" t="str">
        <f ca="1">IFERROR(IF(AND(Hardworking_Employee[[#This Row],[Years]]&gt;=5,Hardworking_Employee[[#This Row],[Overtime Hours]]&gt;50),"Yes","No"),"Not Found")</f>
        <v>No</v>
      </c>
    </row>
    <row r="85" spans="1:4" x14ac:dyDescent="0.35">
      <c r="A85" s="40" t="str">
        <f>_xlfn.TEXTJOIN(" ",TRUE,Employees_Data[[#This Row],[First Name]],Employees_Data[[#This Row],[Last Name]])</f>
        <v>Muhamad Khayr</v>
      </c>
      <c r="B85" s="41">
        <f ca="1">DATEDIF(Employees!$F85,TODAY(),"Y")</f>
        <v>8</v>
      </c>
      <c r="C85" s="42">
        <v>0</v>
      </c>
      <c r="D85" s="43" t="str">
        <f ca="1">IFERROR(IF(AND(Hardworking_Employee[[#This Row],[Years]]&gt;=5,Hardworking_Employee[[#This Row],[Overtime Hours]]&gt;50),"Yes","No"),"Not Found")</f>
        <v>No</v>
      </c>
    </row>
    <row r="86" spans="1:4" x14ac:dyDescent="0.35">
      <c r="A86" s="36" t="str">
        <f>_xlfn.TEXTJOIN(" ",TRUE,Employees_Data[[#This Row],[First Name]],Employees_Data[[#This Row],[Last Name]])</f>
        <v>Abd Almalik Nazal</v>
      </c>
      <c r="B86" s="37">
        <f ca="1">DATEDIF(Employees!$F86,TODAY(),"Y")</f>
        <v>8</v>
      </c>
      <c r="C86" s="38">
        <v>2</v>
      </c>
      <c r="D86" s="39" t="str">
        <f ca="1">IFERROR(IF(AND(Hardworking_Employee[[#This Row],[Years]]&gt;=5,Hardworking_Employee[[#This Row],[Overtime Hours]]&gt;50),"Yes","No"),"Not Found")</f>
        <v>No</v>
      </c>
    </row>
    <row r="87" spans="1:4" x14ac:dyDescent="0.35">
      <c r="A87" s="40" t="str">
        <f>_xlfn.TEXTJOIN(" ",TRUE,Employees_Data[[#This Row],[First Name]],Employees_Data[[#This Row],[Last Name]])</f>
        <v>Rabya Kiwan</v>
      </c>
      <c r="B87" s="41">
        <f ca="1">DATEDIF(Employees!$F87,TODAY(),"Y")</f>
        <v>7</v>
      </c>
      <c r="C87" s="42">
        <v>3</v>
      </c>
      <c r="D87" s="43" t="str">
        <f ca="1">IFERROR(IF(AND(Hardworking_Employee[[#This Row],[Years]]&gt;=5,Hardworking_Employee[[#This Row],[Overtime Hours]]&gt;50),"Yes","No"),"Not Found")</f>
        <v>No</v>
      </c>
    </row>
    <row r="88" spans="1:4" x14ac:dyDescent="0.35">
      <c r="A88" s="36" t="str">
        <f>_xlfn.TEXTJOIN(" ",TRUE,Employees_Data[[#This Row],[First Name]],Employees_Data[[#This Row],[Last Name]])</f>
        <v>Muhamad Khayr</v>
      </c>
      <c r="B88" s="37">
        <f ca="1">DATEDIF(Employees!$F88,TODAY(),"Y")</f>
        <v>7</v>
      </c>
      <c r="C88" s="38">
        <v>5</v>
      </c>
      <c r="D88" s="39" t="str">
        <f ca="1">IFERROR(IF(AND(Hardworking_Employee[[#This Row],[Years]]&gt;=5,Hardworking_Employee[[#This Row],[Overtime Hours]]&gt;50),"Yes","No"),"Not Found")</f>
        <v>No</v>
      </c>
    </row>
    <row r="89" spans="1:4" x14ac:dyDescent="0.35">
      <c r="A89" s="40" t="str">
        <f>_xlfn.TEXTJOIN(" ",TRUE,Employees_Data[[#This Row],[First Name]],Employees_Data[[#This Row],[Last Name]])</f>
        <v>Samah Almaydanii</v>
      </c>
      <c r="B89" s="41">
        <f ca="1">DATEDIF(Employees!$F89,TODAY(),"Y")</f>
        <v>9</v>
      </c>
      <c r="C89" s="42">
        <v>3</v>
      </c>
      <c r="D89" s="43" t="str">
        <f ca="1">IFERROR(IF(AND(Hardworking_Employee[[#This Row],[Years]]&gt;=5,Hardworking_Employee[[#This Row],[Overtime Hours]]&gt;50),"Yes","No"),"Not Found")</f>
        <v>No</v>
      </c>
    </row>
    <row r="90" spans="1:4" x14ac:dyDescent="0.35">
      <c r="A90" s="36" t="str">
        <f>_xlfn.TEXTJOIN(" ",TRUE,Employees_Data[[#This Row],[First Name]],Employees_Data[[#This Row],[Last Name]])</f>
        <v>Ali Watar</v>
      </c>
      <c r="B90" s="37">
        <f ca="1">DATEDIF(Employees!$F90,TODAY(),"Y")</f>
        <v>6</v>
      </c>
      <c r="C90" s="38">
        <v>76</v>
      </c>
      <c r="D90" s="39" t="str">
        <f ca="1">IFERROR(IF(AND(Hardworking_Employee[[#This Row],[Years]]&gt;=5,Hardworking_Employee[[#This Row],[Overtime Hours]]&gt;50),"Yes","No"),"Not Found")</f>
        <v>Yes</v>
      </c>
    </row>
    <row r="91" spans="1:4" x14ac:dyDescent="0.35">
      <c r="A91" s="40" t="str">
        <f>_xlfn.TEXTJOIN(" ",TRUE,Employees_Data[[#This Row],[First Name]],Employees_Data[[#This Row],[Last Name]])</f>
        <v>Darin Ghunum</v>
      </c>
      <c r="B91" s="41">
        <f ca="1">DATEDIF(Employees!$F91,TODAY(),"Y")</f>
        <v>7</v>
      </c>
      <c r="C91" s="42">
        <v>4</v>
      </c>
      <c r="D91" s="43" t="str">
        <f ca="1">IFERROR(IF(AND(Hardworking_Employee[[#This Row],[Years]]&gt;=5,Hardworking_Employee[[#This Row],[Overtime Hours]]&gt;50),"Yes","No"),"Not Found")</f>
        <v>No</v>
      </c>
    </row>
    <row r="92" spans="1:4" x14ac:dyDescent="0.35">
      <c r="A92" s="36" t="str">
        <f>_xlfn.TEXTJOIN(" ",TRUE,Employees_Data[[#This Row],[First Name]],Employees_Data[[#This Row],[Last Name]])</f>
        <v>Faras Alhamal</v>
      </c>
      <c r="B92" s="37">
        <f ca="1">DATEDIF(Employees!$F92,TODAY(),"Y")</f>
        <v>6</v>
      </c>
      <c r="C92" s="38">
        <v>9</v>
      </c>
      <c r="D92" s="39" t="str">
        <f ca="1">IFERROR(IF(AND(Hardworking_Employee[[#This Row],[Years]]&gt;=5,Hardworking_Employee[[#This Row],[Overtime Hours]]&gt;50),"Yes","No"),"Not Found")</f>
        <v>No</v>
      </c>
    </row>
    <row r="93" spans="1:4" x14ac:dyDescent="0.35">
      <c r="A93" s="40" t="str">
        <f>_xlfn.TEXTJOIN(" ",TRUE,Employees_Data[[#This Row],[First Name]],Employees_Data[[#This Row],[Last Name]])</f>
        <v>Amal Asamy</v>
      </c>
      <c r="B93" s="41">
        <f ca="1">DATEDIF(Employees!$F93,TODAY(),"Y")</f>
        <v>8</v>
      </c>
      <c r="C93" s="42">
        <v>7</v>
      </c>
      <c r="D93" s="43" t="str">
        <f ca="1">IFERROR(IF(AND(Hardworking_Employee[[#This Row],[Years]]&gt;=5,Hardworking_Employee[[#This Row],[Overtime Hours]]&gt;50),"Yes","No"),"Not Found")</f>
        <v>No</v>
      </c>
    </row>
    <row r="94" spans="1:4" x14ac:dyDescent="0.35">
      <c r="A94" s="36" t="str">
        <f>_xlfn.TEXTJOIN(" ",TRUE,Employees_Data[[#This Row],[First Name]],Employees_Data[[#This Row],[Last Name]])</f>
        <v>Razan AlAhmad</v>
      </c>
      <c r="B94" s="37">
        <f ca="1">DATEDIF(Employees!$F94,TODAY(),"Y")</f>
        <v>7</v>
      </c>
      <c r="C94" s="38">
        <v>46</v>
      </c>
      <c r="D94" s="39" t="str">
        <f ca="1">IFERROR(IF(AND(Hardworking_Employee[[#This Row],[Years]]&gt;=5,Hardworking_Employee[[#This Row],[Overtime Hours]]&gt;50),"Yes","No"),"Not Found")</f>
        <v>No</v>
      </c>
    </row>
    <row r="95" spans="1:4" x14ac:dyDescent="0.35">
      <c r="A95" s="40" t="str">
        <f>_xlfn.TEXTJOIN(" ",TRUE,Employees_Data[[#This Row],[First Name]],Employees_Data[[#This Row],[Last Name]])</f>
        <v>Muhamad Kharasah</v>
      </c>
      <c r="B95" s="41">
        <f ca="1">DATEDIF(Employees!$F95,TODAY(),"Y")</f>
        <v>7</v>
      </c>
      <c r="C95" s="42">
        <v>3</v>
      </c>
      <c r="D95" s="43" t="str">
        <f ca="1">IFERROR(IF(AND(Hardworking_Employee[[#This Row],[Years]]&gt;=5,Hardworking_Employee[[#This Row],[Overtime Hours]]&gt;50),"Yes","No"),"Not Found")</f>
        <v>No</v>
      </c>
    </row>
    <row r="96" spans="1:4" x14ac:dyDescent="0.35">
      <c r="A96" s="36" t="str">
        <f>_xlfn.TEXTJOIN(" ",TRUE,Employees_Data[[#This Row],[First Name]],Employees_Data[[#This Row],[Last Name]])</f>
        <v>Tariq Bryghl</v>
      </c>
      <c r="B96" s="37">
        <f ca="1">DATEDIF(Employees!$F96,TODAY(),"Y")</f>
        <v>5</v>
      </c>
      <c r="C96" s="38">
        <v>9</v>
      </c>
      <c r="D96" s="39" t="str">
        <f ca="1">IFERROR(IF(AND(Hardworking_Employee[[#This Row],[Years]]&gt;=5,Hardworking_Employee[[#This Row],[Overtime Hours]]&gt;50),"Yes","No"),"Not Found")</f>
        <v>No</v>
      </c>
    </row>
    <row r="97" spans="1:4" x14ac:dyDescent="0.35">
      <c r="A97" s="40" t="str">
        <f>_xlfn.TEXTJOIN(" ",TRUE,Employees_Data[[#This Row],[First Name]],Employees_Data[[#This Row],[Last Name]])</f>
        <v>Muhamad Husayn</v>
      </c>
      <c r="B97" s="41">
        <f ca="1">DATEDIF(Employees!$F97,TODAY(),"Y")</f>
        <v>9</v>
      </c>
      <c r="C97" s="42">
        <v>9</v>
      </c>
      <c r="D97" s="43" t="str">
        <f ca="1">IFERROR(IF(AND(Hardworking_Employee[[#This Row],[Years]]&gt;=5,Hardworking_Employee[[#This Row],[Overtime Hours]]&gt;50),"Yes","No"),"Not Found")</f>
        <v>No</v>
      </c>
    </row>
    <row r="98" spans="1:4" x14ac:dyDescent="0.35">
      <c r="A98" s="36" t="str">
        <f>_xlfn.TEXTJOIN(" ",TRUE,Employees_Data[[#This Row],[First Name]],Employees_Data[[#This Row],[Last Name]])</f>
        <v>Fadi Aleid</v>
      </c>
      <c r="B98" s="37">
        <f ca="1">DATEDIF(Employees!$F98,TODAY(),"Y")</f>
        <v>8</v>
      </c>
      <c r="C98" s="38">
        <v>10</v>
      </c>
      <c r="D98" s="39" t="str">
        <f ca="1">IFERROR(IF(AND(Hardworking_Employee[[#This Row],[Years]]&gt;=5,Hardworking_Employee[[#This Row],[Overtime Hours]]&gt;50),"Yes","No"),"Not Found")</f>
        <v>No</v>
      </c>
    </row>
    <row r="99" spans="1:4" x14ac:dyDescent="0.35">
      <c r="A99" s="40" t="str">
        <f>_xlfn.TEXTJOIN(" ",TRUE,Employees_Data[[#This Row],[First Name]],Employees_Data[[#This Row],[Last Name]])</f>
        <v>Tariq Abuzahir</v>
      </c>
      <c r="B99" s="41">
        <f ca="1">DATEDIF(Employees!$F99,TODAY(),"Y")</f>
        <v>9</v>
      </c>
      <c r="C99" s="42">
        <v>2</v>
      </c>
      <c r="D99" s="43" t="str">
        <f ca="1">IFERROR(IF(AND(Hardworking_Employee[[#This Row],[Years]]&gt;=5,Hardworking_Employee[[#This Row],[Overtime Hours]]&gt;50),"Yes","No"),"Not Found")</f>
        <v>No</v>
      </c>
    </row>
    <row r="100" spans="1:4" x14ac:dyDescent="0.35">
      <c r="A100" s="36" t="str">
        <f>_xlfn.TEXTJOIN(" ",TRUE,Employees_Data[[#This Row],[First Name]],Employees_Data[[#This Row],[Last Name]])</f>
        <v>Mazin Eubayd</v>
      </c>
      <c r="B100" s="37">
        <f ca="1">DATEDIF(Employees!$F100,TODAY(),"Y")</f>
        <v>7</v>
      </c>
      <c r="C100" s="38">
        <v>9</v>
      </c>
      <c r="D100" s="39" t="str">
        <f ca="1">IFERROR(IF(AND(Hardworking_Employee[[#This Row],[Years]]&gt;=5,Hardworking_Employee[[#This Row],[Overtime Hours]]&gt;50),"Yes","No"),"Not Found")</f>
        <v>No</v>
      </c>
    </row>
    <row r="101" spans="1:4" x14ac:dyDescent="0.35">
      <c r="A101" s="40" t="str">
        <f>_xlfn.TEXTJOIN(" ",TRUE,Employees_Data[[#This Row],[First Name]],Employees_Data[[#This Row],[Last Name]])</f>
        <v>Lina Aljabr</v>
      </c>
      <c r="B101" s="41">
        <f ca="1">DATEDIF(Employees!$F101,TODAY(),"Y")</f>
        <v>8</v>
      </c>
      <c r="C101" s="42">
        <v>10</v>
      </c>
      <c r="D101" s="43" t="str">
        <f ca="1">IFERROR(IF(AND(Hardworking_Employee[[#This Row],[Years]]&gt;=5,Hardworking_Employee[[#This Row],[Overtime Hours]]&gt;50),"Yes","No"),"Not Found")</f>
        <v>No</v>
      </c>
    </row>
    <row r="102" spans="1:4" x14ac:dyDescent="0.35">
      <c r="A102" s="36" t="str">
        <f>_xlfn.TEXTJOIN(" ",TRUE,Employees_Data[[#This Row],[First Name]],Employees_Data[[#This Row],[Last Name]])</f>
        <v>Muhamad Ayman</v>
      </c>
      <c r="B102" s="37">
        <f ca="1">DATEDIF(Employees!$F102,TODAY(),"Y")</f>
        <v>6</v>
      </c>
      <c r="C102" s="38">
        <v>99</v>
      </c>
      <c r="D102" s="39" t="str">
        <f ca="1">IFERROR(IF(AND(Hardworking_Employee[[#This Row],[Years]]&gt;=5,Hardworking_Employee[[#This Row],[Overtime Hours]]&gt;50),"Yes","No"),"Not Found")</f>
        <v>Yes</v>
      </c>
    </row>
    <row r="103" spans="1:4" x14ac:dyDescent="0.35">
      <c r="A103" s="40" t="str">
        <f>_xlfn.TEXTJOIN(" ",TRUE,Employees_Data[[#This Row],[First Name]],Employees_Data[[#This Row],[Last Name]])</f>
        <v>Ayman Muhamad</v>
      </c>
      <c r="B103" s="41">
        <f ca="1">DATEDIF(Employees!$F103,TODAY(),"Y")</f>
        <v>7</v>
      </c>
      <c r="C103" s="42">
        <v>8</v>
      </c>
      <c r="D103" s="43" t="str">
        <f ca="1">IFERROR(IF(AND(Hardworking_Employee[[#This Row],[Years]]&gt;=5,Hardworking_Employee[[#This Row],[Overtime Hours]]&gt;50),"Yes","No"),"Not Found")</f>
        <v>No</v>
      </c>
    </row>
    <row r="104" spans="1:4" x14ac:dyDescent="0.35">
      <c r="A104" s="36" t="str">
        <f>_xlfn.TEXTJOIN(" ",TRUE,Employees_Data[[#This Row],[First Name]],Employees_Data[[#This Row],[Last Name]])</f>
        <v>Ahmad Abu Eadlh</v>
      </c>
      <c r="B104" s="37">
        <f ca="1">DATEDIF(Employees!$F104,TODAY(),"Y")</f>
        <v>6</v>
      </c>
      <c r="C104" s="38">
        <v>1</v>
      </c>
      <c r="D104" s="39" t="str">
        <f ca="1">IFERROR(IF(AND(Hardworking_Employee[[#This Row],[Years]]&gt;=5,Hardworking_Employee[[#This Row],[Overtime Hours]]&gt;50),"Yes","No"),"Not Found")</f>
        <v>No</v>
      </c>
    </row>
    <row r="105" spans="1:4" x14ac:dyDescent="0.35">
      <c r="A105" s="40" t="str">
        <f>_xlfn.TEXTJOIN(" ",TRUE,Employees_Data[[#This Row],[First Name]],Employees_Data[[#This Row],[Last Name]])</f>
        <v>Rami Abu Adhan</v>
      </c>
      <c r="B105" s="41">
        <f ca="1">DATEDIF(Employees!$F105,TODAY(),"Y")</f>
        <v>6</v>
      </c>
      <c r="C105" s="42">
        <v>0</v>
      </c>
      <c r="D105" s="43" t="str">
        <f ca="1">IFERROR(IF(AND(Hardworking_Employee[[#This Row],[Years]]&gt;=5,Hardworking_Employee[[#This Row],[Overtime Hours]]&gt;50),"Yes","No"),"Not Found")</f>
        <v>No</v>
      </c>
    </row>
    <row r="106" spans="1:4" x14ac:dyDescent="0.35">
      <c r="A106" s="36" t="str">
        <f>_xlfn.TEXTJOIN(" ",TRUE,Employees_Data[[#This Row],[First Name]],Employees_Data[[#This Row],[Last Name]])</f>
        <v>Muhamad Hamzat</v>
      </c>
      <c r="B106" s="37">
        <f ca="1">DATEDIF(Employees!$F106,TODAY(),"Y")</f>
        <v>8</v>
      </c>
      <c r="C106" s="38">
        <v>10</v>
      </c>
      <c r="D106" s="39" t="str">
        <f ca="1">IFERROR(IF(AND(Hardworking_Employee[[#This Row],[Years]]&gt;=5,Hardworking_Employee[[#This Row],[Overtime Hours]]&gt;50),"Yes","No"),"Not Found")</f>
        <v>No</v>
      </c>
    </row>
    <row r="107" spans="1:4" x14ac:dyDescent="0.35">
      <c r="A107" s="40" t="str">
        <f>_xlfn.TEXTJOIN(" ",TRUE,Employees_Data[[#This Row],[First Name]],Employees_Data[[#This Row],[Last Name]])</f>
        <v>Ehab Alkhibaz</v>
      </c>
      <c r="B107" s="41">
        <f ca="1">DATEDIF(Employees!$F107,TODAY(),"Y")</f>
        <v>6</v>
      </c>
      <c r="C107" s="42">
        <v>10</v>
      </c>
      <c r="D107" s="43" t="str">
        <f ca="1">IFERROR(IF(AND(Hardworking_Employee[[#This Row],[Years]]&gt;=5,Hardworking_Employee[[#This Row],[Overtime Hours]]&gt;50),"Yes","No"),"Not Found")</f>
        <v>No</v>
      </c>
    </row>
    <row r="108" spans="1:4" x14ac:dyDescent="0.35">
      <c r="A108" s="36" t="str">
        <f>_xlfn.TEXTJOIN(" ",TRUE,Employees_Data[[#This Row],[First Name]],Employees_Data[[#This Row],[Last Name]])</f>
        <v>Ibrahim Nabulsi</v>
      </c>
      <c r="B108" s="37">
        <f ca="1">DATEDIF(Employees!$F108,TODAY(),"Y")</f>
        <v>10</v>
      </c>
      <c r="C108" s="38">
        <v>3</v>
      </c>
      <c r="D108" s="39" t="str">
        <f ca="1">IFERROR(IF(AND(Hardworking_Employee[[#This Row],[Years]]&gt;=5,Hardworking_Employee[[#This Row],[Overtime Hours]]&gt;50),"Yes","No"),"Not Found")</f>
        <v>No</v>
      </c>
    </row>
    <row r="109" spans="1:4" x14ac:dyDescent="0.35">
      <c r="A109" s="40" t="str">
        <f>_xlfn.TEXTJOIN(" ",TRUE,Employees_Data[[#This Row],[First Name]],Employees_Data[[#This Row],[Last Name]])</f>
        <v>Ranya Salah Aldiyn</v>
      </c>
      <c r="B109" s="41">
        <f ca="1">DATEDIF(Employees!$F109,TODAY(),"Y")</f>
        <v>7</v>
      </c>
      <c r="C109" s="42">
        <v>5</v>
      </c>
      <c r="D109" s="43" t="str">
        <f ca="1">IFERROR(IF(AND(Hardworking_Employee[[#This Row],[Years]]&gt;=5,Hardworking_Employee[[#This Row],[Overtime Hours]]&gt;50),"Yes","No"),"Not Found")</f>
        <v>No</v>
      </c>
    </row>
    <row r="110" spans="1:4" x14ac:dyDescent="0.35">
      <c r="A110" s="36" t="str">
        <f>_xlfn.TEXTJOIN(" ",TRUE,Employees_Data[[#This Row],[First Name]],Employees_Data[[#This Row],[Last Name]])</f>
        <v>Juri Zaytun</v>
      </c>
      <c r="B110" s="37">
        <f ca="1">DATEDIF(Employees!$F110,TODAY(),"Y")</f>
        <v>6</v>
      </c>
      <c r="C110" s="38">
        <v>16</v>
      </c>
      <c r="D110" s="39" t="str">
        <f ca="1">IFERROR(IF(AND(Hardworking_Employee[[#This Row],[Years]]&gt;=5,Hardworking_Employee[[#This Row],[Overtime Hours]]&gt;50),"Yes","No"),"Not Found")</f>
        <v>No</v>
      </c>
    </row>
    <row r="111" spans="1:4" x14ac:dyDescent="0.35">
      <c r="A111" s="40" t="str">
        <f>_xlfn.TEXTJOIN(" ",TRUE,Employees_Data[[#This Row],[First Name]],Employees_Data[[#This Row],[Last Name]])</f>
        <v>Sahar Almuhamad</v>
      </c>
      <c r="B111" s="41">
        <f ca="1">DATEDIF(Employees!$F111,TODAY(),"Y")</f>
        <v>8</v>
      </c>
      <c r="C111" s="42">
        <v>4</v>
      </c>
      <c r="D111" s="43" t="str">
        <f ca="1">IFERROR(IF(AND(Hardworking_Employee[[#This Row],[Years]]&gt;=5,Hardworking_Employee[[#This Row],[Overtime Hours]]&gt;50),"Yes","No"),"Not Found")</f>
        <v>No</v>
      </c>
    </row>
    <row r="112" spans="1:4" x14ac:dyDescent="0.35">
      <c r="A112" s="36" t="str">
        <f>_xlfn.TEXTJOIN(" ",TRUE,Employees_Data[[#This Row],[First Name]],Employees_Data[[#This Row],[Last Name]])</f>
        <v>Mari Ayly</v>
      </c>
      <c r="B112" s="37">
        <f ca="1">DATEDIF(Employees!$F112,TODAY(),"Y")</f>
        <v>10</v>
      </c>
      <c r="C112" s="38">
        <v>2</v>
      </c>
      <c r="D112" s="39" t="str">
        <f ca="1">IFERROR(IF(AND(Hardworking_Employee[[#This Row],[Years]]&gt;=5,Hardworking_Employee[[#This Row],[Overtime Hours]]&gt;50),"Yes","No"),"Not Found")</f>
        <v>No</v>
      </c>
    </row>
    <row r="113" spans="1:4" x14ac:dyDescent="0.35">
      <c r="A113" s="40" t="str">
        <f>_xlfn.TEXTJOIN(" ",TRUE,Employees_Data[[#This Row],[First Name]],Employees_Data[[#This Row],[Last Name]])</f>
        <v>Ali Alhuri</v>
      </c>
      <c r="B113" s="41">
        <f ca="1">DATEDIF(Employees!$F113,TODAY(),"Y")</f>
        <v>7</v>
      </c>
      <c r="C113" s="42">
        <v>3</v>
      </c>
      <c r="D113" s="43" t="str">
        <f ca="1">IFERROR(IF(AND(Hardworking_Employee[[#This Row],[Years]]&gt;=5,Hardworking_Employee[[#This Row],[Overtime Hours]]&gt;50),"Yes","No"),"Not Found")</f>
        <v>No</v>
      </c>
    </row>
    <row r="114" spans="1:4" x14ac:dyDescent="0.35">
      <c r="A114" s="36" t="str">
        <f>_xlfn.TEXTJOIN(" ",TRUE,Employees_Data[[#This Row],[First Name]],Employees_Data[[#This Row],[Last Name]])</f>
        <v>Dania Almala</v>
      </c>
      <c r="B114" s="37">
        <f ca="1">DATEDIF(Employees!$F114,TODAY(),"Y")</f>
        <v>10</v>
      </c>
      <c r="C114" s="38">
        <v>5</v>
      </c>
      <c r="D114" s="39" t="str">
        <f ca="1">IFERROR(IF(AND(Hardworking_Employee[[#This Row],[Years]]&gt;=5,Hardworking_Employee[[#This Row],[Overtime Hours]]&gt;50),"Yes","No"),"Not Found")</f>
        <v>No</v>
      </c>
    </row>
    <row r="115" spans="1:4" x14ac:dyDescent="0.35">
      <c r="A115" s="40" t="str">
        <f>_xlfn.TEXTJOIN(" ",TRUE,Employees_Data[[#This Row],[First Name]],Employees_Data[[#This Row],[Last Name]])</f>
        <v>Rym Alsydawi</v>
      </c>
      <c r="B115" s="41">
        <f ca="1">DATEDIF(Employees!$F115,TODAY(),"Y")</f>
        <v>9</v>
      </c>
      <c r="C115" s="42">
        <v>1</v>
      </c>
      <c r="D115" s="43" t="str">
        <f ca="1">IFERROR(IF(AND(Hardworking_Employee[[#This Row],[Years]]&gt;=5,Hardworking_Employee[[#This Row],[Overtime Hours]]&gt;50),"Yes","No"),"Not Found")</f>
        <v>No</v>
      </c>
    </row>
    <row r="116" spans="1:4" x14ac:dyDescent="0.35">
      <c r="A116" s="36" t="str">
        <f>_xlfn.TEXTJOIN(" ",TRUE,Employees_Data[[#This Row],[First Name]],Employees_Data[[#This Row],[Last Name]])</f>
        <v>Mahir Alshear</v>
      </c>
      <c r="B116" s="37">
        <f ca="1">DATEDIF(Employees!$F116,TODAY(),"Y")</f>
        <v>7</v>
      </c>
      <c r="C116" s="38">
        <v>4</v>
      </c>
      <c r="D116" s="39" t="str">
        <f ca="1">IFERROR(IF(AND(Hardworking_Employee[[#This Row],[Years]]&gt;=5,Hardworking_Employee[[#This Row],[Overtime Hours]]&gt;50),"Yes","No"),"Not Found")</f>
        <v>No</v>
      </c>
    </row>
    <row r="117" spans="1:4" x14ac:dyDescent="0.35">
      <c r="A117" s="40" t="str">
        <f>_xlfn.TEXTJOIN(" ",TRUE,Employees_Data[[#This Row],[First Name]],Employees_Data[[#This Row],[Last Name]])</f>
        <v>Ibrahim Alhamid</v>
      </c>
      <c r="B117" s="41">
        <f ca="1">DATEDIF(Employees!$F117,TODAY(),"Y")</f>
        <v>7</v>
      </c>
      <c r="C117" s="42">
        <v>7</v>
      </c>
      <c r="D117" s="43" t="str">
        <f ca="1">IFERROR(IF(AND(Hardworking_Employee[[#This Row],[Years]]&gt;=5,Hardworking_Employee[[#This Row],[Overtime Hours]]&gt;50),"Yes","No"),"Not Found")</f>
        <v>No</v>
      </c>
    </row>
    <row r="118" spans="1:4" x14ac:dyDescent="0.35">
      <c r="A118" s="36" t="str">
        <f>_xlfn.TEXTJOIN(" ",TRUE,Employees_Data[[#This Row],[First Name]],Employees_Data[[#This Row],[Last Name]])</f>
        <v>Muhamad Alkhayr</v>
      </c>
      <c r="B118" s="37">
        <f ca="1">DATEDIF(Employees!$F118,TODAY(),"Y")</f>
        <v>7</v>
      </c>
      <c r="C118" s="38">
        <v>4</v>
      </c>
      <c r="D118" s="39" t="str">
        <f ca="1">IFERROR(IF(AND(Hardworking_Employee[[#This Row],[Years]]&gt;=5,Hardworking_Employee[[#This Row],[Overtime Hours]]&gt;50),"Yes","No"),"Not Found")</f>
        <v>No</v>
      </c>
    </row>
    <row r="119" spans="1:4" x14ac:dyDescent="0.35">
      <c r="A119" s="40" t="str">
        <f>_xlfn.TEXTJOIN(" ",TRUE,Employees_Data[[#This Row],[First Name]],Employees_Data[[#This Row],[Last Name]])</f>
        <v>Muhamad Bashshar</v>
      </c>
      <c r="B119" s="41">
        <f ca="1">DATEDIF(Employees!$F119,TODAY(),"Y")</f>
        <v>8</v>
      </c>
      <c r="C119" s="42">
        <v>2</v>
      </c>
      <c r="D119" s="43" t="str">
        <f ca="1">IFERROR(IF(AND(Hardworking_Employee[[#This Row],[Years]]&gt;=5,Hardworking_Employee[[#This Row],[Overtime Hours]]&gt;50),"Yes","No"),"Not Found")</f>
        <v>No</v>
      </c>
    </row>
    <row r="120" spans="1:4" x14ac:dyDescent="0.35">
      <c r="A120" s="36" t="str">
        <f>_xlfn.TEXTJOIN(" ",TRUE,Employees_Data[[#This Row],[First Name]],Employees_Data[[#This Row],[Last Name]])</f>
        <v>Muhamad Jhad</v>
      </c>
      <c r="B120" s="37">
        <f ca="1">DATEDIF(Employees!$F120,TODAY(),"Y")</f>
        <v>7</v>
      </c>
      <c r="C120" s="38">
        <v>2</v>
      </c>
      <c r="D120" s="39" t="str">
        <f ca="1">IFERROR(IF(AND(Hardworking_Employee[[#This Row],[Years]]&gt;=5,Hardworking_Employee[[#This Row],[Overtime Hours]]&gt;50),"Yes","No"),"Not Found")</f>
        <v>No</v>
      </c>
    </row>
    <row r="121" spans="1:4" x14ac:dyDescent="0.35">
      <c r="A121" s="40" t="str">
        <f>_xlfn.TEXTJOIN(" ",TRUE,Employees_Data[[#This Row],[First Name]],Employees_Data[[#This Row],[Last Name]])</f>
        <v>Limays Ghrz</v>
      </c>
      <c r="B121" s="41">
        <f ca="1">DATEDIF(Employees!$F121,TODAY(),"Y")</f>
        <v>9</v>
      </c>
      <c r="C121" s="42">
        <v>7</v>
      </c>
      <c r="D121" s="43" t="str">
        <f ca="1">IFERROR(IF(AND(Hardworking_Employee[[#This Row],[Years]]&gt;=5,Hardworking_Employee[[#This Row],[Overtime Hours]]&gt;50),"Yes","No"),"Not Found")</f>
        <v>No</v>
      </c>
    </row>
    <row r="122" spans="1:4" x14ac:dyDescent="0.35">
      <c r="A122" s="36" t="str">
        <f>_xlfn.TEXTJOIN(" ",TRUE,Employees_Data[[#This Row],[First Name]],Employees_Data[[#This Row],[Last Name]])</f>
        <v>Zaydun Jabir</v>
      </c>
      <c r="B122" s="37">
        <f ca="1">DATEDIF(Employees!$F122,TODAY(),"Y")</f>
        <v>7</v>
      </c>
      <c r="C122" s="38">
        <v>3</v>
      </c>
      <c r="D122" s="39" t="str">
        <f ca="1">IFERROR(IF(AND(Hardworking_Employee[[#This Row],[Years]]&gt;=5,Hardworking_Employee[[#This Row],[Overtime Hours]]&gt;50),"Yes","No"),"Not Found")</f>
        <v>No</v>
      </c>
    </row>
    <row r="123" spans="1:4" x14ac:dyDescent="0.35">
      <c r="A123" s="40" t="str">
        <f>_xlfn.TEXTJOIN(" ",TRUE,Employees_Data[[#This Row],[First Name]],Employees_Data[[#This Row],[Last Name]])</f>
        <v>Fatima Zaetar</v>
      </c>
      <c r="B123" s="41">
        <f ca="1">DATEDIF(Employees!$F123,TODAY(),"Y")</f>
        <v>7</v>
      </c>
      <c r="C123" s="42">
        <v>9</v>
      </c>
      <c r="D123" s="43" t="str">
        <f ca="1">IFERROR(IF(AND(Hardworking_Employee[[#This Row],[Years]]&gt;=5,Hardworking_Employee[[#This Row],[Overtime Hours]]&gt;50),"Yes","No"),"Not Found")</f>
        <v>No</v>
      </c>
    </row>
    <row r="124" spans="1:4" x14ac:dyDescent="0.35">
      <c r="A124" s="36" t="str">
        <f>_xlfn.TEXTJOIN(" ",TRUE,Employees_Data[[#This Row],[First Name]],Employees_Data[[#This Row],[Last Name]])</f>
        <v>Tariq Shakir</v>
      </c>
      <c r="B124" s="37">
        <f ca="1">DATEDIF(Employees!$F124,TODAY(),"Y")</f>
        <v>5</v>
      </c>
      <c r="C124" s="38">
        <v>82</v>
      </c>
      <c r="D124" s="39" t="str">
        <f ca="1">IFERROR(IF(AND(Hardworking_Employee[[#This Row],[Years]]&gt;=5,Hardworking_Employee[[#This Row],[Overtime Hours]]&gt;50),"Yes","No"),"Not Found")</f>
        <v>Yes</v>
      </c>
    </row>
    <row r="125" spans="1:4" x14ac:dyDescent="0.35">
      <c r="A125" s="40" t="str">
        <f>_xlfn.TEXTJOIN(" ",TRUE,Employees_Data[[#This Row],[First Name]],Employees_Data[[#This Row],[Last Name]])</f>
        <v>Ruyda Alhamadii</v>
      </c>
      <c r="B125" s="41">
        <f ca="1">DATEDIF(Employees!$F125,TODAY(),"Y")</f>
        <v>8</v>
      </c>
      <c r="C125" s="42">
        <v>0</v>
      </c>
      <c r="D125" s="43" t="str">
        <f ca="1">IFERROR(IF(AND(Hardworking_Employee[[#This Row],[Years]]&gt;=5,Hardworking_Employee[[#This Row],[Overtime Hours]]&gt;50),"Yes","No"),"Not Found")</f>
        <v>No</v>
      </c>
    </row>
    <row r="126" spans="1:4" x14ac:dyDescent="0.35">
      <c r="A126" s="36" t="str">
        <f>_xlfn.TEXTJOIN(" ",TRUE,Employees_Data[[#This Row],[First Name]],Employees_Data[[#This Row],[Last Name]])</f>
        <v>Anwar Almaseud</v>
      </c>
      <c r="B126" s="37">
        <f ca="1">DATEDIF(Employees!$F126,TODAY(),"Y")</f>
        <v>9</v>
      </c>
      <c r="C126" s="38">
        <v>14</v>
      </c>
      <c r="D126" s="39" t="str">
        <f ca="1">IFERROR(IF(AND(Hardworking_Employee[[#This Row],[Years]]&gt;=5,Hardworking_Employee[[#This Row],[Overtime Hours]]&gt;50),"Yes","No"),"Not Found")</f>
        <v>No</v>
      </c>
    </row>
    <row r="127" spans="1:4" x14ac:dyDescent="0.35">
      <c r="A127" s="40" t="str">
        <f>_xlfn.TEXTJOIN(" ",TRUE,Employees_Data[[#This Row],[First Name]],Employees_Data[[#This Row],[Last Name]])</f>
        <v>Fayaruz Sabih</v>
      </c>
      <c r="B127" s="41">
        <f ca="1">DATEDIF(Employees!$F127,TODAY(),"Y")</f>
        <v>7</v>
      </c>
      <c r="C127" s="42">
        <v>9</v>
      </c>
      <c r="D127" s="43" t="str">
        <f ca="1">IFERROR(IF(AND(Hardworking_Employee[[#This Row],[Years]]&gt;=5,Hardworking_Employee[[#This Row],[Overtime Hours]]&gt;50),"Yes","No"),"Not Found")</f>
        <v>No</v>
      </c>
    </row>
    <row r="128" spans="1:4" x14ac:dyDescent="0.35">
      <c r="A128" s="36" t="str">
        <f>_xlfn.TEXTJOIN(" ",TRUE,Employees_Data[[#This Row],[First Name]],Employees_Data[[#This Row],[Last Name]])</f>
        <v>Jwny Alrashid</v>
      </c>
      <c r="B128" s="37">
        <f ca="1">DATEDIF(Employees!$F128,TODAY(),"Y")</f>
        <v>9</v>
      </c>
      <c r="C128" s="38">
        <v>4</v>
      </c>
      <c r="D128" s="39" t="str">
        <f ca="1">IFERROR(IF(AND(Hardworking_Employee[[#This Row],[Years]]&gt;=5,Hardworking_Employee[[#This Row],[Overtime Hours]]&gt;50),"Yes","No"),"Not Found")</f>
        <v>No</v>
      </c>
    </row>
    <row r="129" spans="1:4" x14ac:dyDescent="0.35">
      <c r="A129" s="40" t="str">
        <f>_xlfn.TEXTJOIN(" ",TRUE,Employees_Data[[#This Row],[First Name]],Employees_Data[[#This Row],[Last Name]])</f>
        <v>Karam Kiali</v>
      </c>
      <c r="B129" s="41">
        <f ca="1">DATEDIF(Employees!$F129,TODAY(),"Y")</f>
        <v>8</v>
      </c>
      <c r="C129" s="42">
        <v>10</v>
      </c>
      <c r="D129" s="43" t="str">
        <f ca="1">IFERROR(IF(AND(Hardworking_Employee[[#This Row],[Years]]&gt;=5,Hardworking_Employee[[#This Row],[Overtime Hours]]&gt;50),"Yes","No"),"Not Found")</f>
        <v>No</v>
      </c>
    </row>
    <row r="130" spans="1:4" x14ac:dyDescent="0.35">
      <c r="A130" s="36" t="str">
        <f>_xlfn.TEXTJOIN(" ",TRUE,Employees_Data[[#This Row],[First Name]],Employees_Data[[#This Row],[Last Name]])</f>
        <v>Jamal Alhalib</v>
      </c>
      <c r="B130" s="37">
        <f ca="1">DATEDIF(Employees!$F130,TODAY(),"Y")</f>
        <v>6</v>
      </c>
      <c r="C130" s="38">
        <v>74</v>
      </c>
      <c r="D130" s="39" t="str">
        <f ca="1">IFERROR(IF(AND(Hardworking_Employee[[#This Row],[Years]]&gt;=5,Hardworking_Employee[[#This Row],[Overtime Hours]]&gt;50),"Yes","No"),"Not Found")</f>
        <v>Yes</v>
      </c>
    </row>
    <row r="131" spans="1:4" x14ac:dyDescent="0.35">
      <c r="A131" s="40" t="str">
        <f>_xlfn.TEXTJOIN(" ",TRUE,Employees_Data[[#This Row],[First Name]],Employees_Data[[#This Row],[Last Name]])</f>
        <v>Suzan Alsawis</v>
      </c>
      <c r="B131" s="41">
        <f ca="1">DATEDIF(Employees!$F131,TODAY(),"Y")</f>
        <v>7</v>
      </c>
      <c r="C131" s="42">
        <v>2</v>
      </c>
      <c r="D131" s="43" t="str">
        <f ca="1">IFERROR(IF(AND(Hardworking_Employee[[#This Row],[Years]]&gt;=5,Hardworking_Employee[[#This Row],[Overtime Hours]]&gt;50),"Yes","No"),"Not Found")</f>
        <v>No</v>
      </c>
    </row>
    <row r="132" spans="1:4" x14ac:dyDescent="0.35">
      <c r="A132" s="36" t="str">
        <f>_xlfn.TEXTJOIN(" ",TRUE,Employees_Data[[#This Row],[First Name]],Employees_Data[[#This Row],[Last Name]])</f>
        <v>Alaa Efan</v>
      </c>
      <c r="B132" s="37">
        <f ca="1">DATEDIF(Employees!$F132,TODAY(),"Y")</f>
        <v>7</v>
      </c>
      <c r="C132" s="38">
        <v>1</v>
      </c>
      <c r="D132" s="39" t="str">
        <f ca="1">IFERROR(IF(AND(Hardworking_Employee[[#This Row],[Years]]&gt;=5,Hardworking_Employee[[#This Row],[Overtime Hours]]&gt;50),"Yes","No"),"Not Found")</f>
        <v>No</v>
      </c>
    </row>
    <row r="133" spans="1:4" x14ac:dyDescent="0.35">
      <c r="A133" s="40" t="str">
        <f>_xlfn.TEXTJOIN(" ",TRUE,Employees_Data[[#This Row],[First Name]],Employees_Data[[#This Row],[Last Name]])</f>
        <v>Jihad Aldarawasha</v>
      </c>
      <c r="B133" s="41">
        <f ca="1">DATEDIF(Employees!$F133,TODAY(),"Y")</f>
        <v>9</v>
      </c>
      <c r="C133" s="42">
        <v>1</v>
      </c>
      <c r="D133" s="43" t="str">
        <f ca="1">IFERROR(IF(AND(Hardworking_Employee[[#This Row],[Years]]&gt;=5,Hardworking_Employee[[#This Row],[Overtime Hours]]&gt;50),"Yes","No"),"Not Found")</f>
        <v>No</v>
      </c>
    </row>
    <row r="134" spans="1:4" x14ac:dyDescent="0.35">
      <c r="A134" s="36" t="str">
        <f>_xlfn.TEXTJOIN(" ",TRUE,Employees_Data[[#This Row],[First Name]],Employees_Data[[#This Row],[Last Name]])</f>
        <v>Muhamad Khalid</v>
      </c>
      <c r="B134" s="37">
        <f ca="1">DATEDIF(Employees!$F134,TODAY(),"Y")</f>
        <v>8</v>
      </c>
      <c r="C134" s="38">
        <v>10</v>
      </c>
      <c r="D134" s="39" t="str">
        <f ca="1">IFERROR(IF(AND(Hardworking_Employee[[#This Row],[Years]]&gt;=5,Hardworking_Employee[[#This Row],[Overtime Hours]]&gt;50),"Yes","No"),"Not Found")</f>
        <v>No</v>
      </c>
    </row>
    <row r="135" spans="1:4" x14ac:dyDescent="0.35">
      <c r="A135" s="40" t="str">
        <f>_xlfn.TEXTJOIN(" ",TRUE,Employees_Data[[#This Row],[First Name]],Employees_Data[[#This Row],[Last Name]])</f>
        <v>Haithim Hujah</v>
      </c>
      <c r="B135" s="41">
        <f ca="1">DATEDIF(Employees!$F135,TODAY(),"Y")</f>
        <v>9</v>
      </c>
      <c r="C135" s="42">
        <v>3</v>
      </c>
      <c r="D135" s="43" t="str">
        <f ca="1">IFERROR(IF(AND(Hardworking_Employee[[#This Row],[Years]]&gt;=5,Hardworking_Employee[[#This Row],[Overtime Hours]]&gt;50),"Yes","No"),"Not Found")</f>
        <v>No</v>
      </c>
    </row>
    <row r="136" spans="1:4" x14ac:dyDescent="0.35">
      <c r="A136" s="36" t="str">
        <f>_xlfn.TEXTJOIN(" ",TRUE,Employees_Data[[#This Row],[First Name]],Employees_Data[[#This Row],[Last Name]])</f>
        <v>Duhana Alakhris</v>
      </c>
      <c r="B136" s="37">
        <f ca="1">DATEDIF(Employees!$F136,TODAY(),"Y")</f>
        <v>8</v>
      </c>
      <c r="C136" s="38">
        <v>7</v>
      </c>
      <c r="D136" s="39" t="str">
        <f ca="1">IFERROR(IF(AND(Hardworking_Employee[[#This Row],[Years]]&gt;=5,Hardworking_Employee[[#This Row],[Overtime Hours]]&gt;50),"Yes","No"),"Not Found")</f>
        <v>No</v>
      </c>
    </row>
    <row r="137" spans="1:4" x14ac:dyDescent="0.35">
      <c r="A137" s="40" t="str">
        <f>_xlfn.TEXTJOIN(" ",TRUE,Employees_Data[[#This Row],[First Name]],Employees_Data[[#This Row],[Last Name]])</f>
        <v>Eazalidin Almala</v>
      </c>
      <c r="B137" s="41">
        <f ca="1">DATEDIF(Employees!$F137,TODAY(),"Y")</f>
        <v>6</v>
      </c>
      <c r="C137" s="42">
        <v>6</v>
      </c>
      <c r="D137" s="43" t="str">
        <f ca="1">IFERROR(IF(AND(Hardworking_Employee[[#This Row],[Years]]&gt;=5,Hardworking_Employee[[#This Row],[Overtime Hours]]&gt;50),"Yes","No"),"Not Found")</f>
        <v>No</v>
      </c>
    </row>
    <row r="138" spans="1:4" x14ac:dyDescent="0.35">
      <c r="A138" s="36" t="str">
        <f>_xlfn.TEXTJOIN(" ",TRUE,Employees_Data[[#This Row],[First Name]],Employees_Data[[#This Row],[Last Name]])</f>
        <v>Habib Klizli</v>
      </c>
      <c r="B138" s="37">
        <f ca="1">DATEDIF(Employees!$F138,TODAY(),"Y")</f>
        <v>6</v>
      </c>
      <c r="C138" s="38">
        <v>12</v>
      </c>
      <c r="D138" s="39" t="str">
        <f ca="1">IFERROR(IF(AND(Hardworking_Employee[[#This Row],[Years]]&gt;=5,Hardworking_Employee[[#This Row],[Overtime Hours]]&gt;50),"Yes","No"),"Not Found")</f>
        <v>No</v>
      </c>
    </row>
    <row r="139" spans="1:4" x14ac:dyDescent="0.35">
      <c r="A139" s="40" t="str">
        <f>_xlfn.TEXTJOIN(" ",TRUE,Employees_Data[[#This Row],[First Name]],Employees_Data[[#This Row],[Last Name]])</f>
        <v>Rasha Bajubuj</v>
      </c>
      <c r="B139" s="41">
        <f ca="1">DATEDIF(Employees!$F139,TODAY(),"Y")</f>
        <v>6</v>
      </c>
      <c r="C139" s="42">
        <v>15</v>
      </c>
      <c r="D139" s="43" t="str">
        <f ca="1">IFERROR(IF(AND(Hardworking_Employee[[#This Row],[Years]]&gt;=5,Hardworking_Employee[[#This Row],[Overtime Hours]]&gt;50),"Yes","No"),"Not Found")</f>
        <v>No</v>
      </c>
    </row>
    <row r="140" spans="1:4" x14ac:dyDescent="0.35">
      <c r="A140" s="36" t="str">
        <f>_xlfn.TEXTJOIN(" ",TRUE,Employees_Data[[#This Row],[First Name]],Employees_Data[[#This Row],[Last Name]])</f>
        <v>Mahir Albaghdadi</v>
      </c>
      <c r="B140" s="37">
        <f ca="1">DATEDIF(Employees!$F140,TODAY(),"Y")</f>
        <v>8</v>
      </c>
      <c r="C140" s="38">
        <v>0</v>
      </c>
      <c r="D140" s="39" t="str">
        <f ca="1">IFERROR(IF(AND(Hardworking_Employee[[#This Row],[Years]]&gt;=5,Hardworking_Employee[[#This Row],[Overtime Hours]]&gt;50),"Yes","No"),"Not Found")</f>
        <v>No</v>
      </c>
    </row>
    <row r="141" spans="1:4" x14ac:dyDescent="0.35">
      <c r="A141" s="40" t="str">
        <f>_xlfn.TEXTJOIN(" ",TRUE,Employees_Data[[#This Row],[First Name]],Employees_Data[[#This Row],[Last Name]])</f>
        <v>Alaa Almunzilijiu</v>
      </c>
      <c r="B141" s="41">
        <f ca="1">DATEDIF(Employees!$F141,TODAY(),"Y")</f>
        <v>7</v>
      </c>
      <c r="C141" s="42">
        <v>0</v>
      </c>
      <c r="D141" s="43" t="str">
        <f ca="1">IFERROR(IF(AND(Hardworking_Employee[[#This Row],[Years]]&gt;=5,Hardworking_Employee[[#This Row],[Overtime Hours]]&gt;50),"Yes","No"),"Not Found")</f>
        <v>No</v>
      </c>
    </row>
    <row r="142" spans="1:4" x14ac:dyDescent="0.35">
      <c r="A142" s="36" t="str">
        <f>_xlfn.TEXTJOIN(" ",TRUE,Employees_Data[[#This Row],[First Name]],Employees_Data[[#This Row],[Last Name]])</f>
        <v>Labanaa Qaziyha</v>
      </c>
      <c r="B142" s="37">
        <f ca="1">DATEDIF(Employees!$F142,TODAY(),"Y")</f>
        <v>7</v>
      </c>
      <c r="C142" s="38">
        <v>0</v>
      </c>
      <c r="D142" s="39" t="str">
        <f ca="1">IFERROR(IF(AND(Hardworking_Employee[[#This Row],[Years]]&gt;=5,Hardworking_Employee[[#This Row],[Overtime Hours]]&gt;50),"Yes","No"),"Not Found")</f>
        <v>No</v>
      </c>
    </row>
    <row r="143" spans="1:4" x14ac:dyDescent="0.35">
      <c r="A143" s="40" t="str">
        <f>_xlfn.TEXTJOIN(" ",TRUE,Employees_Data[[#This Row],[First Name]],Employees_Data[[#This Row],[Last Name]])</f>
        <v>Fatnh Abu</v>
      </c>
      <c r="B143" s="41">
        <f ca="1">DATEDIF(Employees!$F143,TODAY(),"Y")</f>
        <v>5</v>
      </c>
      <c r="C143" s="42">
        <v>2</v>
      </c>
      <c r="D143" s="43" t="str">
        <f ca="1">IFERROR(IF(AND(Hardworking_Employee[[#This Row],[Years]]&gt;=5,Hardworking_Employee[[#This Row],[Overtime Hours]]&gt;50),"Yes","No"),"Not Found")</f>
        <v>No</v>
      </c>
    </row>
    <row r="144" spans="1:4" x14ac:dyDescent="0.35">
      <c r="A144" s="36" t="str">
        <f>_xlfn.TEXTJOIN(" ",TRUE,Employees_Data[[#This Row],[First Name]],Employees_Data[[#This Row],[Last Name]])</f>
        <v>Iilyas Dahadal</v>
      </c>
      <c r="B144" s="37">
        <f ca="1">DATEDIF(Employees!$F144,TODAY(),"Y")</f>
        <v>7</v>
      </c>
      <c r="C144" s="38">
        <v>8</v>
      </c>
      <c r="D144" s="39" t="str">
        <f ca="1">IFERROR(IF(AND(Hardworking_Employee[[#This Row],[Years]]&gt;=5,Hardworking_Employee[[#This Row],[Overtime Hours]]&gt;50),"Yes","No"),"Not Found")</f>
        <v>No</v>
      </c>
    </row>
    <row r="145" spans="1:4" x14ac:dyDescent="0.35">
      <c r="A145" s="40" t="str">
        <f>_xlfn.TEXTJOIN(" ",TRUE,Employees_Data[[#This Row],[First Name]],Employees_Data[[#This Row],[Last Name]])</f>
        <v>Rim Huaydi</v>
      </c>
      <c r="B145" s="41">
        <f ca="1">DATEDIF(Employees!$F145,TODAY(),"Y")</f>
        <v>7</v>
      </c>
      <c r="C145" s="42">
        <v>6</v>
      </c>
      <c r="D145" s="43" t="str">
        <f ca="1">IFERROR(IF(AND(Hardworking_Employee[[#This Row],[Years]]&gt;=5,Hardworking_Employee[[#This Row],[Overtime Hours]]&gt;50),"Yes","No"),"Not Found")</f>
        <v>No</v>
      </c>
    </row>
    <row r="146" spans="1:4" x14ac:dyDescent="0.35">
      <c r="A146" s="36" t="str">
        <f>_xlfn.TEXTJOIN(" ",TRUE,Employees_Data[[#This Row],[First Name]],Employees_Data[[#This Row],[Last Name]])</f>
        <v>Ahmad Muhamad</v>
      </c>
      <c r="B146" s="37">
        <f ca="1">DATEDIF(Employees!$F146,TODAY(),"Y")</f>
        <v>6</v>
      </c>
      <c r="C146" s="38">
        <v>1</v>
      </c>
      <c r="D146" s="39" t="str">
        <f ca="1">IFERROR(IF(AND(Hardworking_Employee[[#This Row],[Years]]&gt;=5,Hardworking_Employee[[#This Row],[Overtime Hours]]&gt;50),"Yes","No"),"Not Found")</f>
        <v>No</v>
      </c>
    </row>
    <row r="147" spans="1:4" x14ac:dyDescent="0.35">
      <c r="A147" s="40" t="str">
        <f>_xlfn.TEXTJOIN(" ",TRUE,Employees_Data[[#This Row],[First Name]],Employees_Data[[#This Row],[Last Name]])</f>
        <v>Abd Alruhmin Almahrus</v>
      </c>
      <c r="B147" s="41">
        <f ca="1">DATEDIF(Employees!$F147,TODAY(),"Y")</f>
        <v>7</v>
      </c>
      <c r="C147" s="42">
        <v>3</v>
      </c>
      <c r="D147" s="43" t="str">
        <f ca="1">IFERROR(IF(AND(Hardworking_Employee[[#This Row],[Years]]&gt;=5,Hardworking_Employee[[#This Row],[Overtime Hours]]&gt;50),"Yes","No"),"Not Found")</f>
        <v>No</v>
      </c>
    </row>
    <row r="148" spans="1:4" x14ac:dyDescent="0.35">
      <c r="A148" s="36" t="str">
        <f>_xlfn.TEXTJOIN(" ",TRUE,Employees_Data[[#This Row],[First Name]],Employees_Data[[#This Row],[Last Name]])</f>
        <v>Biaism Tyzry</v>
      </c>
      <c r="B148" s="37">
        <f ca="1">DATEDIF(Employees!$F148,TODAY(),"Y")</f>
        <v>6</v>
      </c>
      <c r="C148" s="38">
        <v>8</v>
      </c>
      <c r="D148" s="39" t="str">
        <f ca="1">IFERROR(IF(AND(Hardworking_Employee[[#This Row],[Years]]&gt;=5,Hardworking_Employee[[#This Row],[Overtime Hours]]&gt;50),"Yes","No"),"Not Found")</f>
        <v>No</v>
      </c>
    </row>
    <row r="149" spans="1:4" x14ac:dyDescent="0.35">
      <c r="A149" s="40" t="str">
        <f>_xlfn.TEXTJOIN(" ",TRUE,Employees_Data[[#This Row],[First Name]],Employees_Data[[#This Row],[Last Name]])</f>
        <v>Omar Milatu</v>
      </c>
      <c r="B149" s="41">
        <f ca="1">DATEDIF(Employees!$F149,TODAY(),"Y")</f>
        <v>8</v>
      </c>
      <c r="C149" s="42">
        <v>2</v>
      </c>
      <c r="D149" s="43" t="str">
        <f ca="1">IFERROR(IF(AND(Hardworking_Employee[[#This Row],[Years]]&gt;=5,Hardworking_Employee[[#This Row],[Overtime Hours]]&gt;50),"Yes","No"),"Not Found")</f>
        <v>No</v>
      </c>
    </row>
    <row r="150" spans="1:4" x14ac:dyDescent="0.35">
      <c r="A150" s="36" t="str">
        <f>_xlfn.TEXTJOIN(" ",TRUE,Employees_Data[[#This Row],[First Name]],Employees_Data[[#This Row],[Last Name]])</f>
        <v>Alyida Nieamah</v>
      </c>
      <c r="B150" s="37">
        <f ca="1">DATEDIF(Employees!$F150,TODAY(),"Y")</f>
        <v>9</v>
      </c>
      <c r="C150" s="38">
        <v>2</v>
      </c>
      <c r="D150" s="39" t="str">
        <f ca="1">IFERROR(IF(AND(Hardworking_Employee[[#This Row],[Years]]&gt;=5,Hardworking_Employee[[#This Row],[Overtime Hours]]&gt;50),"Yes","No"),"Not Found")</f>
        <v>No</v>
      </c>
    </row>
    <row r="151" spans="1:4" x14ac:dyDescent="0.35">
      <c r="A151" s="40" t="str">
        <f>_xlfn.TEXTJOIN(" ",TRUE,Employees_Data[[#This Row],[First Name]],Employees_Data[[#This Row],[Last Name]])</f>
        <v>Kamal Hajl</v>
      </c>
      <c r="B151" s="41">
        <f ca="1">DATEDIF(Employees!$F151,TODAY(),"Y")</f>
        <v>9</v>
      </c>
      <c r="C151" s="42">
        <v>1</v>
      </c>
      <c r="D151" s="43" t="str">
        <f ca="1">IFERROR(IF(AND(Hardworking_Employee[[#This Row],[Years]]&gt;=5,Hardworking_Employee[[#This Row],[Overtime Hours]]&gt;50),"Yes","No"),"Not Found")</f>
        <v>No</v>
      </c>
    </row>
    <row r="152" spans="1:4" x14ac:dyDescent="0.35">
      <c r="A152" s="36" t="str">
        <f>_xlfn.TEXTJOIN(" ",TRUE,Employees_Data[[#This Row],[First Name]],Employees_Data[[#This Row],[Last Name]])</f>
        <v>Amjad Naghnagh</v>
      </c>
      <c r="B152" s="37">
        <f ca="1">DATEDIF(Employees!$F152,TODAY(),"Y")</f>
        <v>6</v>
      </c>
      <c r="C152" s="38">
        <v>23</v>
      </c>
      <c r="D152" s="39" t="str">
        <f ca="1">IFERROR(IF(AND(Hardworking_Employee[[#This Row],[Years]]&gt;=5,Hardworking_Employee[[#This Row],[Overtime Hours]]&gt;50),"Yes","No"),"Not Found")</f>
        <v>No</v>
      </c>
    </row>
    <row r="153" spans="1:4" x14ac:dyDescent="0.35">
      <c r="A153" s="40" t="str">
        <f>_xlfn.TEXTJOIN(" ",TRUE,Employees_Data[[#This Row],[First Name]],Employees_Data[[#This Row],[Last Name]])</f>
        <v>Iin Qisi</v>
      </c>
      <c r="B153" s="41">
        <f ca="1">DATEDIF(Employees!$F153,TODAY(),"Y")</f>
        <v>6</v>
      </c>
      <c r="C153" s="42">
        <v>54</v>
      </c>
      <c r="D153" s="43" t="str">
        <f ca="1">IFERROR(IF(AND(Hardworking_Employee[[#This Row],[Years]]&gt;=5,Hardworking_Employee[[#This Row],[Overtime Hours]]&gt;50),"Yes","No"),"Not Found")</f>
        <v>Yes</v>
      </c>
    </row>
    <row r="154" spans="1:4" x14ac:dyDescent="0.35">
      <c r="A154" s="36" t="str">
        <f>_xlfn.TEXTJOIN(" ",TRUE,Employees_Data[[#This Row],[First Name]],Employees_Data[[#This Row],[Last Name]])</f>
        <v>Basmah Alhabis</v>
      </c>
      <c r="B154" s="37">
        <f ca="1">DATEDIF(Employees!$F154,TODAY(),"Y")</f>
        <v>9</v>
      </c>
      <c r="C154" s="38">
        <v>3</v>
      </c>
      <c r="D154" s="39" t="str">
        <f ca="1">IFERROR(IF(AND(Hardworking_Employee[[#This Row],[Years]]&gt;=5,Hardworking_Employee[[#This Row],[Overtime Hours]]&gt;50),"Yes","No"),"Not Found")</f>
        <v>No</v>
      </c>
    </row>
    <row r="155" spans="1:4" x14ac:dyDescent="0.35">
      <c r="A155" s="40" t="str">
        <f>_xlfn.TEXTJOIN(" ",TRUE,Employees_Data[[#This Row],[First Name]],Employees_Data[[#This Row],[Last Name]])</f>
        <v>Eala Dahbur</v>
      </c>
      <c r="B155" s="41">
        <f ca="1">DATEDIF(Employees!$F155,TODAY(),"Y")</f>
        <v>7</v>
      </c>
      <c r="C155" s="42">
        <v>0</v>
      </c>
      <c r="D155" s="43" t="str">
        <f ca="1">IFERROR(IF(AND(Hardworking_Employee[[#This Row],[Years]]&gt;=5,Hardworking_Employee[[#This Row],[Overtime Hours]]&gt;50),"Yes","No"),"Not Found")</f>
        <v>No</v>
      </c>
    </row>
    <row r="156" spans="1:4" x14ac:dyDescent="0.35">
      <c r="A156" s="36" t="str">
        <f>_xlfn.TEXTJOIN(" ",TRUE,Employees_Data[[#This Row],[First Name]],Employees_Data[[#This Row],[Last Name]])</f>
        <v>Rwbyna Iibrahim</v>
      </c>
      <c r="B156" s="37">
        <f ca="1">DATEDIF(Employees!$F156,TODAY(),"Y")</f>
        <v>7</v>
      </c>
      <c r="C156" s="38">
        <v>8</v>
      </c>
      <c r="D156" s="39" t="str">
        <f ca="1">IFERROR(IF(AND(Hardworking_Employee[[#This Row],[Years]]&gt;=5,Hardworking_Employee[[#This Row],[Overtime Hours]]&gt;50),"Yes","No"),"Not Found")</f>
        <v>No</v>
      </c>
    </row>
    <row r="157" spans="1:4" x14ac:dyDescent="0.35">
      <c r="A157" s="40" t="str">
        <f>_xlfn.TEXTJOIN(" ",TRUE,Employees_Data[[#This Row],[First Name]],Employees_Data[[#This Row],[Last Name]])</f>
        <v>Tariq Salim</v>
      </c>
      <c r="B157" s="41">
        <f ca="1">DATEDIF(Employees!$F157,TODAY(),"Y")</f>
        <v>8</v>
      </c>
      <c r="C157" s="42">
        <v>10</v>
      </c>
      <c r="D157" s="43" t="str">
        <f ca="1">IFERROR(IF(AND(Hardworking_Employee[[#This Row],[Years]]&gt;=5,Hardworking_Employee[[#This Row],[Overtime Hours]]&gt;50),"Yes","No"),"Not Found")</f>
        <v>No</v>
      </c>
    </row>
    <row r="158" spans="1:4" x14ac:dyDescent="0.35">
      <c r="A158" s="36" t="str">
        <f>_xlfn.TEXTJOIN(" ",TRUE,Employees_Data[[#This Row],[First Name]],Employees_Data[[#This Row],[Last Name]])</f>
        <v>Basimah Sybea</v>
      </c>
      <c r="B158" s="37">
        <f ca="1">DATEDIF(Employees!$F158,TODAY(),"Y")</f>
        <v>7</v>
      </c>
      <c r="C158" s="38">
        <v>8</v>
      </c>
      <c r="D158" s="39" t="str">
        <f ca="1">IFERROR(IF(AND(Hardworking_Employee[[#This Row],[Years]]&gt;=5,Hardworking_Employee[[#This Row],[Overtime Hours]]&gt;50),"Yes","No"),"Not Found")</f>
        <v>No</v>
      </c>
    </row>
    <row r="159" spans="1:4" x14ac:dyDescent="0.35">
      <c r="A159" s="40" t="str">
        <f>_xlfn.TEXTJOIN(" ",TRUE,Employees_Data[[#This Row],[First Name]],Employees_Data[[#This Row],[Last Name]])</f>
        <v>Zunar Eali</v>
      </c>
      <c r="B159" s="41">
        <f ca="1">DATEDIF(Employees!$F159,TODAY(),"Y")</f>
        <v>6</v>
      </c>
      <c r="C159" s="42">
        <v>3</v>
      </c>
      <c r="D159" s="43" t="str">
        <f ca="1">IFERROR(IF(AND(Hardworking_Employee[[#This Row],[Years]]&gt;=5,Hardworking_Employee[[#This Row],[Overtime Hours]]&gt;50),"Yes","No"),"Not Found")</f>
        <v>No</v>
      </c>
    </row>
    <row r="160" spans="1:4" x14ac:dyDescent="0.35">
      <c r="A160" s="36" t="str">
        <f>_xlfn.TEXTJOIN(" ",TRUE,Employees_Data[[#This Row],[First Name]],Employees_Data[[#This Row],[Last Name]])</f>
        <v>Rim Mia</v>
      </c>
      <c r="B160" s="37">
        <f ca="1">DATEDIF(Employees!$F160,TODAY(),"Y")</f>
        <v>7</v>
      </c>
      <c r="C160" s="38">
        <v>9</v>
      </c>
      <c r="D160" s="39" t="str">
        <f ca="1">IFERROR(IF(AND(Hardworking_Employee[[#This Row],[Years]]&gt;=5,Hardworking_Employee[[#This Row],[Overtime Hours]]&gt;50),"Yes","No"),"Not Found")</f>
        <v>No</v>
      </c>
    </row>
    <row r="161" spans="1:4" x14ac:dyDescent="0.35">
      <c r="A161" s="40" t="str">
        <f>_xlfn.TEXTJOIN(" ",TRUE,Employees_Data[[#This Row],[First Name]],Employees_Data[[#This Row],[Last Name]])</f>
        <v>Lana Alhabash</v>
      </c>
      <c r="B161" s="41">
        <f ca="1">DATEDIF(Employees!$F161,TODAY(),"Y")</f>
        <v>10</v>
      </c>
      <c r="C161" s="42">
        <v>8</v>
      </c>
      <c r="D161" s="43" t="str">
        <f ca="1">IFERROR(IF(AND(Hardworking_Employee[[#This Row],[Years]]&gt;=5,Hardworking_Employee[[#This Row],[Overtime Hours]]&gt;50),"Yes","No"),"Not Found")</f>
        <v>No</v>
      </c>
    </row>
    <row r="162" spans="1:4" x14ac:dyDescent="0.35">
      <c r="A162" s="36" t="str">
        <f>_xlfn.TEXTJOIN(" ",TRUE,Employees_Data[[#This Row],[First Name]],Employees_Data[[#This Row],[Last Name]])</f>
        <v>Muhamad Alshghry</v>
      </c>
      <c r="B162" s="37">
        <f ca="1">DATEDIF(Employees!$F162,TODAY(),"Y")</f>
        <v>6</v>
      </c>
      <c r="C162" s="38">
        <v>13</v>
      </c>
      <c r="D162" s="39" t="str">
        <f ca="1">IFERROR(IF(AND(Hardworking_Employee[[#This Row],[Years]]&gt;=5,Hardworking_Employee[[#This Row],[Overtime Hours]]&gt;50),"Yes","No"),"Not Found")</f>
        <v>No</v>
      </c>
    </row>
    <row r="163" spans="1:4" x14ac:dyDescent="0.35">
      <c r="A163" s="40" t="str">
        <f>_xlfn.TEXTJOIN(" ",TRUE,Employees_Data[[#This Row],[First Name]],Employees_Data[[#This Row],[Last Name]])</f>
        <v>Ghazal Hisan</v>
      </c>
      <c r="B163" s="41">
        <f ca="1">DATEDIF(Employees!$F163,TODAY(),"Y")</f>
        <v>6</v>
      </c>
      <c r="C163" s="42">
        <v>9</v>
      </c>
      <c r="D163" s="43" t="str">
        <f ca="1">IFERROR(IF(AND(Hardworking_Employee[[#This Row],[Years]]&gt;=5,Hardworking_Employee[[#This Row],[Overtime Hours]]&gt;50),"Yes","No"),"Not Found")</f>
        <v>No</v>
      </c>
    </row>
    <row r="164" spans="1:4" x14ac:dyDescent="0.35">
      <c r="A164" s="36" t="str">
        <f>_xlfn.TEXTJOIN(" ",TRUE,Employees_Data[[#This Row],[First Name]],Employees_Data[[#This Row],[Last Name]])</f>
        <v>Khalil Alzaebii</v>
      </c>
      <c r="B164" s="37">
        <f ca="1">DATEDIF(Employees!$F164,TODAY(),"Y")</f>
        <v>9</v>
      </c>
      <c r="C164" s="38">
        <v>8</v>
      </c>
      <c r="D164" s="39" t="str">
        <f ca="1">IFERROR(IF(AND(Hardworking_Employee[[#This Row],[Years]]&gt;=5,Hardworking_Employee[[#This Row],[Overtime Hours]]&gt;50),"Yes","No"),"Not Found")</f>
        <v>No</v>
      </c>
    </row>
    <row r="165" spans="1:4" x14ac:dyDescent="0.35">
      <c r="A165" s="40" t="str">
        <f>_xlfn.TEXTJOIN(" ",TRUE,Employees_Data[[#This Row],[First Name]],Employees_Data[[#This Row],[Last Name]])</f>
        <v>Samir Shalish</v>
      </c>
      <c r="B165" s="41">
        <f ca="1">DATEDIF(Employees!$F165,TODAY(),"Y")</f>
        <v>8</v>
      </c>
      <c r="C165" s="42">
        <v>9</v>
      </c>
      <c r="D165" s="43" t="str">
        <f ca="1">IFERROR(IF(AND(Hardworking_Employee[[#This Row],[Years]]&gt;=5,Hardworking_Employee[[#This Row],[Overtime Hours]]&gt;50),"Yes","No"),"Not Found")</f>
        <v>No</v>
      </c>
    </row>
    <row r="166" spans="1:4" x14ac:dyDescent="0.35">
      <c r="A166" s="36" t="str">
        <f>_xlfn.TEXTJOIN(" ",TRUE,Employees_Data[[#This Row],[First Name]],Employees_Data[[#This Row],[Last Name]])</f>
        <v>Abdalmjid Ahmad</v>
      </c>
      <c r="B166" s="37">
        <f ca="1">DATEDIF(Employees!$F166,TODAY(),"Y")</f>
        <v>7</v>
      </c>
      <c r="C166" s="38">
        <v>15</v>
      </c>
      <c r="D166" s="39" t="str">
        <f ca="1">IFERROR(IF(AND(Hardworking_Employee[[#This Row],[Years]]&gt;=5,Hardworking_Employee[[#This Row],[Overtime Hours]]&gt;50),"Yes","No"),"Not Found")</f>
        <v>No</v>
      </c>
    </row>
    <row r="167" spans="1:4" x14ac:dyDescent="0.35">
      <c r="A167" s="40" t="str">
        <f>_xlfn.TEXTJOIN(" ",TRUE,Employees_Data[[#This Row],[First Name]],Employees_Data[[#This Row],[Last Name]])</f>
        <v>Emar Abil</v>
      </c>
      <c r="B167" s="41">
        <f ca="1">DATEDIF(Employees!$F167,TODAY(),"Y")</f>
        <v>7</v>
      </c>
      <c r="C167" s="42">
        <v>10</v>
      </c>
      <c r="D167" s="43" t="str">
        <f ca="1">IFERROR(IF(AND(Hardworking_Employee[[#This Row],[Years]]&gt;=5,Hardworking_Employee[[#This Row],[Overtime Hours]]&gt;50),"Yes","No"),"Not Found")</f>
        <v>No</v>
      </c>
    </row>
    <row r="168" spans="1:4" x14ac:dyDescent="0.35">
      <c r="A168" s="36" t="str">
        <f>_xlfn.TEXTJOIN(" ",TRUE,Employees_Data[[#This Row],[First Name]],Employees_Data[[#This Row],[Last Name]])</f>
        <v>Lamia Warur</v>
      </c>
      <c r="B168" s="37">
        <f ca="1">DATEDIF(Employees!$F168,TODAY(),"Y")</f>
        <v>9</v>
      </c>
      <c r="C168" s="38">
        <v>7</v>
      </c>
      <c r="D168" s="39" t="str">
        <f ca="1">IFERROR(IF(AND(Hardworking_Employee[[#This Row],[Years]]&gt;=5,Hardworking_Employee[[#This Row],[Overtime Hours]]&gt;50),"Yes","No"),"Not Found")</f>
        <v>No</v>
      </c>
    </row>
    <row r="169" spans="1:4" x14ac:dyDescent="0.35">
      <c r="A169" s="40" t="str">
        <f>_xlfn.TEXTJOIN(" ",TRUE,Employees_Data[[#This Row],[First Name]],Employees_Data[[#This Row],[Last Name]])</f>
        <v>Fyfian Abu</v>
      </c>
      <c r="B169" s="41">
        <f ca="1">DATEDIF(Employees!$F169,TODAY(),"Y")</f>
        <v>7</v>
      </c>
      <c r="C169" s="42">
        <v>4</v>
      </c>
      <c r="D169" s="43" t="str">
        <f ca="1">IFERROR(IF(AND(Hardworking_Employee[[#This Row],[Years]]&gt;=5,Hardworking_Employee[[#This Row],[Overtime Hours]]&gt;50),"Yes","No"),"Not Found")</f>
        <v>No</v>
      </c>
    </row>
    <row r="170" spans="1:4" x14ac:dyDescent="0.35">
      <c r="A170" s="36" t="str">
        <f>_xlfn.TEXTJOIN(" ",TRUE,Employees_Data[[#This Row],[First Name]],Employees_Data[[#This Row],[Last Name]])</f>
        <v>Majd Yasin</v>
      </c>
      <c r="B170" s="37">
        <f ca="1">DATEDIF(Employees!$F170,TODAY(),"Y")</f>
        <v>7</v>
      </c>
      <c r="C170" s="38">
        <v>9</v>
      </c>
      <c r="D170" s="39" t="str">
        <f ca="1">IFERROR(IF(AND(Hardworking_Employee[[#This Row],[Years]]&gt;=5,Hardworking_Employee[[#This Row],[Overtime Hours]]&gt;50),"Yes","No"),"Not Found")</f>
        <v>No</v>
      </c>
    </row>
    <row r="171" spans="1:4" x14ac:dyDescent="0.35">
      <c r="A171" s="40" t="str">
        <f>_xlfn.TEXTJOIN(" ",TRUE,Employees_Data[[#This Row],[First Name]],Employees_Data[[#This Row],[Last Name]])</f>
        <v>Alaa Almisri</v>
      </c>
      <c r="B171" s="41">
        <f ca="1">DATEDIF(Employees!$F171,TODAY(),"Y")</f>
        <v>6</v>
      </c>
      <c r="C171" s="42">
        <v>4</v>
      </c>
      <c r="D171" s="43" t="str">
        <f ca="1">IFERROR(IF(AND(Hardworking_Employee[[#This Row],[Years]]&gt;=5,Hardworking_Employee[[#This Row],[Overtime Hours]]&gt;50),"Yes","No"),"Not Found")</f>
        <v>No</v>
      </c>
    </row>
    <row r="172" spans="1:4" x14ac:dyDescent="0.35">
      <c r="A172" s="36" t="str">
        <f>_xlfn.TEXTJOIN(" ",TRUE,Employees_Data[[#This Row],[First Name]],Employees_Data[[#This Row],[Last Name]])</f>
        <v>Muhamad Amir</v>
      </c>
      <c r="B172" s="37">
        <f ca="1">DATEDIF(Employees!$F172,TODAY(),"Y")</f>
        <v>9</v>
      </c>
      <c r="C172" s="38">
        <v>2</v>
      </c>
      <c r="D172" s="39" t="str">
        <f ca="1">IFERROR(IF(AND(Hardworking_Employee[[#This Row],[Years]]&gt;=5,Hardworking_Employee[[#This Row],[Overtime Hours]]&gt;50),"Yes","No"),"Not Found")</f>
        <v>No</v>
      </c>
    </row>
    <row r="173" spans="1:4" x14ac:dyDescent="0.35">
      <c r="A173" s="40" t="str">
        <f>_xlfn.TEXTJOIN(" ",TRUE,Employees_Data[[#This Row],[First Name]],Employees_Data[[#This Row],[Last Name]])</f>
        <v>Lilas Balatah</v>
      </c>
      <c r="B173" s="41">
        <f ca="1">DATEDIF(Employees!$F173,TODAY(),"Y")</f>
        <v>6</v>
      </c>
      <c r="C173" s="42">
        <v>9</v>
      </c>
      <c r="D173" s="43" t="str">
        <f ca="1">IFERROR(IF(AND(Hardworking_Employee[[#This Row],[Years]]&gt;=5,Hardworking_Employee[[#This Row],[Overtime Hours]]&gt;50),"Yes","No"),"Not Found")</f>
        <v>No</v>
      </c>
    </row>
    <row r="174" spans="1:4" x14ac:dyDescent="0.35">
      <c r="A174" s="36" t="str">
        <f>_xlfn.TEXTJOIN(" ",TRUE,Employees_Data[[#This Row],[First Name]],Employees_Data[[#This Row],[Last Name]])</f>
        <v>Ruaa Mukiin</v>
      </c>
      <c r="B174" s="37">
        <f ca="1">DATEDIF(Employees!$F174,TODAY(),"Y")</f>
        <v>9</v>
      </c>
      <c r="C174" s="38">
        <v>18</v>
      </c>
      <c r="D174" s="39" t="str">
        <f ca="1">IFERROR(IF(AND(Hardworking_Employee[[#This Row],[Years]]&gt;=5,Hardworking_Employee[[#This Row],[Overtime Hours]]&gt;50),"Yes","No"),"Not Found")</f>
        <v>No</v>
      </c>
    </row>
    <row r="175" spans="1:4" x14ac:dyDescent="0.35">
      <c r="A175" s="40" t="str">
        <f>_xlfn.TEXTJOIN(" ",TRUE,Employees_Data[[#This Row],[First Name]],Employees_Data[[#This Row],[Last Name]])</f>
        <v>Rana Shaeban</v>
      </c>
      <c r="B175" s="41">
        <f ca="1">DATEDIF(Employees!$F175,TODAY(),"Y")</f>
        <v>8</v>
      </c>
      <c r="C175" s="42">
        <v>10</v>
      </c>
      <c r="D175" s="43" t="str">
        <f ca="1">IFERROR(IF(AND(Hardworking_Employee[[#This Row],[Years]]&gt;=5,Hardworking_Employee[[#This Row],[Overtime Hours]]&gt;50),"Yes","No"),"Not Found")</f>
        <v>No</v>
      </c>
    </row>
    <row r="176" spans="1:4" x14ac:dyDescent="0.35">
      <c r="A176" s="36" t="str">
        <f>_xlfn.TEXTJOIN(" ",TRUE,Employees_Data[[#This Row],[First Name]],Employees_Data[[#This Row],[Last Name]])</f>
        <v>Muwmin Ewad</v>
      </c>
      <c r="B176" s="37">
        <f ca="1">DATEDIF(Employees!$F176,TODAY(),"Y")</f>
        <v>9</v>
      </c>
      <c r="C176" s="38">
        <v>3</v>
      </c>
      <c r="D176" s="39" t="str">
        <f ca="1">IFERROR(IF(AND(Hardworking_Employee[[#This Row],[Years]]&gt;=5,Hardworking_Employee[[#This Row],[Overtime Hours]]&gt;50),"Yes","No"),"Not Found")</f>
        <v>No</v>
      </c>
    </row>
    <row r="177" spans="1:4" x14ac:dyDescent="0.35">
      <c r="A177" s="40" t="str">
        <f>_xlfn.TEXTJOIN(" ",TRUE,Employees_Data[[#This Row],[First Name]],Employees_Data[[#This Row],[Last Name]])</f>
        <v>Rahaf Alaleppoy</v>
      </c>
      <c r="B177" s="41">
        <f ca="1">DATEDIF(Employees!$F177,TODAY(),"Y")</f>
        <v>6</v>
      </c>
      <c r="C177" s="42">
        <v>6</v>
      </c>
      <c r="D177" s="43" t="str">
        <f ca="1">IFERROR(IF(AND(Hardworking_Employee[[#This Row],[Years]]&gt;=5,Hardworking_Employee[[#This Row],[Overtime Hours]]&gt;50),"Yes","No"),"Not Found")</f>
        <v>No</v>
      </c>
    </row>
    <row r="178" spans="1:4" x14ac:dyDescent="0.35">
      <c r="A178" s="36" t="str">
        <f>_xlfn.TEXTJOIN(" ",TRUE,Employees_Data[[#This Row],[First Name]],Employees_Data[[#This Row],[Last Name]])</f>
        <v>Samiah Alsaedi</v>
      </c>
      <c r="B178" s="37">
        <f ca="1">DATEDIF(Employees!$F178,TODAY(),"Y")</f>
        <v>8</v>
      </c>
      <c r="C178" s="38">
        <v>5</v>
      </c>
      <c r="D178" s="39" t="str">
        <f ca="1">IFERROR(IF(AND(Hardworking_Employee[[#This Row],[Years]]&gt;=5,Hardworking_Employee[[#This Row],[Overtime Hours]]&gt;50),"Yes","No"),"Not Found")</f>
        <v>No</v>
      </c>
    </row>
    <row r="179" spans="1:4" x14ac:dyDescent="0.35">
      <c r="A179" s="40" t="str">
        <f>_xlfn.TEXTJOIN(" ",TRUE,Employees_Data[[#This Row],[First Name]],Employees_Data[[#This Row],[Last Name]])</f>
        <v>Rim Hamdu</v>
      </c>
      <c r="B179" s="41">
        <f ca="1">DATEDIF(Employees!$F179,TODAY(),"Y")</f>
        <v>7</v>
      </c>
      <c r="C179" s="42">
        <v>3</v>
      </c>
      <c r="D179" s="43" t="str">
        <f ca="1">IFERROR(IF(AND(Hardworking_Employee[[#This Row],[Years]]&gt;=5,Hardworking_Employee[[#This Row],[Overtime Hours]]&gt;50),"Yes","No"),"Not Found")</f>
        <v>No</v>
      </c>
    </row>
    <row r="180" spans="1:4" x14ac:dyDescent="0.35">
      <c r="A180" s="36" t="str">
        <f>_xlfn.TEXTJOIN(" ",TRUE,Employees_Data[[#This Row],[First Name]],Employees_Data[[#This Row],[Last Name]])</f>
        <v>Aishah Alquatliu</v>
      </c>
      <c r="B180" s="37">
        <f ca="1">DATEDIF(Employees!$F180,TODAY(),"Y")</f>
        <v>6</v>
      </c>
      <c r="C180" s="38">
        <v>0</v>
      </c>
      <c r="D180" s="39" t="str">
        <f ca="1">IFERROR(IF(AND(Hardworking_Employee[[#This Row],[Years]]&gt;=5,Hardworking_Employee[[#This Row],[Overtime Hours]]&gt;50),"Yes","No"),"Not Found")</f>
        <v>No</v>
      </c>
    </row>
    <row r="181" spans="1:4" x14ac:dyDescent="0.35">
      <c r="A181" s="40" t="str">
        <f>_xlfn.TEXTJOIN(" ",TRUE,Employees_Data[[#This Row],[First Name]],Employees_Data[[#This Row],[Last Name]])</f>
        <v>Dany Albaba</v>
      </c>
      <c r="B181" s="41">
        <f ca="1">DATEDIF(Employees!$F181,TODAY(),"Y")</f>
        <v>8</v>
      </c>
      <c r="C181" s="42">
        <v>0</v>
      </c>
      <c r="D181" s="43" t="str">
        <f ca="1">IFERROR(IF(AND(Hardworking_Employee[[#This Row],[Years]]&gt;=5,Hardworking_Employee[[#This Row],[Overtime Hours]]&gt;50),"Yes","No"),"Not Found")</f>
        <v>No</v>
      </c>
    </row>
    <row r="182" spans="1:4" x14ac:dyDescent="0.35">
      <c r="A182" s="36" t="str">
        <f>_xlfn.TEXTJOIN(" ",TRUE,Employees_Data[[#This Row],[First Name]],Employees_Data[[#This Row],[Last Name]])</f>
        <v>Muhamad Rinkusi</v>
      </c>
      <c r="B182" s="37">
        <f ca="1">DATEDIF(Employees!$F182,TODAY(),"Y")</f>
        <v>8</v>
      </c>
      <c r="C182" s="38">
        <v>9</v>
      </c>
      <c r="D182" s="39" t="str">
        <f ca="1">IFERROR(IF(AND(Hardworking_Employee[[#This Row],[Years]]&gt;=5,Hardworking_Employee[[#This Row],[Overtime Hours]]&gt;50),"Yes","No"),"Not Found")</f>
        <v>No</v>
      </c>
    </row>
    <row r="183" spans="1:4" x14ac:dyDescent="0.35">
      <c r="A183" s="40" t="str">
        <f>_xlfn.TEXTJOIN(" ",TRUE,Employees_Data[[#This Row],[First Name]],Employees_Data[[#This Row],[Last Name]])</f>
        <v>Isam Jadid</v>
      </c>
      <c r="B183" s="41">
        <f ca="1">DATEDIF(Employees!$F183,TODAY(),"Y")</f>
        <v>5</v>
      </c>
      <c r="C183" s="42">
        <v>2</v>
      </c>
      <c r="D183" s="43" t="str">
        <f ca="1">IFERROR(IF(AND(Hardworking_Employee[[#This Row],[Years]]&gt;=5,Hardworking_Employee[[#This Row],[Overtime Hours]]&gt;50),"Yes","No"),"Not Found")</f>
        <v>No</v>
      </c>
    </row>
    <row r="184" spans="1:4" x14ac:dyDescent="0.35">
      <c r="A184" s="36" t="str">
        <f>_xlfn.TEXTJOIN(" ",TRUE,Employees_Data[[#This Row],[First Name]],Employees_Data[[#This Row],[Last Name]])</f>
        <v>Bushraa Drwysh</v>
      </c>
      <c r="B184" s="37">
        <f ca="1">DATEDIF(Employees!$F184,TODAY(),"Y")</f>
        <v>8</v>
      </c>
      <c r="C184" s="38">
        <v>8</v>
      </c>
      <c r="D184" s="39" t="str">
        <f ca="1">IFERROR(IF(AND(Hardworking_Employee[[#This Row],[Years]]&gt;=5,Hardworking_Employee[[#This Row],[Overtime Hours]]&gt;50),"Yes","No"),"Not Found")</f>
        <v>No</v>
      </c>
    </row>
    <row r="185" spans="1:4" x14ac:dyDescent="0.35">
      <c r="A185" s="40" t="str">
        <f>_xlfn.TEXTJOIN(" ",TRUE,Employees_Data[[#This Row],[First Name]],Employees_Data[[#This Row],[Last Name]])</f>
        <v>Zakarian Rashwani</v>
      </c>
      <c r="B185" s="41">
        <f ca="1">DATEDIF(Employees!$F185,TODAY(),"Y")</f>
        <v>7</v>
      </c>
      <c r="C185" s="42">
        <v>3</v>
      </c>
      <c r="D185" s="43" t="str">
        <f ca="1">IFERROR(IF(AND(Hardworking_Employee[[#This Row],[Years]]&gt;=5,Hardworking_Employee[[#This Row],[Overtime Hours]]&gt;50),"Yes","No"),"Not Found")</f>
        <v>No</v>
      </c>
    </row>
    <row r="186" spans="1:4" x14ac:dyDescent="0.35">
      <c r="A186" s="36" t="str">
        <f>_xlfn.TEXTJOIN(" ",TRUE,Employees_Data[[#This Row],[First Name]],Employees_Data[[#This Row],[Last Name]])</f>
        <v>Fadi Alqadi</v>
      </c>
      <c r="B186" s="37">
        <f ca="1">DATEDIF(Employees!$F186,TODAY(),"Y")</f>
        <v>5</v>
      </c>
      <c r="C186" s="38">
        <v>7</v>
      </c>
      <c r="D186" s="39" t="str">
        <f ca="1">IFERROR(IF(AND(Hardworking_Employee[[#This Row],[Years]]&gt;=5,Hardworking_Employee[[#This Row],[Overtime Hours]]&gt;50),"Yes","No"),"Not Found")</f>
        <v>No</v>
      </c>
    </row>
    <row r="187" spans="1:4" x14ac:dyDescent="0.35">
      <c r="A187" s="40" t="str">
        <f>_xlfn.TEXTJOIN(" ",TRUE,Employees_Data[[#This Row],[First Name]],Employees_Data[[#This Row],[Last Name]])</f>
        <v>Diea Almarstani</v>
      </c>
      <c r="B187" s="41">
        <f ca="1">DATEDIF(Employees!$F187,TODAY(),"Y")</f>
        <v>7</v>
      </c>
      <c r="C187" s="42">
        <v>0</v>
      </c>
      <c r="D187" s="43" t="str">
        <f ca="1">IFERROR(IF(AND(Hardworking_Employee[[#This Row],[Years]]&gt;=5,Hardworking_Employee[[#This Row],[Overtime Hours]]&gt;50),"Yes","No"),"Not Found")</f>
        <v>No</v>
      </c>
    </row>
    <row r="188" spans="1:4" x14ac:dyDescent="0.35">
      <c r="A188" s="36" t="str">
        <f>_xlfn.TEXTJOIN(" ",TRUE,Employees_Data[[#This Row],[First Name]],Employees_Data[[#This Row],[Last Name]])</f>
        <v>Muhamad Siedih</v>
      </c>
      <c r="B188" s="37">
        <f ca="1">DATEDIF(Employees!$F188,TODAY(),"Y")</f>
        <v>8</v>
      </c>
      <c r="C188" s="38">
        <v>5</v>
      </c>
      <c r="D188" s="39" t="str">
        <f ca="1">IFERROR(IF(AND(Hardworking_Employee[[#This Row],[Years]]&gt;=5,Hardworking_Employee[[#This Row],[Overtime Hours]]&gt;50),"Yes","No"),"Not Found")</f>
        <v>No</v>
      </c>
    </row>
    <row r="189" spans="1:4" x14ac:dyDescent="0.35">
      <c r="A189" s="40" t="str">
        <f>_xlfn.TEXTJOIN(" ",TRUE,Employees_Data[[#This Row],[First Name]],Employees_Data[[#This Row],[Last Name]])</f>
        <v>Bisam Almisri</v>
      </c>
      <c r="B189" s="41">
        <f ca="1">DATEDIF(Employees!$F189,TODAY(),"Y")</f>
        <v>7</v>
      </c>
      <c r="C189" s="42">
        <v>1</v>
      </c>
      <c r="D189" s="43" t="str">
        <f ca="1">IFERROR(IF(AND(Hardworking_Employee[[#This Row],[Years]]&gt;=5,Hardworking_Employee[[#This Row],[Overtime Hours]]&gt;50),"Yes","No"),"Not Found")</f>
        <v>No</v>
      </c>
    </row>
    <row r="190" spans="1:4" x14ac:dyDescent="0.35">
      <c r="A190" s="36" t="str">
        <f>_xlfn.TEXTJOIN(" ",TRUE,Employees_Data[[#This Row],[First Name]],Employees_Data[[#This Row],[Last Name]])</f>
        <v>Muhamad Alkhatib</v>
      </c>
      <c r="B190" s="37">
        <f ca="1">DATEDIF(Employees!$F190,TODAY(),"Y")</f>
        <v>8</v>
      </c>
      <c r="C190" s="38">
        <v>10</v>
      </c>
      <c r="D190" s="39" t="str">
        <f ca="1">IFERROR(IF(AND(Hardworking_Employee[[#This Row],[Years]]&gt;=5,Hardworking_Employee[[#This Row],[Overtime Hours]]&gt;50),"Yes","No"),"Not Found")</f>
        <v>No</v>
      </c>
    </row>
    <row r="191" spans="1:4" x14ac:dyDescent="0.35">
      <c r="A191" s="40" t="str">
        <f>_xlfn.TEXTJOIN(" ",TRUE,Employees_Data[[#This Row],[First Name]],Employees_Data[[#This Row],[Last Name]])</f>
        <v>Muhamad Rghid</v>
      </c>
      <c r="B191" s="41">
        <f ca="1">DATEDIF(Employees!$F191,TODAY(),"Y")</f>
        <v>6</v>
      </c>
      <c r="C191" s="42">
        <v>2</v>
      </c>
      <c r="D191" s="43" t="str">
        <f ca="1">IFERROR(IF(AND(Hardworking_Employee[[#This Row],[Years]]&gt;=5,Hardworking_Employee[[#This Row],[Overtime Hours]]&gt;50),"Yes","No"),"Not Found")</f>
        <v>No</v>
      </c>
    </row>
    <row r="192" spans="1:4" x14ac:dyDescent="0.35">
      <c r="A192" s="36" t="str">
        <f>_xlfn.TEXTJOIN(" ",TRUE,Employees_Data[[#This Row],[First Name]],Employees_Data[[#This Row],[Last Name]])</f>
        <v>Omar Shakir</v>
      </c>
      <c r="B192" s="37">
        <f ca="1">DATEDIF(Employees!$F192,TODAY(),"Y")</f>
        <v>7</v>
      </c>
      <c r="C192" s="38">
        <v>23</v>
      </c>
      <c r="D192" s="39" t="str">
        <f ca="1">IFERROR(IF(AND(Hardworking_Employee[[#This Row],[Years]]&gt;=5,Hardworking_Employee[[#This Row],[Overtime Hours]]&gt;50),"Yes","No"),"Not Found")</f>
        <v>No</v>
      </c>
    </row>
    <row r="193" spans="1:4" x14ac:dyDescent="0.35">
      <c r="A193" s="40" t="str">
        <f>_xlfn.TEXTJOIN(" ",TRUE,Employees_Data[[#This Row],[First Name]],Employees_Data[[#This Row],[Last Name]])</f>
        <v>Aryj Hamada</v>
      </c>
      <c r="B193" s="41">
        <f ca="1">DATEDIF(Employees!$F193,TODAY(),"Y")</f>
        <v>6</v>
      </c>
      <c r="C193" s="42">
        <v>8</v>
      </c>
      <c r="D193" s="43" t="str">
        <f ca="1">IFERROR(IF(AND(Hardworking_Employee[[#This Row],[Years]]&gt;=5,Hardworking_Employee[[#This Row],[Overtime Hours]]&gt;50),"Yes","No"),"Not Found")</f>
        <v>No</v>
      </c>
    </row>
    <row r="194" spans="1:4" x14ac:dyDescent="0.35">
      <c r="A194" s="36" t="str">
        <f>_xlfn.TEXTJOIN(" ",TRUE,Employees_Data[[#This Row],[First Name]],Employees_Data[[#This Row],[Last Name]])</f>
        <v>Madlin Saeid</v>
      </c>
      <c r="B194" s="37">
        <f ca="1">DATEDIF(Employees!$F194,TODAY(),"Y")</f>
        <v>6</v>
      </c>
      <c r="C194" s="38">
        <v>9</v>
      </c>
      <c r="D194" s="39" t="str">
        <f ca="1">IFERROR(IF(AND(Hardworking_Employee[[#This Row],[Years]]&gt;=5,Hardworking_Employee[[#This Row],[Overtime Hours]]&gt;50),"Yes","No"),"Not Found")</f>
        <v>No</v>
      </c>
    </row>
    <row r="195" spans="1:4" x14ac:dyDescent="0.35">
      <c r="A195" s="40" t="str">
        <f>_xlfn.TEXTJOIN(" ",TRUE,Employees_Data[[#This Row],[First Name]],Employees_Data[[#This Row],[Last Name]])</f>
        <v>Rybal Sabagh</v>
      </c>
      <c r="B195" s="41">
        <f ca="1">DATEDIF(Employees!$F195,TODAY(),"Y")</f>
        <v>6</v>
      </c>
      <c r="C195" s="42">
        <v>3</v>
      </c>
      <c r="D195" s="43" t="str">
        <f ca="1">IFERROR(IF(AND(Hardworking_Employee[[#This Row],[Years]]&gt;=5,Hardworking_Employee[[#This Row],[Overtime Hours]]&gt;50),"Yes","No"),"Not Found")</f>
        <v>No</v>
      </c>
    </row>
    <row r="196" spans="1:4" x14ac:dyDescent="0.35">
      <c r="A196" s="36" t="str">
        <f>_xlfn.TEXTJOIN(" ",TRUE,Employees_Data[[#This Row],[First Name]],Employees_Data[[#This Row],[Last Name]])</f>
        <v>Samar Alqutb</v>
      </c>
      <c r="B196" s="37">
        <f ca="1">DATEDIF(Employees!$F196,TODAY(),"Y")</f>
        <v>8</v>
      </c>
      <c r="C196" s="38">
        <v>9</v>
      </c>
      <c r="D196" s="39" t="str">
        <f ca="1">IFERROR(IF(AND(Hardworking_Employee[[#This Row],[Years]]&gt;=5,Hardworking_Employee[[#This Row],[Overtime Hours]]&gt;50),"Yes","No"),"Not Found")</f>
        <v>No</v>
      </c>
    </row>
    <row r="197" spans="1:4" x14ac:dyDescent="0.35">
      <c r="A197" s="40" t="str">
        <f>_xlfn.TEXTJOIN(" ",TRUE,Employees_Data[[#This Row],[First Name]],Employees_Data[[#This Row],[Last Name]])</f>
        <v>Eala Murad</v>
      </c>
      <c r="B197" s="41">
        <f ca="1">DATEDIF(Employees!$F197,TODAY(),"Y")</f>
        <v>10</v>
      </c>
      <c r="C197" s="42">
        <v>4</v>
      </c>
      <c r="D197" s="43" t="str">
        <f ca="1">IFERROR(IF(AND(Hardworking_Employee[[#This Row],[Years]]&gt;=5,Hardworking_Employee[[#This Row],[Overtime Hours]]&gt;50),"Yes","No"),"Not Found")</f>
        <v>No</v>
      </c>
    </row>
    <row r="198" spans="1:4" x14ac:dyDescent="0.35">
      <c r="A198" s="36" t="str">
        <f>_xlfn.TEXTJOIN(" ",TRUE,Employees_Data[[#This Row],[First Name]],Employees_Data[[#This Row],[Last Name]])</f>
        <v>Ahmad Salih</v>
      </c>
      <c r="B198" s="37">
        <f ca="1">DATEDIF(Employees!$F198,TODAY(),"Y")</f>
        <v>7</v>
      </c>
      <c r="C198" s="38">
        <v>0</v>
      </c>
      <c r="D198" s="39" t="str">
        <f ca="1">IFERROR(IF(AND(Hardworking_Employee[[#This Row],[Years]]&gt;=5,Hardworking_Employee[[#This Row],[Overtime Hours]]&gt;50),"Yes","No"),"Not Found")</f>
        <v>No</v>
      </c>
    </row>
    <row r="199" spans="1:4" x14ac:dyDescent="0.35">
      <c r="A199" s="40" t="str">
        <f>_xlfn.TEXTJOIN(" ",TRUE,Employees_Data[[#This Row],[First Name]],Employees_Data[[#This Row],[Last Name]])</f>
        <v>Ibrahim Alhamid</v>
      </c>
      <c r="B199" s="41">
        <f ca="1">DATEDIF(Employees!$F199,TODAY(),"Y")</f>
        <v>5</v>
      </c>
      <c r="C199" s="42">
        <v>68</v>
      </c>
      <c r="D199" s="43" t="str">
        <f ca="1">IFERROR(IF(AND(Hardworking_Employee[[#This Row],[Years]]&gt;=5,Hardworking_Employee[[#This Row],[Overtime Hours]]&gt;50),"Yes","No"),"Not Found")</f>
        <v>Yes</v>
      </c>
    </row>
    <row r="200" spans="1:4" x14ac:dyDescent="0.35">
      <c r="A200" s="36" t="str">
        <f>_xlfn.TEXTJOIN(" ",TRUE,Employees_Data[[#This Row],[First Name]],Employees_Data[[#This Row],[Last Name]])</f>
        <v>Muhamad Alziyat</v>
      </c>
      <c r="B200" s="37">
        <f ca="1">DATEDIF(Employees!$F200,TODAY(),"Y")</f>
        <v>7</v>
      </c>
      <c r="C200" s="38">
        <v>1</v>
      </c>
      <c r="D200" s="39" t="str">
        <f ca="1">IFERROR(IF(AND(Hardworking_Employee[[#This Row],[Years]]&gt;=5,Hardworking_Employee[[#This Row],[Overtime Hours]]&gt;50),"Yes","No"),"Not Found")</f>
        <v>No</v>
      </c>
    </row>
    <row r="201" spans="1:4" x14ac:dyDescent="0.35">
      <c r="A201" s="40" t="str">
        <f>_xlfn.TEXTJOIN(" ",TRUE,Employees_Data[[#This Row],[First Name]],Employees_Data[[#This Row],[Last Name]])</f>
        <v>Ali Nhl</v>
      </c>
      <c r="B201" s="41">
        <f ca="1">DATEDIF(Employees!$F201,TODAY(),"Y")</f>
        <v>7</v>
      </c>
      <c r="C201" s="42">
        <v>7</v>
      </c>
      <c r="D201" s="43" t="str">
        <f ca="1">IFERROR(IF(AND(Hardworking_Employee[[#This Row],[Years]]&gt;=5,Hardworking_Employee[[#This Row],[Overtime Hours]]&gt;50),"Yes","No"),"Not Found")</f>
        <v>No</v>
      </c>
    </row>
    <row r="202" spans="1:4" x14ac:dyDescent="0.35">
      <c r="A202" s="36" t="str">
        <f>_xlfn.TEXTJOIN(" ",TRUE,Employees_Data[[#This Row],[First Name]],Employees_Data[[#This Row],[Last Name]])</f>
        <v>Saed Alsiyah</v>
      </c>
      <c r="B202" s="37">
        <f ca="1">DATEDIF(Employees!$F202,TODAY(),"Y")</f>
        <v>7</v>
      </c>
      <c r="C202" s="38">
        <v>8</v>
      </c>
      <c r="D202" s="39" t="str">
        <f ca="1">IFERROR(IF(AND(Hardworking_Employee[[#This Row],[Years]]&gt;=5,Hardworking_Employee[[#This Row],[Overtime Hours]]&gt;50),"Yes","No"),"Not Found")</f>
        <v>No</v>
      </c>
    </row>
    <row r="203" spans="1:4" x14ac:dyDescent="0.35">
      <c r="A203" s="40" t="str">
        <f>_xlfn.TEXTJOIN(" ",TRUE,Employees_Data[[#This Row],[First Name]],Employees_Data[[#This Row],[Last Name]])</f>
        <v>Majdy Rafaea</v>
      </c>
      <c r="B203" s="41">
        <f ca="1">DATEDIF(Employees!$F203,TODAY(),"Y")</f>
        <v>6</v>
      </c>
      <c r="C203" s="42">
        <v>10</v>
      </c>
      <c r="D203" s="43" t="str">
        <f ca="1">IFERROR(IF(AND(Hardworking_Employee[[#This Row],[Years]]&gt;=5,Hardworking_Employee[[#This Row],[Overtime Hours]]&gt;50),"Yes","No"),"Not Found")</f>
        <v>No</v>
      </c>
    </row>
    <row r="204" spans="1:4" x14ac:dyDescent="0.35">
      <c r="A204" s="36" t="str">
        <f>_xlfn.TEXTJOIN(" ",TRUE,Employees_Data[[#This Row],[First Name]],Employees_Data[[#This Row],[Last Name]])</f>
        <v>Ihsan Eazu</v>
      </c>
      <c r="B204" s="37">
        <f ca="1">DATEDIF(Employees!$F204,TODAY(),"Y")</f>
        <v>7</v>
      </c>
      <c r="C204" s="38">
        <v>9</v>
      </c>
      <c r="D204" s="39" t="str">
        <f ca="1">IFERROR(IF(AND(Hardworking_Employee[[#This Row],[Years]]&gt;=5,Hardworking_Employee[[#This Row],[Overtime Hours]]&gt;50),"Yes","No"),"Not Found")</f>
        <v>No</v>
      </c>
    </row>
    <row r="205" spans="1:4" x14ac:dyDescent="0.35">
      <c r="A205" s="40" t="str">
        <f>_xlfn.TEXTJOIN(" ",TRUE,Employees_Data[[#This Row],[First Name]],Employees_Data[[#This Row],[Last Name]])</f>
        <v>Iad Alshaykh</v>
      </c>
      <c r="B205" s="41">
        <f ca="1">DATEDIF(Employees!$F205,TODAY(),"Y")</f>
        <v>8</v>
      </c>
      <c r="C205" s="42">
        <v>73</v>
      </c>
      <c r="D205" s="43" t="str">
        <f ca="1">IFERROR(IF(AND(Hardworking_Employee[[#This Row],[Years]]&gt;=5,Hardworking_Employee[[#This Row],[Overtime Hours]]&gt;50),"Yes","No"),"Not Found")</f>
        <v>Yes</v>
      </c>
    </row>
    <row r="206" spans="1:4" x14ac:dyDescent="0.35">
      <c r="A206" s="36" t="str">
        <f>_xlfn.TEXTJOIN(" ",TRUE,Employees_Data[[#This Row],[First Name]],Employees_Data[[#This Row],[Last Name]])</f>
        <v>Bara Alrrashid</v>
      </c>
      <c r="B206" s="37">
        <f ca="1">DATEDIF(Employees!$F206,TODAY(),"Y")</f>
        <v>9</v>
      </c>
      <c r="C206" s="38">
        <v>8</v>
      </c>
      <c r="D206" s="39" t="str">
        <f ca="1">IFERROR(IF(AND(Hardworking_Employee[[#This Row],[Years]]&gt;=5,Hardworking_Employee[[#This Row],[Overtime Hours]]&gt;50),"Yes","No"),"Not Found")</f>
        <v>No</v>
      </c>
    </row>
    <row r="207" spans="1:4" x14ac:dyDescent="0.35">
      <c r="A207" s="40" t="str">
        <f>_xlfn.TEXTJOIN(" ",TRUE,Employees_Data[[#This Row],[First Name]],Employees_Data[[#This Row],[Last Name]])</f>
        <v>Fadi Nuna</v>
      </c>
      <c r="B207" s="41">
        <f ca="1">DATEDIF(Employees!$F207,TODAY(),"Y")</f>
        <v>7</v>
      </c>
      <c r="C207" s="42">
        <v>5</v>
      </c>
      <c r="D207" s="43" t="str">
        <f ca="1">IFERROR(IF(AND(Hardworking_Employee[[#This Row],[Years]]&gt;=5,Hardworking_Employee[[#This Row],[Overtime Hours]]&gt;50),"Yes","No"),"Not Found")</f>
        <v>No</v>
      </c>
    </row>
    <row r="208" spans="1:4" x14ac:dyDescent="0.35">
      <c r="A208" s="36" t="str">
        <f>_xlfn.TEXTJOIN(" ",TRUE,Employees_Data[[#This Row],[First Name]],Employees_Data[[#This Row],[Last Name]])</f>
        <v>Muhamad Salah</v>
      </c>
      <c r="B208" s="37">
        <f ca="1">DATEDIF(Employees!$F208,TODAY(),"Y")</f>
        <v>5</v>
      </c>
      <c r="C208" s="38">
        <v>13</v>
      </c>
      <c r="D208" s="39" t="str">
        <f ca="1">IFERROR(IF(AND(Hardworking_Employee[[#This Row],[Years]]&gt;=5,Hardworking_Employee[[#This Row],[Overtime Hours]]&gt;50),"Yes","No"),"Not Found")</f>
        <v>No</v>
      </c>
    </row>
    <row r="209" spans="1:4" x14ac:dyDescent="0.35">
      <c r="A209" s="40" t="str">
        <f>_xlfn.TEXTJOIN(" ",TRUE,Employees_Data[[#This Row],[First Name]],Employees_Data[[#This Row],[Last Name]])</f>
        <v>Bima Mustafaa</v>
      </c>
      <c r="B209" s="41">
        <f ca="1">DATEDIF(Employees!$F209,TODAY(),"Y")</f>
        <v>5</v>
      </c>
      <c r="C209" s="42">
        <v>1</v>
      </c>
      <c r="D209" s="43" t="str">
        <f ca="1">IFERROR(IF(AND(Hardworking_Employee[[#This Row],[Years]]&gt;=5,Hardworking_Employee[[#This Row],[Overtime Hours]]&gt;50),"Yes","No"),"Not Found")</f>
        <v>No</v>
      </c>
    </row>
    <row r="210" spans="1:4" x14ac:dyDescent="0.35">
      <c r="A210" s="36" t="str">
        <f>_xlfn.TEXTJOIN(" ",TRUE,Employees_Data[[#This Row],[First Name]],Employees_Data[[#This Row],[Last Name]])</f>
        <v>Husam Abu Shwmr</v>
      </c>
      <c r="B210" s="37">
        <f ca="1">DATEDIF(Employees!$F210,TODAY(),"Y")</f>
        <v>8</v>
      </c>
      <c r="C210" s="38">
        <v>0</v>
      </c>
      <c r="D210" s="39" t="str">
        <f ca="1">IFERROR(IF(AND(Hardworking_Employee[[#This Row],[Years]]&gt;=5,Hardworking_Employee[[#This Row],[Overtime Hours]]&gt;50),"Yes","No"),"Not Found")</f>
        <v>No</v>
      </c>
    </row>
    <row r="211" spans="1:4" x14ac:dyDescent="0.35">
      <c r="A211" s="40" t="str">
        <f>_xlfn.TEXTJOIN(" ",TRUE,Employees_Data[[#This Row],[First Name]],Employees_Data[[#This Row],[Last Name]])</f>
        <v>Abdalrahmin Turkmany</v>
      </c>
      <c r="B211" s="41">
        <f ca="1">DATEDIF(Employees!$F211,TODAY(),"Y")</f>
        <v>7</v>
      </c>
      <c r="C211" s="42">
        <v>6</v>
      </c>
      <c r="D211" s="43" t="str">
        <f ca="1">IFERROR(IF(AND(Hardworking_Employee[[#This Row],[Years]]&gt;=5,Hardworking_Employee[[#This Row],[Overtime Hours]]&gt;50),"Yes","No"),"Not Found")</f>
        <v>No</v>
      </c>
    </row>
    <row r="212" spans="1:4" x14ac:dyDescent="0.35">
      <c r="A212" s="36" t="str">
        <f>_xlfn.TEXTJOIN(" ",TRUE,Employees_Data[[#This Row],[First Name]],Employees_Data[[#This Row],[Last Name]])</f>
        <v>Majdulyn Alhakim</v>
      </c>
      <c r="B212" s="37">
        <f ca="1">DATEDIF(Employees!$F212,TODAY(),"Y")</f>
        <v>8</v>
      </c>
      <c r="C212" s="38">
        <v>10</v>
      </c>
      <c r="D212" s="39" t="str">
        <f ca="1">IFERROR(IF(AND(Hardworking_Employee[[#This Row],[Years]]&gt;=5,Hardworking_Employee[[#This Row],[Overtime Hours]]&gt;50),"Yes","No"),"Not Found")</f>
        <v>No</v>
      </c>
    </row>
    <row r="213" spans="1:4" x14ac:dyDescent="0.35">
      <c r="A213" s="40" t="str">
        <f>_xlfn.TEXTJOIN(" ",TRUE,Employees_Data[[#This Row],[First Name]],Employees_Data[[#This Row],[Last Name]])</f>
        <v>Ahmad Abu Jaysh</v>
      </c>
      <c r="B213" s="41">
        <f ca="1">DATEDIF(Employees!$F213,TODAY(),"Y")</f>
        <v>9</v>
      </c>
      <c r="C213" s="42">
        <v>87</v>
      </c>
      <c r="D213" s="43" t="str">
        <f ca="1">IFERROR(IF(AND(Hardworking_Employee[[#This Row],[Years]]&gt;=5,Hardworking_Employee[[#This Row],[Overtime Hours]]&gt;50),"Yes","No"),"Not Found")</f>
        <v>Yes</v>
      </c>
    </row>
    <row r="214" spans="1:4" x14ac:dyDescent="0.35">
      <c r="A214" s="36" t="str">
        <f>_xlfn.TEXTJOIN(" ",TRUE,Employees_Data[[#This Row],[First Name]],Employees_Data[[#This Row],[Last Name]])</f>
        <v>Majid Aleusud</v>
      </c>
      <c r="B214" s="37">
        <f ca="1">DATEDIF(Employees!$F214,TODAY(),"Y")</f>
        <v>6</v>
      </c>
      <c r="C214" s="38">
        <v>7</v>
      </c>
      <c r="D214" s="39" t="str">
        <f ca="1">IFERROR(IF(AND(Hardworking_Employee[[#This Row],[Years]]&gt;=5,Hardworking_Employee[[#This Row],[Overtime Hours]]&gt;50),"Yes","No"),"Not Found")</f>
        <v>No</v>
      </c>
    </row>
    <row r="215" spans="1:4" x14ac:dyDescent="0.35">
      <c r="A215" s="40" t="str">
        <f>_xlfn.TEXTJOIN(" ",TRUE,Employees_Data[[#This Row],[First Name]],Employees_Data[[#This Row],[Last Name]])</f>
        <v>Bashshar Shakhashiru</v>
      </c>
      <c r="B215" s="41">
        <f ca="1">DATEDIF(Employees!$F215,TODAY(),"Y")</f>
        <v>9</v>
      </c>
      <c r="C215" s="42">
        <v>11</v>
      </c>
      <c r="D215" s="43" t="str">
        <f ca="1">IFERROR(IF(AND(Hardworking_Employee[[#This Row],[Years]]&gt;=5,Hardworking_Employee[[#This Row],[Overtime Hours]]&gt;50),"Yes","No"),"Not Found")</f>
        <v>No</v>
      </c>
    </row>
    <row r="216" spans="1:4" x14ac:dyDescent="0.35">
      <c r="A216" s="36" t="str">
        <f>_xlfn.TEXTJOIN(" ",TRUE,Employees_Data[[#This Row],[First Name]],Employees_Data[[#This Row],[Last Name]])</f>
        <v>Malik Alshaykh</v>
      </c>
      <c r="B216" s="37">
        <f ca="1">DATEDIF(Employees!$F216,TODAY(),"Y")</f>
        <v>5</v>
      </c>
      <c r="C216" s="38">
        <v>0</v>
      </c>
      <c r="D216" s="39" t="str">
        <f ca="1">IFERROR(IF(AND(Hardworking_Employee[[#This Row],[Years]]&gt;=5,Hardworking_Employee[[#This Row],[Overtime Hours]]&gt;50),"Yes","No"),"Not Found")</f>
        <v>No</v>
      </c>
    </row>
    <row r="217" spans="1:4" x14ac:dyDescent="0.35">
      <c r="A217" s="40" t="str">
        <f>_xlfn.TEXTJOIN(" ",TRUE,Employees_Data[[#This Row],[First Name]],Employees_Data[[#This Row],[Last Name]])</f>
        <v>Omar Zarzur</v>
      </c>
      <c r="B217" s="41">
        <f ca="1">DATEDIF(Employees!$F217,TODAY(),"Y")</f>
        <v>9</v>
      </c>
      <c r="C217" s="42">
        <v>7</v>
      </c>
      <c r="D217" s="43" t="str">
        <f ca="1">IFERROR(IF(AND(Hardworking_Employee[[#This Row],[Years]]&gt;=5,Hardworking_Employee[[#This Row],[Overtime Hours]]&gt;50),"Yes","No"),"Not Found")</f>
        <v>No</v>
      </c>
    </row>
    <row r="218" spans="1:4" x14ac:dyDescent="0.35">
      <c r="A218" s="36" t="str">
        <f>_xlfn.TEXTJOIN(" ",TRUE,Employees_Data[[#This Row],[First Name]],Employees_Data[[#This Row],[Last Name]])</f>
        <v>Hasan Iismaeil</v>
      </c>
      <c r="B218" s="37">
        <f ca="1">DATEDIF(Employees!$F218,TODAY(),"Y")</f>
        <v>6</v>
      </c>
      <c r="C218" s="38">
        <v>0</v>
      </c>
      <c r="D218" s="39" t="str">
        <f ca="1">IFERROR(IF(AND(Hardworking_Employee[[#This Row],[Years]]&gt;=5,Hardworking_Employee[[#This Row],[Overtime Hours]]&gt;50),"Yes","No"),"Not Found")</f>
        <v>No</v>
      </c>
    </row>
    <row r="219" spans="1:4" x14ac:dyDescent="0.35">
      <c r="A219" s="40" t="str">
        <f>_xlfn.TEXTJOIN(" ",TRUE,Employees_Data[[#This Row],[First Name]],Employees_Data[[#This Row],[Last Name]])</f>
        <v>Husayn Abu Nasir</v>
      </c>
      <c r="B219" s="41">
        <f ca="1">DATEDIF(Employees!$F219,TODAY(),"Y")</f>
        <v>8</v>
      </c>
      <c r="C219" s="42">
        <v>1</v>
      </c>
      <c r="D219" s="43" t="str">
        <f ca="1">IFERROR(IF(AND(Hardworking_Employee[[#This Row],[Years]]&gt;=5,Hardworking_Employee[[#This Row],[Overtime Hours]]&gt;50),"Yes","No"),"Not Found")</f>
        <v>No</v>
      </c>
    </row>
    <row r="220" spans="1:4" x14ac:dyDescent="0.35">
      <c r="A220" s="36" t="str">
        <f>_xlfn.TEXTJOIN(" ",TRUE,Employees_Data[[#This Row],[First Name]],Employees_Data[[#This Row],[Last Name]])</f>
        <v>Mazin Earabi</v>
      </c>
      <c r="B220" s="37">
        <f ca="1">DATEDIF(Employees!$F220,TODAY(),"Y")</f>
        <v>10</v>
      </c>
      <c r="C220" s="38">
        <v>0</v>
      </c>
      <c r="D220" s="39" t="str">
        <f ca="1">IFERROR(IF(AND(Hardworking_Employee[[#This Row],[Years]]&gt;=5,Hardworking_Employee[[#This Row],[Overtime Hours]]&gt;50),"Yes","No"),"Not Found")</f>
        <v>No</v>
      </c>
    </row>
    <row r="221" spans="1:4" x14ac:dyDescent="0.35">
      <c r="A221" s="40" t="str">
        <f>_xlfn.TEXTJOIN(" ",TRUE,Employees_Data[[#This Row],[First Name]],Employees_Data[[#This Row],[Last Name]])</f>
        <v>Zahir Eisaa</v>
      </c>
      <c r="B221" s="41">
        <f ca="1">DATEDIF(Employees!$F221,TODAY(),"Y")</f>
        <v>6</v>
      </c>
      <c r="C221" s="42">
        <v>10</v>
      </c>
      <c r="D221" s="43" t="str">
        <f ca="1">IFERROR(IF(AND(Hardworking_Employee[[#This Row],[Years]]&gt;=5,Hardworking_Employee[[#This Row],[Overtime Hours]]&gt;50),"Yes","No"),"Not Found")</f>
        <v>No</v>
      </c>
    </row>
    <row r="222" spans="1:4" x14ac:dyDescent="0.35">
      <c r="A222" s="36" t="str">
        <f>_xlfn.TEXTJOIN(" ",TRUE,Employees_Data[[#This Row],[First Name]],Employees_Data[[#This Row],[Last Name]])</f>
        <v>Lama Sabiq</v>
      </c>
      <c r="B222" s="37">
        <f ca="1">DATEDIF(Employees!$F222,TODAY(),"Y")</f>
        <v>7</v>
      </c>
      <c r="C222" s="38">
        <v>4</v>
      </c>
      <c r="D222" s="39" t="str">
        <f ca="1">IFERROR(IF(AND(Hardworking_Employee[[#This Row],[Years]]&gt;=5,Hardworking_Employee[[#This Row],[Overtime Hours]]&gt;50),"Yes","No"),"Not Found")</f>
        <v>No</v>
      </c>
    </row>
    <row r="223" spans="1:4" x14ac:dyDescent="0.35">
      <c r="A223" s="40" t="str">
        <f>_xlfn.TEXTJOIN(" ",TRUE,Employees_Data[[#This Row],[First Name]],Employees_Data[[#This Row],[Last Name]])</f>
        <v>Tariq Dw</v>
      </c>
      <c r="B223" s="41">
        <f ca="1">DATEDIF(Employees!$F223,TODAY(),"Y")</f>
        <v>6</v>
      </c>
      <c r="C223" s="42">
        <v>12</v>
      </c>
      <c r="D223" s="43" t="str">
        <f ca="1">IFERROR(IF(AND(Hardworking_Employee[[#This Row],[Years]]&gt;=5,Hardworking_Employee[[#This Row],[Overtime Hours]]&gt;50),"Yes","No"),"Not Found")</f>
        <v>No</v>
      </c>
    </row>
    <row r="224" spans="1:4" x14ac:dyDescent="0.35">
      <c r="A224" s="36" t="str">
        <f>_xlfn.TEXTJOIN(" ",TRUE,Employees_Data[[#This Row],[First Name]],Employees_Data[[#This Row],[Last Name]])</f>
        <v>Jawaher Shaykhus</v>
      </c>
      <c r="B224" s="37">
        <f ca="1">DATEDIF(Employees!$F224,TODAY(),"Y")</f>
        <v>8</v>
      </c>
      <c r="C224" s="38">
        <v>2</v>
      </c>
      <c r="D224" s="39" t="str">
        <f ca="1">IFERROR(IF(AND(Hardworking_Employee[[#This Row],[Years]]&gt;=5,Hardworking_Employee[[#This Row],[Overtime Hours]]&gt;50),"Yes","No"),"Not Found")</f>
        <v>No</v>
      </c>
    </row>
    <row r="225" spans="1:4" x14ac:dyDescent="0.35">
      <c r="A225" s="40" t="str">
        <f>_xlfn.TEXTJOIN(" ",TRUE,Employees_Data[[#This Row],[First Name]],Employees_Data[[#This Row],[Last Name]])</f>
        <v>Emam Mansur</v>
      </c>
      <c r="B225" s="41">
        <f ca="1">DATEDIF(Employees!$F225,TODAY(),"Y")</f>
        <v>7</v>
      </c>
      <c r="C225" s="42">
        <v>10</v>
      </c>
      <c r="D225" s="43" t="str">
        <f ca="1">IFERROR(IF(AND(Hardworking_Employee[[#This Row],[Years]]&gt;=5,Hardworking_Employee[[#This Row],[Overtime Hours]]&gt;50),"Yes","No"),"Not Found")</f>
        <v>No</v>
      </c>
    </row>
    <row r="226" spans="1:4" x14ac:dyDescent="0.35">
      <c r="A226" s="36" t="str">
        <f>_xlfn.TEXTJOIN(" ",TRUE,Employees_Data[[#This Row],[First Name]],Employees_Data[[#This Row],[Last Name]])</f>
        <v>Muhamad Bulta</v>
      </c>
      <c r="B226" s="37">
        <f ca="1">DATEDIF(Employees!$F226,TODAY(),"Y")</f>
        <v>7</v>
      </c>
      <c r="C226" s="38">
        <v>64</v>
      </c>
      <c r="D226" s="39" t="str">
        <f ca="1">IFERROR(IF(AND(Hardworking_Employee[[#This Row],[Years]]&gt;=5,Hardworking_Employee[[#This Row],[Overtime Hours]]&gt;50),"Yes","No"),"Not Found")</f>
        <v>Yes</v>
      </c>
    </row>
    <row r="227" spans="1:4" x14ac:dyDescent="0.35">
      <c r="A227" s="40" t="str">
        <f>_xlfn.TEXTJOIN(" ",TRUE,Employees_Data[[#This Row],[First Name]],Employees_Data[[#This Row],[Last Name]])</f>
        <v>Fatin Hamshu</v>
      </c>
      <c r="B227" s="41">
        <f ca="1">DATEDIF(Employees!$F227,TODAY(),"Y")</f>
        <v>7</v>
      </c>
      <c r="C227" s="42">
        <v>8</v>
      </c>
      <c r="D227" s="43" t="str">
        <f ca="1">IFERROR(IF(AND(Hardworking_Employee[[#This Row],[Years]]&gt;=5,Hardworking_Employee[[#This Row],[Overtime Hours]]&gt;50),"Yes","No"),"Not Found")</f>
        <v>No</v>
      </c>
    </row>
    <row r="228" spans="1:4" x14ac:dyDescent="0.35">
      <c r="A228" s="36" t="str">
        <f>_xlfn.TEXTJOIN(" ",TRUE,Employees_Data[[#This Row],[First Name]],Employees_Data[[#This Row],[Last Name]])</f>
        <v>Abd Alruhmin Alnasar</v>
      </c>
      <c r="B228" s="37">
        <f ca="1">DATEDIF(Employees!$F228,TODAY(),"Y")</f>
        <v>7</v>
      </c>
      <c r="C228" s="38">
        <v>7</v>
      </c>
      <c r="D228" s="39" t="str">
        <f ca="1">IFERROR(IF(AND(Hardworking_Employee[[#This Row],[Years]]&gt;=5,Hardworking_Employee[[#This Row],[Overtime Hours]]&gt;50),"Yes","No"),"Not Found")</f>
        <v>No</v>
      </c>
    </row>
    <row r="229" spans="1:4" x14ac:dyDescent="0.35">
      <c r="A229" s="40" t="str">
        <f>_xlfn.TEXTJOIN(" ",TRUE,Employees_Data[[#This Row],[First Name]],Employees_Data[[#This Row],[Last Name]])</f>
        <v>Fatin Red</v>
      </c>
      <c r="B229" s="41">
        <f ca="1">DATEDIF(Employees!$F229,TODAY(),"Y")</f>
        <v>7</v>
      </c>
      <c r="C229" s="42">
        <v>16</v>
      </c>
      <c r="D229" s="43" t="str">
        <f ca="1">IFERROR(IF(AND(Hardworking_Employee[[#This Row],[Years]]&gt;=5,Hardworking_Employee[[#This Row],[Overtime Hours]]&gt;50),"Yes","No"),"Not Found")</f>
        <v>No</v>
      </c>
    </row>
    <row r="230" spans="1:4" x14ac:dyDescent="0.35">
      <c r="A230" s="36" t="str">
        <f>_xlfn.TEXTJOIN(" ",TRUE,Employees_Data[[#This Row],[First Name]],Employees_Data[[#This Row],[Last Name]])</f>
        <v>Ali Muhamad</v>
      </c>
      <c r="B230" s="37">
        <f ca="1">DATEDIF(Employees!$F230,TODAY(),"Y")</f>
        <v>8</v>
      </c>
      <c r="C230" s="38">
        <v>7</v>
      </c>
      <c r="D230" s="39" t="str">
        <f ca="1">IFERROR(IF(AND(Hardworking_Employee[[#This Row],[Years]]&gt;=5,Hardworking_Employee[[#This Row],[Overtime Hours]]&gt;50),"Yes","No"),"Not Found")</f>
        <v>No</v>
      </c>
    </row>
    <row r="231" spans="1:4" x14ac:dyDescent="0.35">
      <c r="A231" s="40" t="str">
        <f>_xlfn.TEXTJOIN(" ",TRUE,Employees_Data[[#This Row],[First Name]],Employees_Data[[#This Row],[Last Name]])</f>
        <v>Rima Dwalyby</v>
      </c>
      <c r="B231" s="41">
        <f ca="1">DATEDIF(Employees!$F231,TODAY(),"Y")</f>
        <v>6</v>
      </c>
      <c r="C231" s="42">
        <v>7</v>
      </c>
      <c r="D231" s="43" t="str">
        <f ca="1">IFERROR(IF(AND(Hardworking_Employee[[#This Row],[Years]]&gt;=5,Hardworking_Employee[[#This Row],[Overtime Hours]]&gt;50),"Yes","No"),"Not Found")</f>
        <v>No</v>
      </c>
    </row>
    <row r="232" spans="1:4" x14ac:dyDescent="0.35">
      <c r="A232" s="36" t="str">
        <f>_xlfn.TEXTJOIN(" ",TRUE,Employees_Data[[#This Row],[First Name]],Employees_Data[[#This Row],[Last Name]])</f>
        <v>Basil Musaa</v>
      </c>
      <c r="B232" s="37">
        <f ca="1">DATEDIF(Employees!$F232,TODAY(),"Y")</f>
        <v>8</v>
      </c>
      <c r="C232" s="38">
        <v>4</v>
      </c>
      <c r="D232" s="39" t="str">
        <f ca="1">IFERROR(IF(AND(Hardworking_Employee[[#This Row],[Years]]&gt;=5,Hardworking_Employee[[#This Row],[Overtime Hours]]&gt;50),"Yes","No"),"Not Found")</f>
        <v>No</v>
      </c>
    </row>
    <row r="233" spans="1:4" x14ac:dyDescent="0.35">
      <c r="A233" s="40" t="str">
        <f>_xlfn.TEXTJOIN(" ",TRUE,Employees_Data[[#This Row],[First Name]],Employees_Data[[#This Row],[Last Name]])</f>
        <v>Antuan Litansdurfr</v>
      </c>
      <c r="B233" s="41">
        <f ca="1">DATEDIF(Employees!$F233,TODAY(),"Y")</f>
        <v>7</v>
      </c>
      <c r="C233" s="42">
        <v>2</v>
      </c>
      <c r="D233" s="43" t="str">
        <f ca="1">IFERROR(IF(AND(Hardworking_Employee[[#This Row],[Years]]&gt;=5,Hardworking_Employee[[#This Row],[Overtime Hours]]&gt;50),"Yes","No"),"Not Found")</f>
        <v>No</v>
      </c>
    </row>
    <row r="234" spans="1:4" x14ac:dyDescent="0.35">
      <c r="A234" s="36" t="str">
        <f>_xlfn.TEXTJOIN(" ",TRUE,Employees_Data[[#This Row],[First Name]],Employees_Data[[#This Row],[Last Name]])</f>
        <v>Rashad Iidris</v>
      </c>
      <c r="B234" s="37">
        <f ca="1">DATEDIF(Employees!$F234,TODAY(),"Y")</f>
        <v>6</v>
      </c>
      <c r="C234" s="38">
        <v>10</v>
      </c>
      <c r="D234" s="39" t="str">
        <f ca="1">IFERROR(IF(AND(Hardworking_Employee[[#This Row],[Years]]&gt;=5,Hardworking_Employee[[#This Row],[Overtime Hours]]&gt;50),"Yes","No"),"Not Found")</f>
        <v>No</v>
      </c>
    </row>
    <row r="235" spans="1:4" x14ac:dyDescent="0.35">
      <c r="A235" s="40" t="str">
        <f>_xlfn.TEXTJOIN(" ",TRUE,Employees_Data[[#This Row],[First Name]],Employees_Data[[#This Row],[Last Name]])</f>
        <v>Bidralidin Ahmdghrybw</v>
      </c>
      <c r="B235" s="41">
        <f ca="1">DATEDIF(Employees!$F235,TODAY(),"Y")</f>
        <v>6</v>
      </c>
      <c r="C235" s="42">
        <v>12</v>
      </c>
      <c r="D235" s="43" t="str">
        <f ca="1">IFERROR(IF(AND(Hardworking_Employee[[#This Row],[Years]]&gt;=5,Hardworking_Employee[[#This Row],[Overtime Hours]]&gt;50),"Yes","No"),"Not Found")</f>
        <v>No</v>
      </c>
    </row>
    <row r="236" spans="1:4" x14ac:dyDescent="0.35">
      <c r="A236" s="36" t="str">
        <f>_xlfn.TEXTJOIN(" ",TRUE,Employees_Data[[#This Row],[First Name]],Employees_Data[[#This Row],[Last Name]])</f>
        <v>Faras Shaykh</v>
      </c>
      <c r="B236" s="37">
        <f ca="1">DATEDIF(Employees!$F236,TODAY(),"Y")</f>
        <v>7</v>
      </c>
      <c r="C236" s="38">
        <v>9</v>
      </c>
      <c r="D236" s="39" t="str">
        <f ca="1">IFERROR(IF(AND(Hardworking_Employee[[#This Row],[Years]]&gt;=5,Hardworking_Employee[[#This Row],[Overtime Hours]]&gt;50),"Yes","No"),"Not Found")</f>
        <v>No</v>
      </c>
    </row>
    <row r="237" spans="1:4" x14ac:dyDescent="0.35">
      <c r="A237" s="40" t="str">
        <f>_xlfn.TEXTJOIN(" ",TRUE,Employees_Data[[#This Row],[First Name]],Employees_Data[[#This Row],[Last Name]])</f>
        <v>Muhamad Eala Aldiyn</v>
      </c>
      <c r="B237" s="41">
        <f ca="1">DATEDIF(Employees!$F237,TODAY(),"Y")</f>
        <v>6</v>
      </c>
      <c r="C237" s="42">
        <v>13</v>
      </c>
      <c r="D237" s="43" t="str">
        <f ca="1">IFERROR(IF(AND(Hardworking_Employee[[#This Row],[Years]]&gt;=5,Hardworking_Employee[[#This Row],[Overtime Hours]]&gt;50),"Yes","No"),"Not Found")</f>
        <v>No</v>
      </c>
    </row>
    <row r="238" spans="1:4" x14ac:dyDescent="0.35">
      <c r="A238" s="36" t="str">
        <f>_xlfn.TEXTJOIN(" ",TRUE,Employees_Data[[#This Row],[First Name]],Employees_Data[[#This Row],[Last Name]])</f>
        <v>Khaldun Suqbani</v>
      </c>
      <c r="B238" s="37">
        <f ca="1">DATEDIF(Employees!$F238,TODAY(),"Y")</f>
        <v>6</v>
      </c>
      <c r="C238" s="38">
        <v>34</v>
      </c>
      <c r="D238" s="39" t="str">
        <f ca="1">IFERROR(IF(AND(Hardworking_Employee[[#This Row],[Years]]&gt;=5,Hardworking_Employee[[#This Row],[Overtime Hours]]&gt;50),"Yes","No"),"Not Found")</f>
        <v>No</v>
      </c>
    </row>
    <row r="239" spans="1:4" x14ac:dyDescent="0.35">
      <c r="A239" s="40" t="str">
        <f>_xlfn.TEXTJOIN(" ",TRUE,Employees_Data[[#This Row],[First Name]],Employees_Data[[#This Row],[Last Name]])</f>
        <v>Lwna Albahra</v>
      </c>
      <c r="B239" s="41">
        <f ca="1">DATEDIF(Employees!$F239,TODAY(),"Y")</f>
        <v>6</v>
      </c>
      <c r="C239" s="42">
        <v>6</v>
      </c>
      <c r="D239" s="43" t="str">
        <f ca="1">IFERROR(IF(AND(Hardworking_Employee[[#This Row],[Years]]&gt;=5,Hardworking_Employee[[#This Row],[Overtime Hours]]&gt;50),"Yes","No"),"Not Found")</f>
        <v>No</v>
      </c>
    </row>
    <row r="240" spans="1:4" x14ac:dyDescent="0.35">
      <c r="A240" s="36" t="str">
        <f>_xlfn.TEXTJOIN(" ",TRUE,Employees_Data[[#This Row],[First Name]],Employees_Data[[#This Row],[Last Name]])</f>
        <v>Ahmad Ezqul</v>
      </c>
      <c r="B240" s="37">
        <f ca="1">DATEDIF(Employees!$F240,TODAY(),"Y")</f>
        <v>8</v>
      </c>
      <c r="C240" s="38">
        <v>13</v>
      </c>
      <c r="D240" s="39" t="str">
        <f ca="1">IFERROR(IF(AND(Hardworking_Employee[[#This Row],[Years]]&gt;=5,Hardworking_Employee[[#This Row],[Overtime Hours]]&gt;50),"Yes","No"),"Not Found")</f>
        <v>No</v>
      </c>
    </row>
    <row r="241" spans="1:4" x14ac:dyDescent="0.35">
      <c r="A241" s="40" t="str">
        <f>_xlfn.TEXTJOIN(" ",TRUE,Employees_Data[[#This Row],[First Name]],Employees_Data[[#This Row],[Last Name]])</f>
        <v>Salih Alhamuwd</v>
      </c>
      <c r="B241" s="41">
        <f ca="1">DATEDIF(Employees!$F241,TODAY(),"Y")</f>
        <v>7</v>
      </c>
      <c r="C241" s="42">
        <v>3</v>
      </c>
      <c r="D241" s="43" t="str">
        <f ca="1">IFERROR(IF(AND(Hardworking_Employee[[#This Row],[Years]]&gt;=5,Hardworking_Employee[[#This Row],[Overtime Hours]]&gt;50),"Yes","No"),"Not Found")</f>
        <v>No</v>
      </c>
    </row>
    <row r="242" spans="1:4" x14ac:dyDescent="0.35">
      <c r="A242" s="36" t="str">
        <f>_xlfn.TEXTJOIN(" ",TRUE,Employees_Data[[#This Row],[First Name]],Employees_Data[[#This Row],[Last Name]])</f>
        <v>Muhamad Abu Zamil</v>
      </c>
      <c r="B242" s="37">
        <f ca="1">DATEDIF(Employees!$F242,TODAY(),"Y")</f>
        <v>10</v>
      </c>
      <c r="C242" s="38">
        <v>7</v>
      </c>
      <c r="D242" s="39" t="str">
        <f ca="1">IFERROR(IF(AND(Hardworking_Employee[[#This Row],[Years]]&gt;=5,Hardworking_Employee[[#This Row],[Overtime Hours]]&gt;50),"Yes","No"),"Not Found")</f>
        <v>No</v>
      </c>
    </row>
    <row r="243" spans="1:4" x14ac:dyDescent="0.35">
      <c r="A243" s="40" t="str">
        <f>_xlfn.TEXTJOIN(" ",TRUE,Employees_Data[[#This Row],[First Name]],Employees_Data[[#This Row],[Last Name]])</f>
        <v>Fuad Alsyqly</v>
      </c>
      <c r="B243" s="41">
        <f ca="1">DATEDIF(Employees!$F243,TODAY(),"Y")</f>
        <v>7</v>
      </c>
      <c r="C243" s="42">
        <v>0</v>
      </c>
      <c r="D243" s="43" t="str">
        <f ca="1">IFERROR(IF(AND(Hardworking_Employee[[#This Row],[Years]]&gt;=5,Hardworking_Employee[[#This Row],[Overtime Hours]]&gt;50),"Yes","No"),"Not Found")</f>
        <v>No</v>
      </c>
    </row>
    <row r="244" spans="1:4" x14ac:dyDescent="0.35">
      <c r="A244" s="36" t="str">
        <f>_xlfn.TEXTJOIN(" ",TRUE,Employees_Data[[#This Row],[First Name]],Employees_Data[[#This Row],[Last Name]])</f>
        <v>Muhamad Aldamshqi</v>
      </c>
      <c r="B244" s="37">
        <f ca="1">DATEDIF(Employees!$F244,TODAY(),"Y")</f>
        <v>7</v>
      </c>
      <c r="C244" s="38">
        <v>3</v>
      </c>
      <c r="D244" s="39" t="str">
        <f ca="1">IFERROR(IF(AND(Hardworking_Employee[[#This Row],[Years]]&gt;=5,Hardworking_Employee[[#This Row],[Overtime Hours]]&gt;50),"Yes","No"),"Not Found")</f>
        <v>No</v>
      </c>
    </row>
    <row r="245" spans="1:4" x14ac:dyDescent="0.35">
      <c r="A245" s="40" t="str">
        <f>_xlfn.TEXTJOIN(" ",TRUE,Employees_Data[[#This Row],[First Name]],Employees_Data[[#This Row],[Last Name]])</f>
        <v>Sayf Aldiyn Alkmshh</v>
      </c>
      <c r="B245" s="41">
        <f ca="1">DATEDIF(Employees!$F245,TODAY(),"Y")</f>
        <v>7</v>
      </c>
      <c r="C245" s="42">
        <v>8</v>
      </c>
      <c r="D245" s="43" t="str">
        <f ca="1">IFERROR(IF(AND(Hardworking_Employee[[#This Row],[Years]]&gt;=5,Hardworking_Employee[[#This Row],[Overtime Hours]]&gt;50),"Yes","No"),"Not Found")</f>
        <v>No</v>
      </c>
    </row>
    <row r="246" spans="1:4" x14ac:dyDescent="0.35">
      <c r="A246" s="36" t="str">
        <f>_xlfn.TEXTJOIN(" ",TRUE,Employees_Data[[#This Row],[First Name]],Employees_Data[[#This Row],[Last Name]])</f>
        <v>Muhamad Alssati</v>
      </c>
      <c r="B246" s="37">
        <f ca="1">DATEDIF(Employees!$F246,TODAY(),"Y")</f>
        <v>6</v>
      </c>
      <c r="C246" s="38">
        <v>8</v>
      </c>
      <c r="D246" s="39" t="str">
        <f ca="1">IFERROR(IF(AND(Hardworking_Employee[[#This Row],[Years]]&gt;=5,Hardworking_Employee[[#This Row],[Overtime Hours]]&gt;50),"Yes","No"),"Not Found")</f>
        <v>No</v>
      </c>
    </row>
    <row r="247" spans="1:4" x14ac:dyDescent="0.35">
      <c r="A247" s="40" t="str">
        <f>_xlfn.TEXTJOIN(" ",TRUE,Employees_Data[[#This Row],[First Name]],Employees_Data[[#This Row],[Last Name]])</f>
        <v>Khalid Alem</v>
      </c>
      <c r="B247" s="41">
        <f ca="1">DATEDIF(Employees!$F247,TODAY(),"Y")</f>
        <v>5</v>
      </c>
      <c r="C247" s="42">
        <v>3</v>
      </c>
      <c r="D247" s="43" t="str">
        <f ca="1">IFERROR(IF(AND(Hardworking_Employee[[#This Row],[Years]]&gt;=5,Hardworking_Employee[[#This Row],[Overtime Hours]]&gt;50),"Yes","No"),"Not Found")</f>
        <v>No</v>
      </c>
    </row>
    <row r="248" spans="1:4" x14ac:dyDescent="0.35">
      <c r="A248" s="36" t="str">
        <f>_xlfn.TEXTJOIN(" ",TRUE,Employees_Data[[#This Row],[First Name]],Employees_Data[[#This Row],[Last Name]])</f>
        <v>Ayham Aleisaa</v>
      </c>
      <c r="B248" s="37">
        <f ca="1">DATEDIF(Employees!$F248,TODAY(),"Y")</f>
        <v>5</v>
      </c>
      <c r="C248" s="38">
        <v>1</v>
      </c>
      <c r="D248" s="39" t="str">
        <f ca="1">IFERROR(IF(AND(Hardworking_Employee[[#This Row],[Years]]&gt;=5,Hardworking_Employee[[#This Row],[Overtime Hours]]&gt;50),"Yes","No"),"Not Found")</f>
        <v>No</v>
      </c>
    </row>
    <row r="249" spans="1:4" x14ac:dyDescent="0.35">
      <c r="A249" s="40" t="str">
        <f>_xlfn.TEXTJOIN(" ",TRUE,Employees_Data[[#This Row],[First Name]],Employees_Data[[#This Row],[Last Name]])</f>
        <v>Abd Alruhmin Dulul</v>
      </c>
      <c r="B249" s="41">
        <f ca="1">DATEDIF(Employees!$F249,TODAY(),"Y")</f>
        <v>8</v>
      </c>
      <c r="C249" s="42">
        <v>4</v>
      </c>
      <c r="D249" s="43" t="str">
        <f ca="1">IFERROR(IF(AND(Hardworking_Employee[[#This Row],[Years]]&gt;=5,Hardworking_Employee[[#This Row],[Overtime Hours]]&gt;50),"Yes","No"),"Not Found")</f>
        <v>No</v>
      </c>
    </row>
    <row r="250" spans="1:4" x14ac:dyDescent="0.35">
      <c r="A250" s="36" t="str">
        <f>_xlfn.TEXTJOIN(" ",TRUE,Employees_Data[[#This Row],[First Name]],Employees_Data[[#This Row],[Last Name]])</f>
        <v>Ruba Aleid</v>
      </c>
      <c r="B250" s="37">
        <f ca="1">DATEDIF(Employees!$F250,TODAY(),"Y")</f>
        <v>8</v>
      </c>
      <c r="C250" s="38">
        <v>7</v>
      </c>
      <c r="D250" s="39" t="str">
        <f ca="1">IFERROR(IF(AND(Hardworking_Employee[[#This Row],[Years]]&gt;=5,Hardworking_Employee[[#This Row],[Overtime Hours]]&gt;50),"Yes","No"),"Not Found")</f>
        <v>No</v>
      </c>
    </row>
    <row r="251" spans="1:4" x14ac:dyDescent="0.35">
      <c r="A251" s="40" t="str">
        <f>_xlfn.TEXTJOIN(" ",TRUE,Employees_Data[[#This Row],[First Name]],Employees_Data[[#This Row],[Last Name]])</f>
        <v>Muhamad Badawiin</v>
      </c>
      <c r="B251" s="41">
        <f ca="1">DATEDIF(Employees!$F251,TODAY(),"Y")</f>
        <v>5</v>
      </c>
      <c r="C251" s="42">
        <v>86</v>
      </c>
      <c r="D251" s="43" t="str">
        <f ca="1">IFERROR(IF(AND(Hardworking_Employee[[#This Row],[Years]]&gt;=5,Hardworking_Employee[[#This Row],[Overtime Hours]]&gt;50),"Yes","No"),"Not Found")</f>
        <v>Yes</v>
      </c>
    </row>
    <row r="252" spans="1:4" x14ac:dyDescent="0.35">
      <c r="A252" s="36" t="str">
        <f>_xlfn.TEXTJOIN(" ",TRUE,Employees_Data[[#This Row],[First Name]],Employees_Data[[#This Row],[Last Name]])</f>
        <v>Sharihan Rihan</v>
      </c>
      <c r="B252" s="37">
        <f ca="1">DATEDIF(Employees!$F252,TODAY(),"Y")</f>
        <v>6</v>
      </c>
      <c r="C252" s="38">
        <v>12</v>
      </c>
      <c r="D252" s="39" t="str">
        <f ca="1">IFERROR(IF(AND(Hardworking_Employee[[#This Row],[Years]]&gt;=5,Hardworking_Employee[[#This Row],[Overtime Hours]]&gt;50),"Yes","No"),"Not Found")</f>
        <v>No</v>
      </c>
    </row>
    <row r="253" spans="1:4" x14ac:dyDescent="0.35">
      <c r="A253" s="40" t="str">
        <f>_xlfn.TEXTJOIN(" ",TRUE,Employees_Data[[#This Row],[First Name]],Employees_Data[[#This Row],[Last Name]])</f>
        <v>Ibrahim Alyasin</v>
      </c>
      <c r="B253" s="41">
        <f ca="1">DATEDIF(Employees!$F253,TODAY(),"Y")</f>
        <v>6</v>
      </c>
      <c r="C253" s="42">
        <v>5</v>
      </c>
      <c r="D253" s="43" t="str">
        <f ca="1">IFERROR(IF(AND(Hardworking_Employee[[#This Row],[Years]]&gt;=5,Hardworking_Employee[[#This Row],[Overtime Hours]]&gt;50),"Yes","No"),"Not Found")</f>
        <v>No</v>
      </c>
    </row>
    <row r="254" spans="1:4" x14ac:dyDescent="0.35">
      <c r="A254" s="36" t="str">
        <f>_xlfn.TEXTJOIN(" ",TRUE,Employees_Data[[#This Row],[First Name]],Employees_Data[[#This Row],[Last Name]])</f>
        <v>Iin Mulaliyun</v>
      </c>
      <c r="B254" s="37">
        <f ca="1">DATEDIF(Employees!$F254,TODAY(),"Y")</f>
        <v>6</v>
      </c>
      <c r="C254" s="38">
        <v>0</v>
      </c>
      <c r="D254" s="39" t="str">
        <f ca="1">IFERROR(IF(AND(Hardworking_Employee[[#This Row],[Years]]&gt;=5,Hardworking_Employee[[#This Row],[Overtime Hours]]&gt;50),"Yes","No"),"Not Found")</f>
        <v>No</v>
      </c>
    </row>
    <row r="255" spans="1:4" x14ac:dyDescent="0.35">
      <c r="A255" s="40" t="str">
        <f>_xlfn.TEXTJOIN(" ",TRUE,Employees_Data[[#This Row],[First Name]],Employees_Data[[#This Row],[Last Name]])</f>
        <v>Danah Almahdi</v>
      </c>
      <c r="B255" s="41">
        <f ca="1">DATEDIF(Employees!$F255,TODAY(),"Y")</f>
        <v>10</v>
      </c>
      <c r="C255" s="42">
        <v>2</v>
      </c>
      <c r="D255" s="43" t="str">
        <f ca="1">IFERROR(IF(AND(Hardworking_Employee[[#This Row],[Years]]&gt;=5,Hardworking_Employee[[#This Row],[Overtime Hours]]&gt;50),"Yes","No"),"Not Found")</f>
        <v>No</v>
      </c>
    </row>
    <row r="256" spans="1:4" x14ac:dyDescent="0.35">
      <c r="A256" s="36" t="str">
        <f>_xlfn.TEXTJOIN(" ",TRUE,Employees_Data[[#This Row],[First Name]],Employees_Data[[#This Row],[Last Name]])</f>
        <v>Muhamad Sakar</v>
      </c>
      <c r="B256" s="37">
        <f ca="1">DATEDIF(Employees!$F256,TODAY(),"Y")</f>
        <v>7</v>
      </c>
      <c r="C256" s="38">
        <v>9</v>
      </c>
      <c r="D256" s="39" t="str">
        <f ca="1">IFERROR(IF(AND(Hardworking_Employee[[#This Row],[Years]]&gt;=5,Hardworking_Employee[[#This Row],[Overtime Hours]]&gt;50),"Yes","No"),"Not Found")</f>
        <v>No</v>
      </c>
    </row>
    <row r="257" spans="1:4" x14ac:dyDescent="0.35">
      <c r="A257" s="40" t="str">
        <f>_xlfn.TEXTJOIN(" ",TRUE,Employees_Data[[#This Row],[First Name]],Employees_Data[[#This Row],[Last Name]])</f>
        <v>Lama Yasin</v>
      </c>
      <c r="B257" s="41">
        <f ca="1">DATEDIF(Employees!$F257,TODAY(),"Y")</f>
        <v>6</v>
      </c>
      <c r="C257" s="42">
        <v>5</v>
      </c>
      <c r="D257" s="43" t="str">
        <f ca="1">IFERROR(IF(AND(Hardworking_Employee[[#This Row],[Years]]&gt;=5,Hardworking_Employee[[#This Row],[Overtime Hours]]&gt;50),"Yes","No"),"Not Found")</f>
        <v>No</v>
      </c>
    </row>
    <row r="258" spans="1:4" x14ac:dyDescent="0.35">
      <c r="A258" s="36" t="str">
        <f>_xlfn.TEXTJOIN(" ",TRUE,Employees_Data[[#This Row],[First Name]],Employees_Data[[#This Row],[Last Name]])</f>
        <v>Asf Abultif</v>
      </c>
      <c r="B258" s="37">
        <f ca="1">DATEDIF(Employees!$F258,TODAY(),"Y")</f>
        <v>7</v>
      </c>
      <c r="C258" s="38">
        <v>7</v>
      </c>
      <c r="D258" s="39" t="str">
        <f ca="1">IFERROR(IF(AND(Hardworking_Employee[[#This Row],[Years]]&gt;=5,Hardworking_Employee[[#This Row],[Overtime Hours]]&gt;50),"Yes","No"),"Not Found")</f>
        <v>No</v>
      </c>
    </row>
    <row r="259" spans="1:4" x14ac:dyDescent="0.35">
      <c r="A259" s="40" t="str">
        <f>_xlfn.TEXTJOIN(" ",TRUE,Employees_Data[[#This Row],[First Name]],Employees_Data[[#This Row],[Last Name]])</f>
        <v>Ahmad Alshalaq</v>
      </c>
      <c r="B259" s="41">
        <f ca="1">DATEDIF(Employees!$F259,TODAY(),"Y")</f>
        <v>7</v>
      </c>
      <c r="C259" s="42">
        <v>13</v>
      </c>
      <c r="D259" s="43" t="str">
        <f ca="1">IFERROR(IF(AND(Hardworking_Employee[[#This Row],[Years]]&gt;=5,Hardworking_Employee[[#This Row],[Overtime Hours]]&gt;50),"Yes","No"),"Not Found")</f>
        <v>No</v>
      </c>
    </row>
    <row r="260" spans="1:4" x14ac:dyDescent="0.35">
      <c r="A260" s="36" t="str">
        <f>_xlfn.TEXTJOIN(" ",TRUE,Employees_Data[[#This Row],[First Name]],Employees_Data[[#This Row],[Last Name]])</f>
        <v>Mazin Zawal</v>
      </c>
      <c r="B260" s="37">
        <f ca="1">DATEDIF(Employees!$F260,TODAY(),"Y")</f>
        <v>6</v>
      </c>
      <c r="C260" s="38">
        <v>10</v>
      </c>
      <c r="D260" s="39" t="str">
        <f ca="1">IFERROR(IF(AND(Hardworking_Employee[[#This Row],[Years]]&gt;=5,Hardworking_Employee[[#This Row],[Overtime Hours]]&gt;50),"Yes","No"),"Not Found")</f>
        <v>No</v>
      </c>
    </row>
    <row r="261" spans="1:4" x14ac:dyDescent="0.35">
      <c r="A261" s="40" t="str">
        <f>_xlfn.TEXTJOIN(" ",TRUE,Employees_Data[[#This Row],[First Name]],Employees_Data[[#This Row],[Last Name]])</f>
        <v>Diana Aleabd</v>
      </c>
      <c r="B261" s="41">
        <f ca="1">DATEDIF(Employees!$F261,TODAY(),"Y")</f>
        <v>6</v>
      </c>
      <c r="C261" s="42">
        <v>5</v>
      </c>
      <c r="D261" s="43" t="str">
        <f ca="1">IFERROR(IF(AND(Hardworking_Employee[[#This Row],[Years]]&gt;=5,Hardworking_Employee[[#This Row],[Overtime Hours]]&gt;50),"Yes","No"),"Not Found")</f>
        <v>No</v>
      </c>
    </row>
    <row r="262" spans="1:4" x14ac:dyDescent="0.35">
      <c r="A262" s="36" t="str">
        <f>_xlfn.TEXTJOIN(" ",TRUE,Employees_Data[[#This Row],[First Name]],Employees_Data[[#This Row],[Last Name]])</f>
        <v>Kawkab Qarqazan</v>
      </c>
      <c r="B262" s="37">
        <f ca="1">DATEDIF(Employees!$F262,TODAY(),"Y")</f>
        <v>8</v>
      </c>
      <c r="C262" s="38">
        <v>2</v>
      </c>
      <c r="D262" s="39" t="str">
        <f ca="1">IFERROR(IF(AND(Hardworking_Employee[[#This Row],[Years]]&gt;=5,Hardworking_Employee[[#This Row],[Overtime Hours]]&gt;50),"Yes","No"),"Not Found")</f>
        <v>No</v>
      </c>
    </row>
    <row r="263" spans="1:4" x14ac:dyDescent="0.35">
      <c r="A263" s="40" t="str">
        <f>_xlfn.TEXTJOIN(" ",TRUE,Employees_Data[[#This Row],[First Name]],Employees_Data[[#This Row],[Last Name]])</f>
        <v>Thamir Abu Ghazy</v>
      </c>
      <c r="B263" s="41">
        <f ca="1">DATEDIF(Employees!$F263,TODAY(),"Y")</f>
        <v>8</v>
      </c>
      <c r="C263" s="42">
        <v>9</v>
      </c>
      <c r="D263" s="43" t="str">
        <f ca="1">IFERROR(IF(AND(Hardworking_Employee[[#This Row],[Years]]&gt;=5,Hardworking_Employee[[#This Row],[Overtime Hours]]&gt;50),"Yes","No"),"Not Found")</f>
        <v>No</v>
      </c>
    </row>
    <row r="264" spans="1:4" x14ac:dyDescent="0.35">
      <c r="A264" s="36" t="str">
        <f>_xlfn.TEXTJOIN(" ",TRUE,Employees_Data[[#This Row],[First Name]],Employees_Data[[#This Row],[Last Name]])</f>
        <v>Muhamad Alabth</v>
      </c>
      <c r="B264" s="37">
        <f ca="1">DATEDIF(Employees!$F264,TODAY(),"Y")</f>
        <v>7</v>
      </c>
      <c r="C264" s="38">
        <v>4</v>
      </c>
      <c r="D264" s="39" t="str">
        <f ca="1">IFERROR(IF(AND(Hardworking_Employee[[#This Row],[Years]]&gt;=5,Hardworking_Employee[[#This Row],[Overtime Hours]]&gt;50),"Yes","No"),"Not Found")</f>
        <v>No</v>
      </c>
    </row>
    <row r="265" spans="1:4" x14ac:dyDescent="0.35">
      <c r="A265" s="40" t="str">
        <f>_xlfn.TEXTJOIN(" ",TRUE,Employees_Data[[#This Row],[First Name]],Employees_Data[[#This Row],[Last Name]])</f>
        <v>Khadijah Abu Taqih</v>
      </c>
      <c r="B265" s="41">
        <f ca="1">DATEDIF(Employees!$F265,TODAY(),"Y")</f>
        <v>7</v>
      </c>
      <c r="C265" s="42">
        <v>5</v>
      </c>
      <c r="D265" s="43" t="str">
        <f ca="1">IFERROR(IF(AND(Hardworking_Employee[[#This Row],[Years]]&gt;=5,Hardworking_Employee[[#This Row],[Overtime Hours]]&gt;50),"Yes","No"),"Not Found")</f>
        <v>No</v>
      </c>
    </row>
    <row r="266" spans="1:4" x14ac:dyDescent="0.35">
      <c r="A266" s="36" t="str">
        <f>_xlfn.TEXTJOIN(" ",TRUE,Employees_Data[[#This Row],[First Name]],Employees_Data[[#This Row],[Last Name]])</f>
        <v>Salwaa Alsyd</v>
      </c>
      <c r="B266" s="37">
        <f ca="1">DATEDIF(Employees!$F266,TODAY(),"Y")</f>
        <v>8</v>
      </c>
      <c r="C266" s="38">
        <v>87</v>
      </c>
      <c r="D266" s="39" t="str">
        <f ca="1">IFERROR(IF(AND(Hardworking_Employee[[#This Row],[Years]]&gt;=5,Hardworking_Employee[[#This Row],[Overtime Hours]]&gt;50),"Yes","No"),"Not Found")</f>
        <v>Yes</v>
      </c>
    </row>
    <row r="267" spans="1:4" x14ac:dyDescent="0.35">
      <c r="A267" s="40" t="str">
        <f>_xlfn.TEXTJOIN(" ",TRUE,Employees_Data[[#This Row],[First Name]],Employees_Data[[#This Row],[Last Name]])</f>
        <v>Muayid Shbyb</v>
      </c>
      <c r="B267" s="41">
        <f ca="1">DATEDIF(Employees!$F267,TODAY(),"Y")</f>
        <v>7</v>
      </c>
      <c r="C267" s="42">
        <v>1</v>
      </c>
      <c r="D267" s="43" t="str">
        <f ca="1">IFERROR(IF(AND(Hardworking_Employee[[#This Row],[Years]]&gt;=5,Hardworking_Employee[[#This Row],[Overtime Hours]]&gt;50),"Yes","No"),"Not Found")</f>
        <v>No</v>
      </c>
    </row>
    <row r="268" spans="1:4" x14ac:dyDescent="0.35">
      <c r="A268" s="36" t="str">
        <f>_xlfn.TEXTJOIN(" ",TRUE,Employees_Data[[#This Row],[First Name]],Employees_Data[[#This Row],[Last Name]])</f>
        <v>Rannym Tyru</v>
      </c>
      <c r="B268" s="37">
        <f ca="1">DATEDIF(Employees!$F268,TODAY(),"Y")</f>
        <v>6</v>
      </c>
      <c r="C268" s="38">
        <v>45</v>
      </c>
      <c r="D268" s="39" t="str">
        <f ca="1">IFERROR(IF(AND(Hardworking_Employee[[#This Row],[Years]]&gt;=5,Hardworking_Employee[[#This Row],[Overtime Hours]]&gt;50),"Yes","No"),"Not Found")</f>
        <v>No</v>
      </c>
    </row>
    <row r="269" spans="1:4" x14ac:dyDescent="0.35">
      <c r="A269" s="40" t="str">
        <f>_xlfn.TEXTJOIN(" ",TRUE,Employees_Data[[#This Row],[First Name]],Employees_Data[[#This Row],[Last Name]])</f>
        <v>Iin Alhaju Bikr</v>
      </c>
      <c r="B269" s="41">
        <f ca="1">DATEDIF(Employees!$F269,TODAY(),"Y")</f>
        <v>6</v>
      </c>
      <c r="C269" s="42">
        <v>9</v>
      </c>
      <c r="D269" s="43" t="str">
        <f ca="1">IFERROR(IF(AND(Hardworking_Employee[[#This Row],[Years]]&gt;=5,Hardworking_Employee[[#This Row],[Overtime Hours]]&gt;50),"Yes","No"),"Not Found")</f>
        <v>No</v>
      </c>
    </row>
    <row r="270" spans="1:4" x14ac:dyDescent="0.35">
      <c r="A270" s="36" t="str">
        <f>_xlfn.TEXTJOIN(" ",TRUE,Employees_Data[[#This Row],[First Name]],Employees_Data[[#This Row],[Last Name]])</f>
        <v>Jihad Aldukifi</v>
      </c>
      <c r="B270" s="37">
        <f ca="1">DATEDIF(Employees!$F270,TODAY(),"Y")</f>
        <v>6</v>
      </c>
      <c r="C270" s="38">
        <v>3</v>
      </c>
      <c r="D270" s="39" t="str">
        <f ca="1">IFERROR(IF(AND(Hardworking_Employee[[#This Row],[Years]]&gt;=5,Hardworking_Employee[[#This Row],[Overtime Hours]]&gt;50),"Yes","No"),"Not Found")</f>
        <v>No</v>
      </c>
    </row>
    <row r="271" spans="1:4" x14ac:dyDescent="0.35">
      <c r="A271" s="40" t="str">
        <f>_xlfn.TEXTJOIN(" ",TRUE,Employees_Data[[#This Row],[First Name]],Employees_Data[[#This Row],[Last Name]])</f>
        <v>Sandurana Antun</v>
      </c>
      <c r="B271" s="41">
        <f ca="1">DATEDIF(Employees!$F271,TODAY(),"Y")</f>
        <v>7</v>
      </c>
      <c r="C271" s="42">
        <v>1</v>
      </c>
      <c r="D271" s="43" t="str">
        <f ca="1">IFERROR(IF(AND(Hardworking_Employee[[#This Row],[Years]]&gt;=5,Hardworking_Employee[[#This Row],[Overtime Hours]]&gt;50),"Yes","No"),"Not Found")</f>
        <v>No</v>
      </c>
    </row>
    <row r="272" spans="1:4" x14ac:dyDescent="0.35">
      <c r="A272" s="36" t="str">
        <f>_xlfn.TEXTJOIN(" ",TRUE,Employees_Data[[#This Row],[First Name]],Employees_Data[[#This Row],[Last Name]])</f>
        <v>Eala Darkzifli</v>
      </c>
      <c r="B272" s="37">
        <f ca="1">DATEDIF(Employees!$F272,TODAY(),"Y")</f>
        <v>7</v>
      </c>
      <c r="C272" s="38">
        <v>10</v>
      </c>
      <c r="D272" s="39" t="str">
        <f ca="1">IFERROR(IF(AND(Hardworking_Employee[[#This Row],[Years]]&gt;=5,Hardworking_Employee[[#This Row],[Overtime Hours]]&gt;50),"Yes","No"),"Not Found")</f>
        <v>No</v>
      </c>
    </row>
    <row r="273" spans="1:4" x14ac:dyDescent="0.35">
      <c r="A273" s="40" t="str">
        <f>_xlfn.TEXTJOIN(" ",TRUE,Employees_Data[[#This Row],[First Name]],Employees_Data[[#This Row],[Last Name]])</f>
        <v>Samir Alsaeid</v>
      </c>
      <c r="B273" s="41">
        <f ca="1">DATEDIF(Employees!$F273,TODAY(),"Y")</f>
        <v>7</v>
      </c>
      <c r="C273" s="42">
        <v>1</v>
      </c>
      <c r="D273" s="43" t="str">
        <f ca="1">IFERROR(IF(AND(Hardworking_Employee[[#This Row],[Years]]&gt;=5,Hardworking_Employee[[#This Row],[Overtime Hours]]&gt;50),"Yes","No"),"Not Found")</f>
        <v>No</v>
      </c>
    </row>
    <row r="274" spans="1:4" x14ac:dyDescent="0.35">
      <c r="A274" s="36" t="str">
        <f>_xlfn.TEXTJOIN(" ",TRUE,Employees_Data[[#This Row],[First Name]],Employees_Data[[#This Row],[Last Name]])</f>
        <v>Amir Alhifar</v>
      </c>
      <c r="B274" s="37">
        <f ca="1">DATEDIF(Employees!$F274,TODAY(),"Y")</f>
        <v>6</v>
      </c>
      <c r="C274" s="38">
        <v>5</v>
      </c>
      <c r="D274" s="39" t="str">
        <f ca="1">IFERROR(IF(AND(Hardworking_Employee[[#This Row],[Years]]&gt;=5,Hardworking_Employee[[#This Row],[Overtime Hours]]&gt;50),"Yes","No"),"Not Found")</f>
        <v>No</v>
      </c>
    </row>
    <row r="275" spans="1:4" x14ac:dyDescent="0.35">
      <c r="A275" s="40" t="str">
        <f>_xlfn.TEXTJOIN(" ",TRUE,Employees_Data[[#This Row],[First Name]],Employees_Data[[#This Row],[Last Name]])</f>
        <v>Lama Almala</v>
      </c>
      <c r="B275" s="41">
        <f ca="1">DATEDIF(Employees!$F275,TODAY(),"Y")</f>
        <v>7</v>
      </c>
      <c r="C275" s="42">
        <v>84</v>
      </c>
      <c r="D275" s="43" t="str">
        <f ca="1">IFERROR(IF(AND(Hardworking_Employee[[#This Row],[Years]]&gt;=5,Hardworking_Employee[[#This Row],[Overtime Hours]]&gt;50),"Yes","No"),"Not Found")</f>
        <v>Yes</v>
      </c>
    </row>
    <row r="276" spans="1:4" x14ac:dyDescent="0.35">
      <c r="A276" s="36" t="str">
        <f>_xlfn.TEXTJOIN(" ",TRUE,Employees_Data[[#This Row],[First Name]],Employees_Data[[#This Row],[Last Name]])</f>
        <v>Hasan Kalthum</v>
      </c>
      <c r="B276" s="37">
        <f ca="1">DATEDIF(Employees!$F276,TODAY(),"Y")</f>
        <v>7</v>
      </c>
      <c r="C276" s="38">
        <v>7</v>
      </c>
      <c r="D276" s="39" t="str">
        <f ca="1">IFERROR(IF(AND(Hardworking_Employee[[#This Row],[Years]]&gt;=5,Hardworking_Employee[[#This Row],[Overtime Hours]]&gt;50),"Yes","No"),"Not Found")</f>
        <v>No</v>
      </c>
    </row>
    <row r="277" spans="1:4" x14ac:dyDescent="0.35">
      <c r="A277" s="40" t="str">
        <f>_xlfn.TEXTJOIN(" ",TRUE,Employees_Data[[#This Row],[First Name]],Employees_Data[[#This Row],[Last Name]])</f>
        <v>Muhamad Saeadat</v>
      </c>
      <c r="B277" s="41">
        <f ca="1">DATEDIF(Employees!$F277,TODAY(),"Y")</f>
        <v>7</v>
      </c>
      <c r="C277" s="42">
        <v>4</v>
      </c>
      <c r="D277" s="43" t="str">
        <f ca="1">IFERROR(IF(AND(Hardworking_Employee[[#This Row],[Years]]&gt;=5,Hardworking_Employee[[#This Row],[Overtime Hours]]&gt;50),"Yes","No"),"Not Found")</f>
        <v>No</v>
      </c>
    </row>
    <row r="278" spans="1:4" x14ac:dyDescent="0.35">
      <c r="A278" s="36" t="str">
        <f>_xlfn.TEXTJOIN(" ",TRUE,Employees_Data[[#This Row],[First Name]],Employees_Data[[#This Row],[Last Name]])</f>
        <v>Rana Eijrush</v>
      </c>
      <c r="B278" s="37">
        <f ca="1">DATEDIF(Employees!$F278,TODAY(),"Y")</f>
        <v>8</v>
      </c>
      <c r="C278" s="38">
        <v>4</v>
      </c>
      <c r="D278" s="39" t="str">
        <f ca="1">IFERROR(IF(AND(Hardworking_Employee[[#This Row],[Years]]&gt;=5,Hardworking_Employee[[#This Row],[Overtime Hours]]&gt;50),"Yes","No"),"Not Found")</f>
        <v>No</v>
      </c>
    </row>
    <row r="279" spans="1:4" x14ac:dyDescent="0.35">
      <c r="A279" s="40" t="str">
        <f>_xlfn.TEXTJOIN(" ",TRUE,Employees_Data[[#This Row],[First Name]],Employees_Data[[#This Row],[Last Name]])</f>
        <v>Tariq Alkinaya</v>
      </c>
      <c r="B279" s="41">
        <f ca="1">DATEDIF(Employees!$F279,TODAY(),"Y")</f>
        <v>7</v>
      </c>
      <c r="C279" s="42">
        <v>15</v>
      </c>
      <c r="D279" s="43" t="str">
        <f ca="1">IFERROR(IF(AND(Hardworking_Employee[[#This Row],[Years]]&gt;=5,Hardworking_Employee[[#This Row],[Overtime Hours]]&gt;50),"Yes","No"),"Not Found")</f>
        <v>No</v>
      </c>
    </row>
    <row r="280" spans="1:4" x14ac:dyDescent="0.35">
      <c r="A280" s="36" t="str">
        <f>_xlfn.TEXTJOIN(" ",TRUE,Employees_Data[[#This Row],[First Name]],Employees_Data[[#This Row],[Last Name]])</f>
        <v>Amjad Alrz</v>
      </c>
      <c r="B280" s="37">
        <f ca="1">DATEDIF(Employees!$F280,TODAY(),"Y")</f>
        <v>6</v>
      </c>
      <c r="C280" s="38">
        <v>13</v>
      </c>
      <c r="D280" s="39" t="str">
        <f ca="1">IFERROR(IF(AND(Hardworking_Employee[[#This Row],[Years]]&gt;=5,Hardworking_Employee[[#This Row],[Overtime Hours]]&gt;50),"Yes","No"),"Not Found")</f>
        <v>No</v>
      </c>
    </row>
    <row r="281" spans="1:4" x14ac:dyDescent="0.35">
      <c r="A281" s="40" t="str">
        <f>_xlfn.TEXTJOIN(" ",TRUE,Employees_Data[[#This Row],[First Name]],Employees_Data[[#This Row],[Last Name]])</f>
        <v>Daniah Alhariri</v>
      </c>
      <c r="B281" s="41">
        <f ca="1">DATEDIF(Employees!$F281,TODAY(),"Y")</f>
        <v>7</v>
      </c>
      <c r="C281" s="42">
        <v>9</v>
      </c>
      <c r="D281" s="43" t="str">
        <f ca="1">IFERROR(IF(AND(Hardworking_Employee[[#This Row],[Years]]&gt;=5,Hardworking_Employee[[#This Row],[Overtime Hours]]&gt;50),"Yes","No"),"Not Found")</f>
        <v>No</v>
      </c>
    </row>
    <row r="282" spans="1:4" x14ac:dyDescent="0.35">
      <c r="A282" s="36" t="str">
        <f>_xlfn.TEXTJOIN(" ",TRUE,Employees_Data[[#This Row],[First Name]],Employees_Data[[#This Row],[Last Name]])</f>
        <v>Hasan Quidr</v>
      </c>
      <c r="B282" s="37">
        <f ca="1">DATEDIF(Employees!$F282,TODAY(),"Y")</f>
        <v>6</v>
      </c>
      <c r="C282" s="38">
        <v>3</v>
      </c>
      <c r="D282" s="39" t="str">
        <f ca="1">IFERROR(IF(AND(Hardworking_Employee[[#This Row],[Years]]&gt;=5,Hardworking_Employee[[#This Row],[Overtime Hours]]&gt;50),"Yes","No"),"Not Found")</f>
        <v>No</v>
      </c>
    </row>
    <row r="283" spans="1:4" x14ac:dyDescent="0.35">
      <c r="A283" s="40" t="str">
        <f>_xlfn.TEXTJOIN(" ",TRUE,Employees_Data[[#This Row],[First Name]],Employees_Data[[#This Row],[Last Name]])</f>
        <v>Muhamad Shaykh Janid</v>
      </c>
      <c r="B283" s="41">
        <f ca="1">DATEDIF(Employees!$F283,TODAY(),"Y")</f>
        <v>6</v>
      </c>
      <c r="C283" s="42">
        <v>2</v>
      </c>
      <c r="D283" s="43" t="str">
        <f ca="1">IFERROR(IF(AND(Hardworking_Employee[[#This Row],[Years]]&gt;=5,Hardworking_Employee[[#This Row],[Overtime Hours]]&gt;50),"Yes","No"),"Not Found")</f>
        <v>No</v>
      </c>
    </row>
    <row r="284" spans="1:4" x14ac:dyDescent="0.35">
      <c r="A284" s="36" t="str">
        <f>_xlfn.TEXTJOIN(" ",TRUE,Employees_Data[[#This Row],[First Name]],Employees_Data[[#This Row],[Last Name]])</f>
        <v>Esamat Zaza</v>
      </c>
      <c r="B284" s="37">
        <f ca="1">DATEDIF(Employees!$F284,TODAY(),"Y")</f>
        <v>6</v>
      </c>
      <c r="C284" s="38">
        <v>13</v>
      </c>
      <c r="D284" s="39" t="str">
        <f ca="1">IFERROR(IF(AND(Hardworking_Employee[[#This Row],[Years]]&gt;=5,Hardworking_Employee[[#This Row],[Overtime Hours]]&gt;50),"Yes","No"),"Not Found")</f>
        <v>No</v>
      </c>
    </row>
    <row r="285" spans="1:4" x14ac:dyDescent="0.35">
      <c r="A285" s="40" t="str">
        <f>_xlfn.TEXTJOIN(" ",TRUE,Employees_Data[[#This Row],[First Name]],Employees_Data[[#This Row],[Last Name]])</f>
        <v>Fadi Hububati</v>
      </c>
      <c r="B285" s="41">
        <f ca="1">DATEDIF(Employees!$F285,TODAY(),"Y")</f>
        <v>7</v>
      </c>
      <c r="C285" s="42">
        <v>8</v>
      </c>
      <c r="D285" s="43" t="str">
        <f ca="1">IFERROR(IF(AND(Hardworking_Employee[[#This Row],[Years]]&gt;=5,Hardworking_Employee[[#This Row],[Overtime Hours]]&gt;50),"Yes","No"),"Not Found")</f>
        <v>No</v>
      </c>
    </row>
    <row r="286" spans="1:4" x14ac:dyDescent="0.35">
      <c r="A286" s="36" t="str">
        <f>_xlfn.TEXTJOIN(" ",TRUE,Employees_Data[[#This Row],[First Name]],Employees_Data[[#This Row],[Last Name]])</f>
        <v>Adnan Alhusayn</v>
      </c>
      <c r="B286" s="37">
        <f ca="1">DATEDIF(Employees!$F286,TODAY(),"Y")</f>
        <v>8</v>
      </c>
      <c r="C286" s="38">
        <v>8</v>
      </c>
      <c r="D286" s="39" t="str">
        <f ca="1">IFERROR(IF(AND(Hardworking_Employee[[#This Row],[Years]]&gt;=5,Hardworking_Employee[[#This Row],[Overtime Hours]]&gt;50),"Yes","No"),"Not Found")</f>
        <v>No</v>
      </c>
    </row>
    <row r="287" spans="1:4" x14ac:dyDescent="0.35">
      <c r="A287" s="40" t="str">
        <f>_xlfn.TEXTJOIN(" ",TRUE,Employees_Data[[#This Row],[First Name]],Employees_Data[[#This Row],[Last Name]])</f>
        <v>Muhamad Allibad</v>
      </c>
      <c r="B287" s="41">
        <f ca="1">DATEDIF(Employees!$F287,TODAY(),"Y")</f>
        <v>8</v>
      </c>
      <c r="C287" s="42">
        <v>5</v>
      </c>
      <c r="D287" s="43" t="str">
        <f ca="1">IFERROR(IF(AND(Hardworking_Employee[[#This Row],[Years]]&gt;=5,Hardworking_Employee[[#This Row],[Overtime Hours]]&gt;50),"Yes","No"),"Not Found")</f>
        <v>No</v>
      </c>
    </row>
    <row r="288" spans="1:4" x14ac:dyDescent="0.35">
      <c r="A288" s="36" t="str">
        <f>_xlfn.TEXTJOIN(" ",TRUE,Employees_Data[[#This Row],[First Name]],Employees_Data[[#This Row],[Last Name]])</f>
        <v>Tana Dahruj</v>
      </c>
      <c r="B288" s="37">
        <f ca="1">DATEDIF(Employees!$F288,TODAY(),"Y")</f>
        <v>6</v>
      </c>
      <c r="C288" s="38">
        <v>76</v>
      </c>
      <c r="D288" s="39" t="str">
        <f ca="1">IFERROR(IF(AND(Hardworking_Employee[[#This Row],[Years]]&gt;=5,Hardworking_Employee[[#This Row],[Overtime Hours]]&gt;50),"Yes","No"),"Not Found")</f>
        <v>Yes</v>
      </c>
    </row>
    <row r="289" spans="1:4" x14ac:dyDescent="0.35">
      <c r="A289" s="40" t="str">
        <f>_xlfn.TEXTJOIN(" ",TRUE,Employees_Data[[#This Row],[First Name]],Employees_Data[[#This Row],[Last Name]])</f>
        <v>Muhamad Almtlq</v>
      </c>
      <c r="B289" s="41">
        <f ca="1">DATEDIF(Employees!$F289,TODAY(),"Y")</f>
        <v>9</v>
      </c>
      <c r="C289" s="42">
        <v>80</v>
      </c>
      <c r="D289" s="43" t="str">
        <f ca="1">IFERROR(IF(AND(Hardworking_Employee[[#This Row],[Years]]&gt;=5,Hardworking_Employee[[#This Row],[Overtime Hours]]&gt;50),"Yes","No"),"Not Found")</f>
        <v>Yes</v>
      </c>
    </row>
    <row r="290" spans="1:4" x14ac:dyDescent="0.35">
      <c r="A290" s="36" t="str">
        <f>_xlfn.TEXTJOIN(" ",TRUE,Employees_Data[[#This Row],[First Name]],Employees_Data[[#This Row],[Last Name]])</f>
        <v>Sana Alhusayn</v>
      </c>
      <c r="B290" s="37">
        <f ca="1">DATEDIF(Employees!$F290,TODAY(),"Y")</f>
        <v>6</v>
      </c>
      <c r="C290" s="38">
        <v>3</v>
      </c>
      <c r="D290" s="39" t="str">
        <f ca="1">IFERROR(IF(AND(Hardworking_Employee[[#This Row],[Years]]&gt;=5,Hardworking_Employee[[#This Row],[Overtime Hours]]&gt;50),"Yes","No"),"Not Found")</f>
        <v>No</v>
      </c>
    </row>
    <row r="291" spans="1:4" x14ac:dyDescent="0.35">
      <c r="A291" s="40" t="str">
        <f>_xlfn.TEXTJOIN(" ",TRUE,Employees_Data[[#This Row],[First Name]],Employees_Data[[#This Row],[Last Name]])</f>
        <v>Muhamad Bdraldyn</v>
      </c>
      <c r="B291" s="41">
        <f ca="1">DATEDIF(Employees!$F291,TODAY(),"Y")</f>
        <v>8</v>
      </c>
      <c r="C291" s="42">
        <v>6</v>
      </c>
      <c r="D291" s="43" t="str">
        <f ca="1">IFERROR(IF(AND(Hardworking_Employee[[#This Row],[Years]]&gt;=5,Hardworking_Employee[[#This Row],[Overtime Hours]]&gt;50),"Yes","No"),"Not Found")</f>
        <v>No</v>
      </c>
    </row>
    <row r="292" spans="1:4" x14ac:dyDescent="0.35">
      <c r="A292" s="36" t="str">
        <f>_xlfn.TEXTJOIN(" ",TRUE,Employees_Data[[#This Row],[First Name]],Employees_Data[[#This Row],[Last Name]])</f>
        <v>Muhamad Eataya</v>
      </c>
      <c r="B292" s="37">
        <f ca="1">DATEDIF(Employees!$F292,TODAY(),"Y")</f>
        <v>8</v>
      </c>
      <c r="C292" s="38">
        <v>0</v>
      </c>
      <c r="D292" s="39" t="str">
        <f ca="1">IFERROR(IF(AND(Hardworking_Employee[[#This Row],[Years]]&gt;=5,Hardworking_Employee[[#This Row],[Overtime Hours]]&gt;50),"Yes","No"),"Not Found")</f>
        <v>No</v>
      </c>
    </row>
    <row r="293" spans="1:4" x14ac:dyDescent="0.35">
      <c r="A293" s="40" t="str">
        <f>_xlfn.TEXTJOIN(" ",TRUE,Employees_Data[[#This Row],[First Name]],Employees_Data[[#This Row],[Last Name]])</f>
        <v>Fadi Aljizamati</v>
      </c>
      <c r="B293" s="41">
        <f ca="1">DATEDIF(Employees!$F293,TODAY(),"Y")</f>
        <v>7</v>
      </c>
      <c r="C293" s="42">
        <v>3</v>
      </c>
      <c r="D293" s="43" t="str">
        <f ca="1">IFERROR(IF(AND(Hardworking_Employee[[#This Row],[Years]]&gt;=5,Hardworking_Employee[[#This Row],[Overtime Hours]]&gt;50),"Yes","No"),"Not Found")</f>
        <v>No</v>
      </c>
    </row>
    <row r="294" spans="1:4" x14ac:dyDescent="0.35">
      <c r="A294" s="36" t="str">
        <f>_xlfn.TEXTJOIN(" ",TRUE,Employees_Data[[#This Row],[First Name]],Employees_Data[[#This Row],[Last Name]])</f>
        <v>Alaa Alqasir</v>
      </c>
      <c r="B294" s="37">
        <f ca="1">DATEDIF(Employees!$F294,TODAY(),"Y")</f>
        <v>10</v>
      </c>
      <c r="C294" s="38">
        <v>3</v>
      </c>
      <c r="D294" s="39" t="str">
        <f ca="1">IFERROR(IF(AND(Hardworking_Employee[[#This Row],[Years]]&gt;=5,Hardworking_Employee[[#This Row],[Overtime Hours]]&gt;50),"Yes","No"),"Not Found")</f>
        <v>No</v>
      </c>
    </row>
    <row r="295" spans="1:4" x14ac:dyDescent="0.35">
      <c r="A295" s="40" t="str">
        <f>_xlfn.TEXTJOIN(" ",TRUE,Employees_Data[[#This Row],[First Name]],Employees_Data[[#This Row],[Last Name]])</f>
        <v>Abd Alruhmin Salih</v>
      </c>
      <c r="B295" s="41">
        <f ca="1">DATEDIF(Employees!$F295,TODAY(),"Y")</f>
        <v>9</v>
      </c>
      <c r="C295" s="42">
        <v>1</v>
      </c>
      <c r="D295" s="43" t="str">
        <f ca="1">IFERROR(IF(AND(Hardworking_Employee[[#This Row],[Years]]&gt;=5,Hardworking_Employee[[#This Row],[Overtime Hours]]&gt;50),"Yes","No"),"Not Found")</f>
        <v>No</v>
      </c>
    </row>
    <row r="296" spans="1:4" x14ac:dyDescent="0.35">
      <c r="A296" s="36" t="str">
        <f>_xlfn.TEXTJOIN(" ",TRUE,Employees_Data[[#This Row],[First Name]],Employees_Data[[#This Row],[Last Name]])</f>
        <v>Shilan Ahmad</v>
      </c>
      <c r="B296" s="37">
        <f ca="1">DATEDIF(Employees!$F296,TODAY(),"Y")</f>
        <v>9</v>
      </c>
      <c r="C296" s="38">
        <v>6</v>
      </c>
      <c r="D296" s="39" t="str">
        <f ca="1">IFERROR(IF(AND(Hardworking_Employee[[#This Row],[Years]]&gt;=5,Hardworking_Employee[[#This Row],[Overtime Hours]]&gt;50),"Yes","No"),"Not Found")</f>
        <v>No</v>
      </c>
    </row>
    <row r="297" spans="1:4" x14ac:dyDescent="0.35">
      <c r="A297" s="40" t="str">
        <f>_xlfn.TEXTJOIN(" ",TRUE,Employees_Data[[#This Row],[First Name]],Employees_Data[[#This Row],[Last Name]])</f>
        <v>Hasan Aljasim</v>
      </c>
      <c r="B297" s="41">
        <f ca="1">DATEDIF(Employees!$F297,TODAY(),"Y")</f>
        <v>9</v>
      </c>
      <c r="C297" s="42">
        <v>1</v>
      </c>
      <c r="D297" s="43" t="str">
        <f ca="1">IFERROR(IF(AND(Hardworking_Employee[[#This Row],[Years]]&gt;=5,Hardworking_Employee[[#This Row],[Overtime Hours]]&gt;50),"Yes","No"),"Not Found")</f>
        <v>No</v>
      </c>
    </row>
    <row r="298" spans="1:4" x14ac:dyDescent="0.35">
      <c r="A298" s="36" t="str">
        <f>_xlfn.TEXTJOIN(" ",TRUE,Employees_Data[[#This Row],[First Name]],Employees_Data[[#This Row],[Last Name]])</f>
        <v>Khalil Salam</v>
      </c>
      <c r="B298" s="37">
        <f ca="1">DATEDIF(Employees!$F298,TODAY(),"Y")</f>
        <v>10</v>
      </c>
      <c r="C298" s="38">
        <v>6</v>
      </c>
      <c r="D298" s="39" t="str">
        <f ca="1">IFERROR(IF(AND(Hardworking_Employee[[#This Row],[Years]]&gt;=5,Hardworking_Employee[[#This Row],[Overtime Hours]]&gt;50),"Yes","No"),"Not Found")</f>
        <v>No</v>
      </c>
    </row>
    <row r="299" spans="1:4" x14ac:dyDescent="0.35">
      <c r="A299" s="40" t="str">
        <f>_xlfn.TEXTJOIN(" ",TRUE,Employees_Data[[#This Row],[First Name]],Employees_Data[[#This Row],[Last Name]])</f>
        <v>Majd Abuhamd</v>
      </c>
      <c r="B299" s="41">
        <f ca="1">DATEDIF(Employees!$F299,TODAY(),"Y")</f>
        <v>6</v>
      </c>
      <c r="C299" s="42">
        <v>10</v>
      </c>
      <c r="D299" s="43" t="str">
        <f ca="1">IFERROR(IF(AND(Hardworking_Employee[[#This Row],[Years]]&gt;=5,Hardworking_Employee[[#This Row],[Overtime Hours]]&gt;50),"Yes","No"),"Not Found")</f>
        <v>No</v>
      </c>
    </row>
    <row r="300" spans="1:4" x14ac:dyDescent="0.35">
      <c r="A300" s="36" t="str">
        <f>_xlfn.TEXTJOIN(" ",TRUE,Employees_Data[[#This Row],[First Name]],Employees_Data[[#This Row],[Last Name]])</f>
        <v>Sami Qareush</v>
      </c>
      <c r="B300" s="37">
        <f ca="1">DATEDIF(Employees!$F300,TODAY(),"Y")</f>
        <v>10</v>
      </c>
      <c r="C300" s="38">
        <v>5</v>
      </c>
      <c r="D300" s="39" t="str">
        <f ca="1">IFERROR(IF(AND(Hardworking_Employee[[#This Row],[Years]]&gt;=5,Hardworking_Employee[[#This Row],[Overtime Hours]]&gt;50),"Yes","No"),"Not Found")</f>
        <v>No</v>
      </c>
    </row>
    <row r="301" spans="1:4" x14ac:dyDescent="0.35">
      <c r="A301" s="40" t="str">
        <f>_xlfn.TEXTJOIN(" ",TRUE,Employees_Data[[#This Row],[First Name]],Employees_Data[[#This Row],[Last Name]])</f>
        <v>Rima Jaridiun</v>
      </c>
      <c r="B301" s="41">
        <f ca="1">DATEDIF(Employees!$F301,TODAY(),"Y")</f>
        <v>9</v>
      </c>
      <c r="C301" s="42">
        <v>7</v>
      </c>
      <c r="D301" s="43" t="str">
        <f ca="1">IFERROR(IF(AND(Hardworking_Employee[[#This Row],[Years]]&gt;=5,Hardworking_Employee[[#This Row],[Overtime Hours]]&gt;50),"Yes","No"),"Not Found")</f>
        <v>No</v>
      </c>
    </row>
    <row r="302" spans="1:4" x14ac:dyDescent="0.35">
      <c r="A302" s="36" t="str">
        <f>_xlfn.TEXTJOIN(" ",TRUE,Employees_Data[[#This Row],[First Name]],Employees_Data[[#This Row],[Last Name]])</f>
        <v>Iin Alhumwi</v>
      </c>
      <c r="B302" s="37">
        <f ca="1">DATEDIF(Employees!$F302,TODAY(),"Y")</f>
        <v>8</v>
      </c>
      <c r="C302" s="38">
        <v>1</v>
      </c>
      <c r="D302" s="39" t="str">
        <f ca="1">IFERROR(IF(AND(Hardworking_Employee[[#This Row],[Years]]&gt;=5,Hardworking_Employee[[#This Row],[Overtime Hours]]&gt;50),"Yes","No"),"Not Found")</f>
        <v>No</v>
      </c>
    </row>
    <row r="303" spans="1:4" x14ac:dyDescent="0.35">
      <c r="A303" s="40" t="str">
        <f>_xlfn.TEXTJOIN(" ",TRUE,Employees_Data[[#This Row],[First Name]],Employees_Data[[#This Row],[Last Name]])</f>
        <v>Akthum Eibdalbaqi</v>
      </c>
      <c r="B303" s="41">
        <f ca="1">DATEDIF(Employees!$F303,TODAY(),"Y")</f>
        <v>6</v>
      </c>
      <c r="C303" s="42">
        <v>50</v>
      </c>
      <c r="D303" s="43" t="str">
        <f ca="1">IFERROR(IF(AND(Hardworking_Employee[[#This Row],[Years]]&gt;=5,Hardworking_Employee[[#This Row],[Overtime Hours]]&gt;50),"Yes","No"),"Not Found")</f>
        <v>No</v>
      </c>
    </row>
    <row r="304" spans="1:4" x14ac:dyDescent="0.35">
      <c r="A304" s="36" t="str">
        <f>_xlfn.TEXTJOIN(" ",TRUE,Employees_Data[[#This Row],[First Name]],Employees_Data[[#This Row],[Last Name]])</f>
        <v>Muhamad Almurashihi</v>
      </c>
      <c r="B304" s="37">
        <f ca="1">DATEDIF(Employees!$F304,TODAY(),"Y")</f>
        <v>6</v>
      </c>
      <c r="C304" s="38">
        <v>6</v>
      </c>
      <c r="D304" s="39" t="str">
        <f ca="1">IFERROR(IF(AND(Hardworking_Employee[[#This Row],[Years]]&gt;=5,Hardworking_Employee[[#This Row],[Overtime Hours]]&gt;50),"Yes","No"),"Not Found")</f>
        <v>No</v>
      </c>
    </row>
    <row r="305" spans="1:4" x14ac:dyDescent="0.35">
      <c r="A305" s="40" t="str">
        <f>_xlfn.TEXTJOIN(" ",TRUE,Employees_Data[[#This Row],[First Name]],Employees_Data[[#This Row],[Last Name]])</f>
        <v>Batual Abu Fakhar</v>
      </c>
      <c r="B305" s="41">
        <f ca="1">DATEDIF(Employees!$F305,TODAY(),"Y")</f>
        <v>8</v>
      </c>
      <c r="C305" s="42">
        <v>3</v>
      </c>
      <c r="D305" s="43" t="str">
        <f ca="1">IFERROR(IF(AND(Hardworking_Employee[[#This Row],[Years]]&gt;=5,Hardworking_Employee[[#This Row],[Overtime Hours]]&gt;50),"Yes","No"),"Not Found")</f>
        <v>No</v>
      </c>
    </row>
    <row r="306" spans="1:4" x14ac:dyDescent="0.35">
      <c r="A306" s="36" t="str">
        <f>_xlfn.TEXTJOIN(" ",TRUE,Employees_Data[[#This Row],[First Name]],Employees_Data[[#This Row],[Last Name]])</f>
        <v>Rinah Alkhuriu</v>
      </c>
      <c r="B306" s="37">
        <f ca="1">DATEDIF(Employees!$F306,TODAY(),"Y")</f>
        <v>8</v>
      </c>
      <c r="C306" s="38">
        <v>3</v>
      </c>
      <c r="D306" s="39" t="str">
        <f ca="1">IFERROR(IF(AND(Hardworking_Employee[[#This Row],[Years]]&gt;=5,Hardworking_Employee[[#This Row],[Overtime Hours]]&gt;50),"Yes","No"),"Not Found")</f>
        <v>No</v>
      </c>
    </row>
    <row r="307" spans="1:4" x14ac:dyDescent="0.35">
      <c r="A307" s="40" t="str">
        <f>_xlfn.TEXTJOIN(" ",TRUE,Employees_Data[[#This Row],[First Name]],Employees_Data[[#This Row],[Last Name]])</f>
        <v>Muhamad Alsaqaraq</v>
      </c>
      <c r="B307" s="41">
        <f ca="1">DATEDIF(Employees!$F307,TODAY(),"Y")</f>
        <v>7</v>
      </c>
      <c r="C307" s="42">
        <v>6</v>
      </c>
      <c r="D307" s="43" t="str">
        <f ca="1">IFERROR(IF(AND(Hardworking_Employee[[#This Row],[Years]]&gt;=5,Hardworking_Employee[[#This Row],[Overtime Hours]]&gt;50),"Yes","No"),"Not Found")</f>
        <v>No</v>
      </c>
    </row>
    <row r="308" spans="1:4" x14ac:dyDescent="0.35">
      <c r="A308" s="36" t="str">
        <f>_xlfn.TEXTJOIN(" ",TRUE,Employees_Data[[#This Row],[First Name]],Employees_Data[[#This Row],[Last Name]])</f>
        <v>Diea Sharina</v>
      </c>
      <c r="B308" s="37">
        <f ca="1">DATEDIF(Employees!$F308,TODAY(),"Y")</f>
        <v>7</v>
      </c>
      <c r="C308" s="38">
        <v>4</v>
      </c>
      <c r="D308" s="39" t="str">
        <f ca="1">IFERROR(IF(AND(Hardworking_Employee[[#This Row],[Years]]&gt;=5,Hardworking_Employee[[#This Row],[Overtime Hours]]&gt;50),"Yes","No"),"Not Found")</f>
        <v>No</v>
      </c>
    </row>
    <row r="309" spans="1:4" x14ac:dyDescent="0.35">
      <c r="A309" s="40" t="str">
        <f>_xlfn.TEXTJOIN(" ",TRUE,Employees_Data[[#This Row],[First Name]],Employees_Data[[#This Row],[Last Name]])</f>
        <v>Jablah Alsulayman</v>
      </c>
      <c r="B309" s="41">
        <f ca="1">DATEDIF(Employees!$F309,TODAY(),"Y")</f>
        <v>7</v>
      </c>
      <c r="C309" s="42">
        <v>10</v>
      </c>
      <c r="D309" s="43" t="str">
        <f ca="1">IFERROR(IF(AND(Hardworking_Employee[[#This Row],[Years]]&gt;=5,Hardworking_Employee[[#This Row],[Overtime Hours]]&gt;50),"Yes","No"),"Not Found")</f>
        <v>No</v>
      </c>
    </row>
    <row r="310" spans="1:4" x14ac:dyDescent="0.35">
      <c r="A310" s="36" t="str">
        <f>_xlfn.TEXTJOIN(" ",TRUE,Employees_Data[[#This Row],[First Name]],Employees_Data[[#This Row],[Last Name]])</f>
        <v>Muhamad Almaghribiu</v>
      </c>
      <c r="B310" s="37">
        <f ca="1">DATEDIF(Employees!$F310,TODAY(),"Y")</f>
        <v>9</v>
      </c>
      <c r="C310" s="38">
        <v>4</v>
      </c>
      <c r="D310" s="39" t="str">
        <f ca="1">IFERROR(IF(AND(Hardworking_Employee[[#This Row],[Years]]&gt;=5,Hardworking_Employee[[#This Row],[Overtime Hours]]&gt;50),"Yes","No"),"Not Found")</f>
        <v>No</v>
      </c>
    </row>
    <row r="311" spans="1:4" x14ac:dyDescent="0.35">
      <c r="A311" s="40" t="str">
        <f>_xlfn.TEXTJOIN(" ",TRUE,Employees_Data[[#This Row],[First Name]],Employees_Data[[#This Row],[Last Name]])</f>
        <v>Kholoud Khayti</v>
      </c>
      <c r="B311" s="41">
        <f ca="1">DATEDIF(Employees!$F311,TODAY(),"Y")</f>
        <v>6</v>
      </c>
      <c r="C311" s="42">
        <v>98</v>
      </c>
      <c r="D311" s="43" t="str">
        <f ca="1">IFERROR(IF(AND(Hardworking_Employee[[#This Row],[Years]]&gt;=5,Hardworking_Employee[[#This Row],[Overtime Hours]]&gt;50),"Yes","No"),"Not Found")</f>
        <v>Yes</v>
      </c>
    </row>
    <row r="312" spans="1:4" x14ac:dyDescent="0.35">
      <c r="A312" s="36" t="str">
        <f>_xlfn.TEXTJOIN(" ",TRUE,Employees_Data[[#This Row],[First Name]],Employees_Data[[#This Row],[Last Name]])</f>
        <v>Rahaf Jamul</v>
      </c>
      <c r="B312" s="37">
        <f ca="1">DATEDIF(Employees!$F312,TODAY(),"Y")</f>
        <v>9</v>
      </c>
      <c r="C312" s="38">
        <v>7</v>
      </c>
      <c r="D312" s="39" t="str">
        <f ca="1">IFERROR(IF(AND(Hardworking_Employee[[#This Row],[Years]]&gt;=5,Hardworking_Employee[[#This Row],[Overtime Hours]]&gt;50),"Yes","No"),"Not Found")</f>
        <v>No</v>
      </c>
    </row>
    <row r="313" spans="1:4" x14ac:dyDescent="0.35">
      <c r="A313" s="40" t="str">
        <f>_xlfn.TEXTJOIN(" ",TRUE,Employees_Data[[#This Row],[First Name]],Employees_Data[[#This Row],[Last Name]])</f>
        <v>Faras Alrahil</v>
      </c>
      <c r="B313" s="41">
        <f ca="1">DATEDIF(Employees!$F313,TODAY(),"Y")</f>
        <v>8</v>
      </c>
      <c r="C313" s="42">
        <v>0</v>
      </c>
      <c r="D313" s="43" t="str">
        <f ca="1">IFERROR(IF(AND(Hardworking_Employee[[#This Row],[Years]]&gt;=5,Hardworking_Employee[[#This Row],[Overtime Hours]]&gt;50),"Yes","No"),"Not Found")</f>
        <v>No</v>
      </c>
    </row>
    <row r="314" spans="1:4" x14ac:dyDescent="0.35">
      <c r="A314" s="36" t="str">
        <f>_xlfn.TEXTJOIN(" ",TRUE,Employees_Data[[#This Row],[First Name]],Employees_Data[[#This Row],[Last Name]])</f>
        <v>Abd Alrazzaq Gharah</v>
      </c>
      <c r="B314" s="37">
        <f ca="1">DATEDIF(Employees!$F314,TODAY(),"Y")</f>
        <v>5</v>
      </c>
      <c r="C314" s="38">
        <v>4</v>
      </c>
      <c r="D314" s="39" t="str">
        <f ca="1">IFERROR(IF(AND(Hardworking_Employee[[#This Row],[Years]]&gt;=5,Hardworking_Employee[[#This Row],[Overtime Hours]]&gt;50),"Yes","No"),"Not Found")</f>
        <v>No</v>
      </c>
    </row>
    <row r="315" spans="1:4" x14ac:dyDescent="0.35">
      <c r="A315" s="40" t="str">
        <f>_xlfn.TEXTJOIN(" ",TRUE,Employees_Data[[#This Row],[First Name]],Employees_Data[[#This Row],[Last Name]])</f>
        <v>Alaa Saed</v>
      </c>
      <c r="B315" s="41">
        <f ca="1">DATEDIF(Employees!$F315,TODAY(),"Y")</f>
        <v>6</v>
      </c>
      <c r="C315" s="42">
        <v>5</v>
      </c>
      <c r="D315" s="43" t="str">
        <f ca="1">IFERROR(IF(AND(Hardworking_Employee[[#This Row],[Years]]&gt;=5,Hardworking_Employee[[#This Row],[Overtime Hours]]&gt;50),"Yes","No"),"Not Found")</f>
        <v>No</v>
      </c>
    </row>
    <row r="316" spans="1:4" x14ac:dyDescent="0.35">
      <c r="A316" s="36" t="str">
        <f>_xlfn.TEXTJOIN(" ",TRUE,Employees_Data[[#This Row],[First Name]],Employees_Data[[#This Row],[Last Name]])</f>
        <v>Lylas Shiah</v>
      </c>
      <c r="B316" s="37">
        <f ca="1">DATEDIF(Employees!$F316,TODAY(),"Y")</f>
        <v>7</v>
      </c>
      <c r="C316" s="38">
        <v>9</v>
      </c>
      <c r="D316" s="39" t="str">
        <f ca="1">IFERROR(IF(AND(Hardworking_Employee[[#This Row],[Years]]&gt;=5,Hardworking_Employee[[#This Row],[Overtime Hours]]&gt;50),"Yes","No"),"Not Found")</f>
        <v>No</v>
      </c>
    </row>
    <row r="317" spans="1:4" x14ac:dyDescent="0.35">
      <c r="A317" s="40" t="str">
        <f>_xlfn.TEXTJOIN(" ",TRUE,Employees_Data[[#This Row],[First Name]],Employees_Data[[#This Row],[Last Name]])</f>
        <v>Kinda Alaqre</v>
      </c>
      <c r="B317" s="41">
        <f ca="1">DATEDIF(Employees!$F317,TODAY(),"Y")</f>
        <v>9</v>
      </c>
      <c r="C317" s="42">
        <v>17</v>
      </c>
      <c r="D317" s="43" t="str">
        <f ca="1">IFERROR(IF(AND(Hardworking_Employee[[#This Row],[Years]]&gt;=5,Hardworking_Employee[[#This Row],[Overtime Hours]]&gt;50),"Yes","No"),"Not Found")</f>
        <v>No</v>
      </c>
    </row>
    <row r="318" spans="1:4" x14ac:dyDescent="0.35">
      <c r="A318" s="36" t="str">
        <f>_xlfn.TEXTJOIN(" ",TRUE,Employees_Data[[#This Row],[First Name]],Employees_Data[[#This Row],[Last Name]])</f>
        <v>Muhamad Almisri</v>
      </c>
      <c r="B318" s="37">
        <f ca="1">DATEDIF(Employees!$F318,TODAY(),"Y")</f>
        <v>6</v>
      </c>
      <c r="C318" s="38">
        <v>1</v>
      </c>
      <c r="D318" s="39" t="str">
        <f ca="1">IFERROR(IF(AND(Hardworking_Employee[[#This Row],[Years]]&gt;=5,Hardworking_Employee[[#This Row],[Overtime Hours]]&gt;50),"Yes","No"),"Not Found")</f>
        <v>No</v>
      </c>
    </row>
    <row r="319" spans="1:4" x14ac:dyDescent="0.35">
      <c r="A319" s="40" t="str">
        <f>_xlfn.TEXTJOIN(" ",TRUE,Employees_Data[[#This Row],[First Name]],Employees_Data[[#This Row],[Last Name]])</f>
        <v>Dinana Zaydan</v>
      </c>
      <c r="B319" s="41">
        <f ca="1">DATEDIF(Employees!$F319,TODAY(),"Y")</f>
        <v>8</v>
      </c>
      <c r="C319" s="42">
        <v>5</v>
      </c>
      <c r="D319" s="43" t="str">
        <f ca="1">IFERROR(IF(AND(Hardworking_Employee[[#This Row],[Years]]&gt;=5,Hardworking_Employee[[#This Row],[Overtime Hours]]&gt;50),"Yes","No"),"Not Found")</f>
        <v>No</v>
      </c>
    </row>
    <row r="320" spans="1:4" x14ac:dyDescent="0.35">
      <c r="A320" s="36" t="str">
        <f>_xlfn.TEXTJOIN(" ",TRUE,Employees_Data[[#This Row],[First Name]],Employees_Data[[#This Row],[Last Name]])</f>
        <v>Amyrah Mudinih</v>
      </c>
      <c r="B320" s="37">
        <f ca="1">DATEDIF(Employees!$F320,TODAY(),"Y")</f>
        <v>7</v>
      </c>
      <c r="C320" s="38">
        <v>2</v>
      </c>
      <c r="D320" s="39" t="str">
        <f ca="1">IFERROR(IF(AND(Hardworking_Employee[[#This Row],[Years]]&gt;=5,Hardworking_Employee[[#This Row],[Overtime Hours]]&gt;50),"Yes","No"),"Not Found")</f>
        <v>No</v>
      </c>
    </row>
    <row r="321" spans="1:4" x14ac:dyDescent="0.35">
      <c r="A321" s="40" t="str">
        <f>_xlfn.TEXTJOIN(" ",TRUE,Employees_Data[[#This Row],[First Name]],Employees_Data[[#This Row],[Last Name]])</f>
        <v>Safa AlAhmar</v>
      </c>
      <c r="B321" s="41">
        <f ca="1">DATEDIF(Employees!$F321,TODAY(),"Y")</f>
        <v>8</v>
      </c>
      <c r="C321" s="42">
        <v>45</v>
      </c>
      <c r="D321" s="43" t="str">
        <f ca="1">IFERROR(IF(AND(Hardworking_Employee[[#This Row],[Years]]&gt;=5,Hardworking_Employee[[#This Row],[Overtime Hours]]&gt;50),"Yes","No"),"Not Found")</f>
        <v>No</v>
      </c>
    </row>
    <row r="322" spans="1:4" x14ac:dyDescent="0.35">
      <c r="A322" s="36" t="str">
        <f>_xlfn.TEXTJOIN(" ",TRUE,Employees_Data[[#This Row],[First Name]],Employees_Data[[#This Row],[Last Name]])</f>
        <v>Ahmad Eurman</v>
      </c>
      <c r="B322" s="37">
        <f ca="1">DATEDIF(Employees!$F322,TODAY(),"Y")</f>
        <v>10</v>
      </c>
      <c r="C322" s="38">
        <v>5</v>
      </c>
      <c r="D322" s="39" t="str">
        <f ca="1">IFERROR(IF(AND(Hardworking_Employee[[#This Row],[Years]]&gt;=5,Hardworking_Employee[[#This Row],[Overtime Hours]]&gt;50),"Yes","No"),"Not Found")</f>
        <v>No</v>
      </c>
    </row>
    <row r="323" spans="1:4" x14ac:dyDescent="0.35">
      <c r="A323" s="40" t="str">
        <f>_xlfn.TEXTJOIN(" ",TRUE,Employees_Data[[#This Row],[First Name]],Employees_Data[[#This Row],[Last Name]])</f>
        <v>Abd Allah Almawsiliu</v>
      </c>
      <c r="B323" s="41">
        <f ca="1">DATEDIF(Employees!$F323,TODAY(),"Y")</f>
        <v>8</v>
      </c>
      <c r="C323" s="42">
        <v>10</v>
      </c>
      <c r="D323" s="43" t="str">
        <f ca="1">IFERROR(IF(AND(Hardworking_Employee[[#This Row],[Years]]&gt;=5,Hardworking_Employee[[#This Row],[Overtime Hours]]&gt;50),"Yes","No"),"Not Found")</f>
        <v>No</v>
      </c>
    </row>
    <row r="324" spans="1:4" x14ac:dyDescent="0.35">
      <c r="A324" s="36" t="str">
        <f>_xlfn.TEXTJOIN(" ",TRUE,Employees_Data[[#This Row],[First Name]],Employees_Data[[#This Row],[Last Name]])</f>
        <v>Majd Eisaa</v>
      </c>
      <c r="B324" s="37">
        <f ca="1">DATEDIF(Employees!$F324,TODAY(),"Y")</f>
        <v>6</v>
      </c>
      <c r="C324" s="38">
        <v>15</v>
      </c>
      <c r="D324" s="39" t="str">
        <f ca="1">IFERROR(IF(AND(Hardworking_Employee[[#This Row],[Years]]&gt;=5,Hardworking_Employee[[#This Row],[Overtime Hours]]&gt;50),"Yes","No"),"Not Found")</f>
        <v>No</v>
      </c>
    </row>
    <row r="325" spans="1:4" x14ac:dyDescent="0.35">
      <c r="A325" s="40" t="str">
        <f>_xlfn.TEXTJOIN(" ",TRUE,Employees_Data[[#This Row],[First Name]],Employees_Data[[#This Row],[Last Name]])</f>
        <v>Muhamad Salhany</v>
      </c>
      <c r="B325" s="41">
        <f ca="1">DATEDIF(Employees!$F325,TODAY(),"Y")</f>
        <v>5</v>
      </c>
      <c r="C325" s="42">
        <v>10</v>
      </c>
      <c r="D325" s="43" t="str">
        <f ca="1">IFERROR(IF(AND(Hardworking_Employee[[#This Row],[Years]]&gt;=5,Hardworking_Employee[[#This Row],[Overtime Hours]]&gt;50),"Yes","No"),"Not Found")</f>
        <v>No</v>
      </c>
    </row>
    <row r="326" spans="1:4" x14ac:dyDescent="0.35">
      <c r="A326" s="36" t="str">
        <f>_xlfn.TEXTJOIN(" ",TRUE,Employees_Data[[#This Row],[First Name]],Employees_Data[[#This Row],[Last Name]])</f>
        <v>Ashraf Aleid</v>
      </c>
      <c r="B326" s="37">
        <f ca="1">DATEDIF(Employees!$F326,TODAY(),"Y")</f>
        <v>8</v>
      </c>
      <c r="C326" s="38">
        <v>9</v>
      </c>
      <c r="D326" s="39" t="str">
        <f ca="1">IFERROR(IF(AND(Hardworking_Employee[[#This Row],[Years]]&gt;=5,Hardworking_Employee[[#This Row],[Overtime Hours]]&gt;50),"Yes","No"),"Not Found")</f>
        <v>No</v>
      </c>
    </row>
    <row r="327" spans="1:4" x14ac:dyDescent="0.35">
      <c r="A327" s="40" t="str">
        <f>_xlfn.TEXTJOIN(" ",TRUE,Employees_Data[[#This Row],[First Name]],Employees_Data[[#This Row],[Last Name]])</f>
        <v>Muhamad Shadi Alghazy</v>
      </c>
      <c r="B327" s="41">
        <f ca="1">DATEDIF(Employees!$F327,TODAY(),"Y")</f>
        <v>8</v>
      </c>
      <c r="C327" s="42">
        <v>4</v>
      </c>
      <c r="D327" s="43" t="str">
        <f ca="1">IFERROR(IF(AND(Hardworking_Employee[[#This Row],[Years]]&gt;=5,Hardworking_Employee[[#This Row],[Overtime Hours]]&gt;50),"Yes","No"),"Not Found")</f>
        <v>No</v>
      </c>
    </row>
    <row r="328" spans="1:4" x14ac:dyDescent="0.35">
      <c r="A328" s="36" t="str">
        <f>_xlfn.TEXTJOIN(" ",TRUE,Employees_Data[[#This Row],[First Name]],Employees_Data[[#This Row],[Last Name]])</f>
        <v>Muhamad Husayn</v>
      </c>
      <c r="B328" s="37">
        <f ca="1">DATEDIF(Employees!$F328,TODAY(),"Y")</f>
        <v>7</v>
      </c>
      <c r="C328" s="38">
        <v>5</v>
      </c>
      <c r="D328" s="39" t="str">
        <f ca="1">IFERROR(IF(AND(Hardworking_Employee[[#This Row],[Years]]&gt;=5,Hardworking_Employee[[#This Row],[Overtime Hours]]&gt;50),"Yes","No"),"Not Found")</f>
        <v>No</v>
      </c>
    </row>
    <row r="329" spans="1:4" x14ac:dyDescent="0.35">
      <c r="A329" s="40" t="str">
        <f>_xlfn.TEXTJOIN(" ",TRUE,Employees_Data[[#This Row],[First Name]],Employees_Data[[#This Row],[Last Name]])</f>
        <v>Mazin Bytar</v>
      </c>
      <c r="B329" s="41">
        <f ca="1">DATEDIF(Employees!$F329,TODAY(),"Y")</f>
        <v>7</v>
      </c>
      <c r="C329" s="42">
        <v>14</v>
      </c>
      <c r="D329" s="43" t="str">
        <f ca="1">IFERROR(IF(AND(Hardworking_Employee[[#This Row],[Years]]&gt;=5,Hardworking_Employee[[#This Row],[Overtime Hours]]&gt;50),"Yes","No"),"Not Found")</f>
        <v>No</v>
      </c>
    </row>
    <row r="330" spans="1:4" x14ac:dyDescent="0.35">
      <c r="A330" s="36" t="str">
        <f>_xlfn.TEXTJOIN(" ",TRUE,Employees_Data[[#This Row],[First Name]],Employees_Data[[#This Row],[Last Name]])</f>
        <v>Iin Farahat</v>
      </c>
      <c r="B330" s="37">
        <f ca="1">DATEDIF(Employees!$F330,TODAY(),"Y")</f>
        <v>7</v>
      </c>
      <c r="C330" s="38">
        <v>3</v>
      </c>
      <c r="D330" s="39" t="str">
        <f ca="1">IFERROR(IF(AND(Hardworking_Employee[[#This Row],[Years]]&gt;=5,Hardworking_Employee[[#This Row],[Overtime Hours]]&gt;50),"Yes","No"),"Not Found")</f>
        <v>No</v>
      </c>
    </row>
    <row r="331" spans="1:4" x14ac:dyDescent="0.35">
      <c r="A331" s="40" t="str">
        <f>_xlfn.TEXTJOIN(" ",TRUE,Employees_Data[[#This Row],[First Name]],Employees_Data[[#This Row],[Last Name]])</f>
        <v>Lama Albazir</v>
      </c>
      <c r="B331" s="41">
        <f ca="1">DATEDIF(Employees!$F331,TODAY(),"Y")</f>
        <v>8</v>
      </c>
      <c r="C331" s="42">
        <v>9</v>
      </c>
      <c r="D331" s="43" t="str">
        <f ca="1">IFERROR(IF(AND(Hardworking_Employee[[#This Row],[Years]]&gt;=5,Hardworking_Employee[[#This Row],[Overtime Hours]]&gt;50),"Yes","No"),"Not Found")</f>
        <v>No</v>
      </c>
    </row>
    <row r="332" spans="1:4" x14ac:dyDescent="0.35">
      <c r="A332" s="36" t="str">
        <f>_xlfn.TEXTJOIN(" ",TRUE,Employees_Data[[#This Row],[First Name]],Employees_Data[[#This Row],[Last Name]])</f>
        <v>Emar Alnisrin</v>
      </c>
      <c r="B332" s="37">
        <f ca="1">DATEDIF(Employees!$F332,TODAY(),"Y")</f>
        <v>7</v>
      </c>
      <c r="C332" s="38">
        <v>10</v>
      </c>
      <c r="D332" s="39" t="str">
        <f ca="1">IFERROR(IF(AND(Hardworking_Employee[[#This Row],[Years]]&gt;=5,Hardworking_Employee[[#This Row],[Overtime Hours]]&gt;50),"Yes","No"),"Not Found")</f>
        <v>No</v>
      </c>
    </row>
    <row r="333" spans="1:4" x14ac:dyDescent="0.35">
      <c r="A333" s="40" t="str">
        <f>_xlfn.TEXTJOIN(" ",TRUE,Employees_Data[[#This Row],[First Name]],Employees_Data[[#This Row],[Last Name]])</f>
        <v>Afra Sharabi</v>
      </c>
      <c r="B333" s="41">
        <f ca="1">DATEDIF(Employees!$F333,TODAY(),"Y")</f>
        <v>8</v>
      </c>
      <c r="C333" s="42">
        <v>9</v>
      </c>
      <c r="D333" s="43" t="str">
        <f ca="1">IFERROR(IF(AND(Hardworking_Employee[[#This Row],[Years]]&gt;=5,Hardworking_Employee[[#This Row],[Overtime Hours]]&gt;50),"Yes","No"),"Not Found")</f>
        <v>No</v>
      </c>
    </row>
    <row r="334" spans="1:4" x14ac:dyDescent="0.35">
      <c r="A334" s="36" t="str">
        <f>_xlfn.TEXTJOIN(" ",TRUE,Employees_Data[[#This Row],[First Name]],Employees_Data[[#This Row],[Last Name]])</f>
        <v>Ahmad Hamuwd</v>
      </c>
      <c r="B334" s="37">
        <f ca="1">DATEDIF(Employees!$F334,TODAY(),"Y")</f>
        <v>6</v>
      </c>
      <c r="C334" s="38">
        <v>0</v>
      </c>
      <c r="D334" s="39" t="str">
        <f ca="1">IFERROR(IF(AND(Hardworking_Employee[[#This Row],[Years]]&gt;=5,Hardworking_Employee[[#This Row],[Overtime Hours]]&gt;50),"Yes","No"),"Not Found")</f>
        <v>No</v>
      </c>
    </row>
    <row r="335" spans="1:4" x14ac:dyDescent="0.35">
      <c r="A335" s="40" t="str">
        <f>_xlfn.TEXTJOIN(" ",TRUE,Employees_Data[[#This Row],[First Name]],Employees_Data[[#This Row],[Last Name]])</f>
        <v>Ramiz Aleuryan</v>
      </c>
      <c r="B335" s="41">
        <f ca="1">DATEDIF(Employees!$F335,TODAY(),"Y")</f>
        <v>8</v>
      </c>
      <c r="C335" s="42">
        <v>7</v>
      </c>
      <c r="D335" s="43" t="str">
        <f ca="1">IFERROR(IF(AND(Hardworking_Employee[[#This Row],[Years]]&gt;=5,Hardworking_Employee[[#This Row],[Overtime Hours]]&gt;50),"Yes","No"),"Not Found")</f>
        <v>No</v>
      </c>
    </row>
    <row r="336" spans="1:4" x14ac:dyDescent="0.35">
      <c r="A336" s="36" t="str">
        <f>_xlfn.TEXTJOIN(" ",TRUE,Employees_Data[[#This Row],[First Name]],Employees_Data[[#This Row],[Last Name]])</f>
        <v>Iad Eaku</v>
      </c>
      <c r="B336" s="37">
        <f ca="1">DATEDIF(Employees!$F336,TODAY(),"Y")</f>
        <v>8</v>
      </c>
      <c r="C336" s="38">
        <v>10</v>
      </c>
      <c r="D336" s="39" t="str">
        <f ca="1">IFERROR(IF(AND(Hardworking_Employee[[#This Row],[Years]]&gt;=5,Hardworking_Employee[[#This Row],[Overtime Hours]]&gt;50),"Yes","No"),"Not Found")</f>
        <v>No</v>
      </c>
    </row>
    <row r="337" spans="1:4" x14ac:dyDescent="0.35">
      <c r="A337" s="40" t="str">
        <f>_xlfn.TEXTJOIN(" ",TRUE,Employees_Data[[#This Row],[First Name]],Employees_Data[[#This Row],[Last Name]])</f>
        <v>Husayn Euthman</v>
      </c>
      <c r="B337" s="41">
        <f ca="1">DATEDIF(Employees!$F337,TODAY(),"Y")</f>
        <v>6</v>
      </c>
      <c r="C337" s="42">
        <v>6</v>
      </c>
      <c r="D337" s="43" t="str">
        <f ca="1">IFERROR(IF(AND(Hardworking_Employee[[#This Row],[Years]]&gt;=5,Hardworking_Employee[[#This Row],[Overtime Hours]]&gt;50),"Yes","No"),"Not Found")</f>
        <v>No</v>
      </c>
    </row>
    <row r="338" spans="1:4" x14ac:dyDescent="0.35">
      <c r="A338" s="36" t="str">
        <f>_xlfn.TEXTJOIN(" ",TRUE,Employees_Data[[#This Row],[First Name]],Employees_Data[[#This Row],[Last Name]])</f>
        <v>Imran Hazruma</v>
      </c>
      <c r="B338" s="37">
        <f ca="1">DATEDIF(Employees!$F338,TODAY(),"Y")</f>
        <v>7</v>
      </c>
      <c r="C338" s="38">
        <v>1</v>
      </c>
      <c r="D338" s="39" t="str">
        <f ca="1">IFERROR(IF(AND(Hardworking_Employee[[#This Row],[Years]]&gt;=5,Hardworking_Employee[[#This Row],[Overtime Hours]]&gt;50),"Yes","No"),"Not Found")</f>
        <v>No</v>
      </c>
    </row>
    <row r="339" spans="1:4" x14ac:dyDescent="0.35">
      <c r="A339" s="40" t="str">
        <f>_xlfn.TEXTJOIN(" ",TRUE,Employees_Data[[#This Row],[First Name]],Employees_Data[[#This Row],[Last Name]])</f>
        <v>Rawan Durkzili</v>
      </c>
      <c r="B339" s="41">
        <f ca="1">DATEDIF(Employees!$F339,TODAY(),"Y")</f>
        <v>7</v>
      </c>
      <c r="C339" s="42">
        <v>7</v>
      </c>
      <c r="D339" s="43" t="str">
        <f ca="1">IFERROR(IF(AND(Hardworking_Employee[[#This Row],[Years]]&gt;=5,Hardworking_Employee[[#This Row],[Overtime Hours]]&gt;50),"Yes","No"),"Not Found")</f>
        <v>No</v>
      </c>
    </row>
    <row r="340" spans="1:4" x14ac:dyDescent="0.35">
      <c r="A340" s="36" t="str">
        <f>_xlfn.TEXTJOIN(" ",TRUE,Employees_Data[[#This Row],[First Name]],Employees_Data[[#This Row],[Last Name]])</f>
        <v>Muayid Shaqir</v>
      </c>
      <c r="B340" s="37">
        <f ca="1">DATEDIF(Employees!$F340,TODAY(),"Y")</f>
        <v>9</v>
      </c>
      <c r="C340" s="38">
        <v>9</v>
      </c>
      <c r="D340" s="39" t="str">
        <f ca="1">IFERROR(IF(AND(Hardworking_Employee[[#This Row],[Years]]&gt;=5,Hardworking_Employee[[#This Row],[Overtime Hours]]&gt;50),"Yes","No"),"Not Found")</f>
        <v>No</v>
      </c>
    </row>
    <row r="341" spans="1:4" x14ac:dyDescent="0.35">
      <c r="A341" s="40" t="str">
        <f>_xlfn.TEXTJOIN(" ",TRUE,Employees_Data[[#This Row],[First Name]],Employees_Data[[#This Row],[Last Name]])</f>
        <v>Muanis Alsabagh</v>
      </c>
      <c r="B341" s="41">
        <f ca="1">DATEDIF(Employees!$F341,TODAY(),"Y")</f>
        <v>7</v>
      </c>
      <c r="C341" s="42">
        <v>15</v>
      </c>
      <c r="D341" s="43" t="str">
        <f ca="1">IFERROR(IF(AND(Hardworking_Employee[[#This Row],[Years]]&gt;=5,Hardworking_Employee[[#This Row],[Overtime Hours]]&gt;50),"Yes","No"),"Not Found")</f>
        <v>No</v>
      </c>
    </row>
    <row r="342" spans="1:4" x14ac:dyDescent="0.35">
      <c r="A342" s="36" t="str">
        <f>_xlfn.TEXTJOIN(" ",TRUE,Employees_Data[[#This Row],[First Name]],Employees_Data[[#This Row],[Last Name]])</f>
        <v>Dijwar Husu</v>
      </c>
      <c r="B342" s="37">
        <f ca="1">DATEDIF(Employees!$F342,TODAY(),"Y")</f>
        <v>5</v>
      </c>
      <c r="C342" s="38">
        <v>8</v>
      </c>
      <c r="D342" s="39" t="str">
        <f ca="1">IFERROR(IF(AND(Hardworking_Employee[[#This Row],[Years]]&gt;=5,Hardworking_Employee[[#This Row],[Overtime Hours]]&gt;50),"Yes","No"),"Not Found")</f>
        <v>No</v>
      </c>
    </row>
    <row r="343" spans="1:4" x14ac:dyDescent="0.35">
      <c r="A343" s="40" t="str">
        <f>_xlfn.TEXTJOIN(" ",TRUE,Employees_Data[[#This Row],[First Name]],Employees_Data[[#This Row],[Last Name]])</f>
        <v>Asama Eilwan</v>
      </c>
      <c r="B343" s="41">
        <f ca="1">DATEDIF(Employees!$F343,TODAY(),"Y")</f>
        <v>9</v>
      </c>
      <c r="C343" s="42">
        <v>2</v>
      </c>
      <c r="D343" s="43" t="str">
        <f ca="1">IFERROR(IF(AND(Hardworking_Employee[[#This Row],[Years]]&gt;=5,Hardworking_Employee[[#This Row],[Overtime Hours]]&gt;50),"Yes","No"),"Not Found")</f>
        <v>No</v>
      </c>
    </row>
    <row r="344" spans="1:4" x14ac:dyDescent="0.35">
      <c r="A344" s="36" t="str">
        <f>_xlfn.TEXTJOIN(" ",TRUE,Employees_Data[[#This Row],[First Name]],Employees_Data[[#This Row],[Last Name]])</f>
        <v>Esamat Alhidad</v>
      </c>
      <c r="B344" s="37">
        <f ca="1">DATEDIF(Employees!$F344,TODAY(),"Y")</f>
        <v>6</v>
      </c>
      <c r="C344" s="38">
        <v>71</v>
      </c>
      <c r="D344" s="39" t="str">
        <f ca="1">IFERROR(IF(AND(Hardworking_Employee[[#This Row],[Years]]&gt;=5,Hardworking_Employee[[#This Row],[Overtime Hours]]&gt;50),"Yes","No"),"Not Found")</f>
        <v>Yes</v>
      </c>
    </row>
    <row r="345" spans="1:4" x14ac:dyDescent="0.35">
      <c r="A345" s="40" t="str">
        <f>_xlfn.TEXTJOIN(" ",TRUE,Employees_Data[[#This Row],[First Name]],Employees_Data[[#This Row],[Last Name]])</f>
        <v>Tariq Zaeur</v>
      </c>
      <c r="B345" s="41">
        <f ca="1">DATEDIF(Employees!$F345,TODAY(),"Y")</f>
        <v>8</v>
      </c>
      <c r="C345" s="42">
        <v>2</v>
      </c>
      <c r="D345" s="43" t="str">
        <f ca="1">IFERROR(IF(AND(Hardworking_Employee[[#This Row],[Years]]&gt;=5,Hardworking_Employee[[#This Row],[Overtime Hours]]&gt;50),"Yes","No"),"Not Found")</f>
        <v>No</v>
      </c>
    </row>
    <row r="346" spans="1:4" x14ac:dyDescent="0.35">
      <c r="A346" s="36" t="str">
        <f>_xlfn.TEXTJOIN(" ",TRUE,Employees_Data[[#This Row],[First Name]],Employees_Data[[#This Row],[Last Name]])</f>
        <v>Rasul Aleumurii</v>
      </c>
      <c r="B346" s="37">
        <f ca="1">DATEDIF(Employees!$F346,TODAY(),"Y")</f>
        <v>10</v>
      </c>
      <c r="C346" s="38">
        <v>0</v>
      </c>
      <c r="D346" s="39" t="str">
        <f ca="1">IFERROR(IF(AND(Hardworking_Employee[[#This Row],[Years]]&gt;=5,Hardworking_Employee[[#This Row],[Overtime Hours]]&gt;50),"Yes","No"),"Not Found")</f>
        <v>No</v>
      </c>
    </row>
    <row r="347" spans="1:4" x14ac:dyDescent="0.35">
      <c r="A347" s="40" t="str">
        <f>_xlfn.TEXTJOIN(" ",TRUE,Employees_Data[[#This Row],[First Name]],Employees_Data[[#This Row],[Last Name]])</f>
        <v>Rawan Albaytar</v>
      </c>
      <c r="B347" s="41">
        <f ca="1">DATEDIF(Employees!$F347,TODAY(),"Y")</f>
        <v>7</v>
      </c>
      <c r="C347" s="42">
        <v>7</v>
      </c>
      <c r="D347" s="43" t="str">
        <f ca="1">IFERROR(IF(AND(Hardworking_Employee[[#This Row],[Years]]&gt;=5,Hardworking_Employee[[#This Row],[Overtime Hours]]&gt;50),"Yes","No"),"Not Found")</f>
        <v>No</v>
      </c>
    </row>
    <row r="348" spans="1:4" x14ac:dyDescent="0.35">
      <c r="A348" s="36" t="str">
        <f>_xlfn.TEXTJOIN(" ",TRUE,Employees_Data[[#This Row],[First Name]],Employees_Data[[#This Row],[Last Name]])</f>
        <v>Omar Altuean</v>
      </c>
      <c r="B348" s="37">
        <f ca="1">DATEDIF(Employees!$F348,TODAY(),"Y")</f>
        <v>7</v>
      </c>
      <c r="C348" s="38">
        <v>0</v>
      </c>
      <c r="D348" s="39" t="str">
        <f ca="1">IFERROR(IF(AND(Hardworking_Employee[[#This Row],[Years]]&gt;=5,Hardworking_Employee[[#This Row],[Overtime Hours]]&gt;50),"Yes","No"),"Not Found")</f>
        <v>No</v>
      </c>
    </row>
    <row r="349" spans="1:4" x14ac:dyDescent="0.35">
      <c r="A349" s="40" t="str">
        <f>_xlfn.TEXTJOIN(" ",TRUE,Employees_Data[[#This Row],[First Name]],Employees_Data[[#This Row],[Last Name]])</f>
        <v>Dalia Hamdan</v>
      </c>
      <c r="B349" s="41">
        <f ca="1">DATEDIF(Employees!$F349,TODAY(),"Y")</f>
        <v>7</v>
      </c>
      <c r="C349" s="42">
        <v>10</v>
      </c>
      <c r="D349" s="43" t="str">
        <f ca="1">IFERROR(IF(AND(Hardworking_Employee[[#This Row],[Years]]&gt;=5,Hardworking_Employee[[#This Row],[Overtime Hours]]&gt;50),"Yes","No"),"Not Found")</f>
        <v>No</v>
      </c>
    </row>
    <row r="350" spans="1:4" x14ac:dyDescent="0.35">
      <c r="A350" s="36" t="str">
        <f>_xlfn.TEXTJOIN(" ",TRUE,Employees_Data[[#This Row],[First Name]],Employees_Data[[#This Row],[Last Name]])</f>
        <v>Omar Alhindi</v>
      </c>
      <c r="B350" s="37">
        <f ca="1">DATEDIF(Employees!$F350,TODAY(),"Y")</f>
        <v>7</v>
      </c>
      <c r="C350" s="38">
        <v>6</v>
      </c>
      <c r="D350" s="39" t="str">
        <f ca="1">IFERROR(IF(AND(Hardworking_Employee[[#This Row],[Years]]&gt;=5,Hardworking_Employee[[#This Row],[Overtime Hours]]&gt;50),"Yes","No"),"Not Found")</f>
        <v>No</v>
      </c>
    </row>
    <row r="351" spans="1:4" x14ac:dyDescent="0.35">
      <c r="A351" s="40" t="str">
        <f>_xlfn.TEXTJOIN(" ",TRUE,Employees_Data[[#This Row],[First Name]],Employees_Data[[#This Row],[Last Name]])</f>
        <v>Ali Zyny</v>
      </c>
      <c r="B351" s="41">
        <f ca="1">DATEDIF(Employees!$F351,TODAY(),"Y")</f>
        <v>6</v>
      </c>
      <c r="C351" s="42">
        <v>4</v>
      </c>
      <c r="D351" s="43" t="str">
        <f ca="1">IFERROR(IF(AND(Hardworking_Employee[[#This Row],[Years]]&gt;=5,Hardworking_Employee[[#This Row],[Overtime Hours]]&gt;50),"Yes","No"),"Not Found")</f>
        <v>No</v>
      </c>
    </row>
    <row r="352" spans="1:4" x14ac:dyDescent="0.35">
      <c r="A352" s="36" t="str">
        <f>_xlfn.TEXTJOIN(" ",TRUE,Employees_Data[[#This Row],[First Name]],Employees_Data[[#This Row],[Last Name]])</f>
        <v>Almuetaz Biallah</v>
      </c>
      <c r="B352" s="37">
        <f ca="1">DATEDIF(Employees!$F352,TODAY(),"Y")</f>
        <v>6</v>
      </c>
      <c r="C352" s="38">
        <v>8</v>
      </c>
      <c r="D352" s="39" t="str">
        <f ca="1">IFERROR(IF(AND(Hardworking_Employee[[#This Row],[Years]]&gt;=5,Hardworking_Employee[[#This Row],[Overtime Hours]]&gt;50),"Yes","No"),"Not Found")</f>
        <v>No</v>
      </c>
    </row>
    <row r="353" spans="1:4" x14ac:dyDescent="0.35">
      <c r="A353" s="40" t="str">
        <f>_xlfn.TEXTJOIN(" ",TRUE,Employees_Data[[#This Row],[First Name]],Employees_Data[[#This Row],[Last Name]])</f>
        <v>Rabana Alsaman</v>
      </c>
      <c r="B353" s="41">
        <f ca="1">DATEDIF(Employees!$F353,TODAY(),"Y")</f>
        <v>9</v>
      </c>
      <c r="C353" s="42">
        <v>2</v>
      </c>
      <c r="D353" s="43" t="str">
        <f ca="1">IFERROR(IF(AND(Hardworking_Employee[[#This Row],[Years]]&gt;=5,Hardworking_Employee[[#This Row],[Overtime Hours]]&gt;50),"Yes","No"),"Not Found")</f>
        <v>No</v>
      </c>
    </row>
    <row r="354" spans="1:4" x14ac:dyDescent="0.35">
      <c r="A354" s="36" t="str">
        <f>_xlfn.TEXTJOIN(" ",TRUE,Employees_Data[[#This Row],[First Name]],Employees_Data[[#This Row],[Last Name]])</f>
        <v>Ghada Khalid</v>
      </c>
      <c r="B354" s="37">
        <f ca="1">DATEDIF(Employees!$F354,TODAY(),"Y")</f>
        <v>7</v>
      </c>
      <c r="C354" s="38">
        <v>0</v>
      </c>
      <c r="D354" s="39" t="str">
        <f ca="1">IFERROR(IF(AND(Hardworking_Employee[[#This Row],[Years]]&gt;=5,Hardworking_Employee[[#This Row],[Overtime Hours]]&gt;50),"Yes","No"),"Not Found")</f>
        <v>No</v>
      </c>
    </row>
    <row r="355" spans="1:4" x14ac:dyDescent="0.35">
      <c r="A355" s="40" t="str">
        <f>_xlfn.TEXTJOIN(" ",TRUE,Employees_Data[[#This Row],[First Name]],Employees_Data[[#This Row],[Last Name]])</f>
        <v>Esamat Alriys</v>
      </c>
      <c r="B355" s="41">
        <f ca="1">DATEDIF(Employees!$F355,TODAY(),"Y")</f>
        <v>5</v>
      </c>
      <c r="C355" s="42">
        <v>31</v>
      </c>
      <c r="D355" s="43" t="str">
        <f ca="1">IFERROR(IF(AND(Hardworking_Employee[[#This Row],[Years]]&gt;=5,Hardworking_Employee[[#This Row],[Overtime Hours]]&gt;50),"Yes","No"),"Not Found")</f>
        <v>No</v>
      </c>
    </row>
    <row r="356" spans="1:4" x14ac:dyDescent="0.35">
      <c r="A356" s="36" t="str">
        <f>_xlfn.TEXTJOIN(" ",TRUE,Employees_Data[[#This Row],[First Name]],Employees_Data[[#This Row],[Last Name]])</f>
        <v>Amir Alkhatib</v>
      </c>
      <c r="B356" s="37">
        <f ca="1">DATEDIF(Employees!$F356,TODAY(),"Y")</f>
        <v>9</v>
      </c>
      <c r="C356" s="38">
        <v>13</v>
      </c>
      <c r="D356" s="39" t="str">
        <f ca="1">IFERROR(IF(AND(Hardworking_Employee[[#This Row],[Years]]&gt;=5,Hardworking_Employee[[#This Row],[Overtime Hours]]&gt;50),"Yes","No"),"Not Found")</f>
        <v>No</v>
      </c>
    </row>
    <row r="357" spans="1:4" x14ac:dyDescent="0.35">
      <c r="A357" s="40" t="str">
        <f>_xlfn.TEXTJOIN(" ",TRUE,Employees_Data[[#This Row],[First Name]],Employees_Data[[#This Row],[Last Name]])</f>
        <v>Samirah Jumea</v>
      </c>
      <c r="B357" s="41">
        <f ca="1">DATEDIF(Employees!$F357,TODAY(),"Y")</f>
        <v>7</v>
      </c>
      <c r="C357" s="42">
        <v>10</v>
      </c>
      <c r="D357" s="43" t="str">
        <f ca="1">IFERROR(IF(AND(Hardworking_Employee[[#This Row],[Years]]&gt;=5,Hardworking_Employee[[#This Row],[Overtime Hours]]&gt;50),"Yes","No"),"Not Found")</f>
        <v>No</v>
      </c>
    </row>
    <row r="358" spans="1:4" x14ac:dyDescent="0.35">
      <c r="A358" s="36" t="str">
        <f>_xlfn.TEXTJOIN(" ",TRUE,Employees_Data[[#This Row],[First Name]],Employees_Data[[#This Row],[Last Name]])</f>
        <v>Samir Alhaj Ali</v>
      </c>
      <c r="B358" s="37">
        <f ca="1">DATEDIF(Employees!$F358,TODAY(),"Y")</f>
        <v>10</v>
      </c>
      <c r="C358" s="38">
        <v>2</v>
      </c>
      <c r="D358" s="39" t="str">
        <f ca="1">IFERROR(IF(AND(Hardworking_Employee[[#This Row],[Years]]&gt;=5,Hardworking_Employee[[#This Row],[Overtime Hours]]&gt;50),"Yes","No"),"Not Found")</f>
        <v>No</v>
      </c>
    </row>
    <row r="359" spans="1:4" x14ac:dyDescent="0.35">
      <c r="A359" s="40" t="str">
        <f>_xlfn.TEXTJOIN(" ",TRUE,Employees_Data[[#This Row],[First Name]],Employees_Data[[#This Row],[Last Name]])</f>
        <v>Farial Qulumih</v>
      </c>
      <c r="B359" s="41">
        <f ca="1">DATEDIF(Employees!$F359,TODAY(),"Y")</f>
        <v>9</v>
      </c>
      <c r="C359" s="42">
        <v>3</v>
      </c>
      <c r="D359" s="43" t="str">
        <f ca="1">IFERROR(IF(AND(Hardworking_Employee[[#This Row],[Years]]&gt;=5,Hardworking_Employee[[#This Row],[Overtime Hours]]&gt;50),"Yes","No"),"Not Found")</f>
        <v>No</v>
      </c>
    </row>
    <row r="360" spans="1:4" x14ac:dyDescent="0.35">
      <c r="A360" s="36" t="str">
        <f>_xlfn.TEXTJOIN(" ",TRUE,Employees_Data[[#This Row],[First Name]],Employees_Data[[#This Row],[Last Name]])</f>
        <v>Salih Dawara</v>
      </c>
      <c r="B360" s="37">
        <f ca="1">DATEDIF(Employees!$F360,TODAY(),"Y")</f>
        <v>6</v>
      </c>
      <c r="C360" s="38">
        <v>9</v>
      </c>
      <c r="D360" s="39" t="str">
        <f ca="1">IFERROR(IF(AND(Hardworking_Employee[[#This Row],[Years]]&gt;=5,Hardworking_Employee[[#This Row],[Overtime Hours]]&gt;50),"Yes","No"),"Not Found")</f>
        <v>No</v>
      </c>
    </row>
    <row r="361" spans="1:4" x14ac:dyDescent="0.35">
      <c r="A361" s="40" t="str">
        <f>_xlfn.TEXTJOIN(" ",TRUE,Employees_Data[[#This Row],[First Name]],Employees_Data[[#This Row],[Last Name]])</f>
        <v>Abdalhadi Salim</v>
      </c>
      <c r="B361" s="41">
        <f ca="1">DATEDIF(Employees!$F361,TODAY(),"Y")</f>
        <v>7</v>
      </c>
      <c r="C361" s="42">
        <v>3</v>
      </c>
      <c r="D361" s="43" t="str">
        <f ca="1">IFERROR(IF(AND(Hardworking_Employee[[#This Row],[Years]]&gt;=5,Hardworking_Employee[[#This Row],[Overtime Hours]]&gt;50),"Yes","No"),"Not Found")</f>
        <v>No</v>
      </c>
    </row>
    <row r="362" spans="1:4" x14ac:dyDescent="0.35">
      <c r="A362" s="36" t="str">
        <f>_xlfn.TEXTJOIN(" ",TRUE,Employees_Data[[#This Row],[First Name]],Employees_Data[[#This Row],[Last Name]])</f>
        <v>Ruaa Qahraman</v>
      </c>
      <c r="B362" s="37">
        <f ca="1">DATEDIF(Employees!$F362,TODAY(),"Y")</f>
        <v>8</v>
      </c>
      <c r="C362" s="38">
        <v>4</v>
      </c>
      <c r="D362" s="39" t="str">
        <f ca="1">IFERROR(IF(AND(Hardworking_Employee[[#This Row],[Years]]&gt;=5,Hardworking_Employee[[#This Row],[Overtime Hours]]&gt;50),"Yes","No"),"Not Found")</f>
        <v>No</v>
      </c>
    </row>
    <row r="363" spans="1:4" x14ac:dyDescent="0.35">
      <c r="A363" s="40" t="str">
        <f>_xlfn.TEXTJOIN(" ",TRUE,Employees_Data[[#This Row],[First Name]],Employees_Data[[#This Row],[Last Name]])</f>
        <v>Muhamad Mshati</v>
      </c>
      <c r="B363" s="41">
        <f ca="1">DATEDIF(Employees!$F363,TODAY(),"Y")</f>
        <v>7</v>
      </c>
      <c r="C363" s="42">
        <v>9</v>
      </c>
      <c r="D363" s="43" t="str">
        <f ca="1">IFERROR(IF(AND(Hardworking_Employee[[#This Row],[Years]]&gt;=5,Hardworking_Employee[[#This Row],[Overtime Hours]]&gt;50),"Yes","No"),"Not Found")</f>
        <v>No</v>
      </c>
    </row>
    <row r="364" spans="1:4" x14ac:dyDescent="0.35">
      <c r="A364" s="36" t="str">
        <f>_xlfn.TEXTJOIN(" ",TRUE,Employees_Data[[#This Row],[First Name]],Employees_Data[[#This Row],[Last Name]])</f>
        <v>Shadi Altibae</v>
      </c>
      <c r="B364" s="37">
        <f ca="1">DATEDIF(Employees!$F364,TODAY(),"Y")</f>
        <v>7</v>
      </c>
      <c r="C364" s="38">
        <v>14</v>
      </c>
      <c r="D364" s="39" t="str">
        <f ca="1">IFERROR(IF(AND(Hardworking_Employee[[#This Row],[Years]]&gt;=5,Hardworking_Employee[[#This Row],[Overtime Hours]]&gt;50),"Yes","No"),"Not Found")</f>
        <v>No</v>
      </c>
    </row>
    <row r="365" spans="1:4" x14ac:dyDescent="0.35">
      <c r="A365" s="40" t="str">
        <f>_xlfn.TEXTJOIN(" ",TRUE,Employees_Data[[#This Row],[First Name]],Employees_Data[[#This Row],[Last Name]])</f>
        <v>Ahmad Iidlibi</v>
      </c>
      <c r="B365" s="41">
        <f ca="1">DATEDIF(Employees!$F365,TODAY(),"Y")</f>
        <v>7</v>
      </c>
      <c r="C365" s="42">
        <v>0</v>
      </c>
      <c r="D365" s="43" t="str">
        <f ca="1">IFERROR(IF(AND(Hardworking_Employee[[#This Row],[Years]]&gt;=5,Hardworking_Employee[[#This Row],[Overtime Hours]]&gt;50),"Yes","No"),"Not Found")</f>
        <v>No</v>
      </c>
    </row>
    <row r="366" spans="1:4" x14ac:dyDescent="0.35">
      <c r="A366" s="36" t="str">
        <f>_xlfn.TEXTJOIN(" ",TRUE,Employees_Data[[#This Row],[First Name]],Employees_Data[[#This Row],[Last Name]])</f>
        <v>Fadi Ghazzawi</v>
      </c>
      <c r="B366" s="37">
        <f ca="1">DATEDIF(Employees!$F366,TODAY(),"Y")</f>
        <v>7</v>
      </c>
      <c r="C366" s="38">
        <v>1</v>
      </c>
      <c r="D366" s="39" t="str">
        <f ca="1">IFERROR(IF(AND(Hardworking_Employee[[#This Row],[Years]]&gt;=5,Hardworking_Employee[[#This Row],[Overtime Hours]]&gt;50),"Yes","No"),"Not Found")</f>
        <v>No</v>
      </c>
    </row>
    <row r="367" spans="1:4" x14ac:dyDescent="0.35">
      <c r="A367" s="40" t="str">
        <f>_xlfn.TEXTJOIN(" ",TRUE,Employees_Data[[#This Row],[First Name]],Employees_Data[[#This Row],[Last Name]])</f>
        <v>Basil Eabd Aleal</v>
      </c>
      <c r="B367" s="41">
        <f ca="1">DATEDIF(Employees!$F367,TODAY(),"Y")</f>
        <v>5</v>
      </c>
      <c r="C367" s="42">
        <v>8</v>
      </c>
      <c r="D367" s="43" t="str">
        <f ca="1">IFERROR(IF(AND(Hardworking_Employee[[#This Row],[Years]]&gt;=5,Hardworking_Employee[[#This Row],[Overtime Hours]]&gt;50),"Yes","No"),"Not Found")</f>
        <v>No</v>
      </c>
    </row>
    <row r="368" spans="1:4" x14ac:dyDescent="0.35">
      <c r="A368" s="36" t="str">
        <f>_xlfn.TEXTJOIN(" ",TRUE,Employees_Data[[#This Row],[First Name]],Employees_Data[[#This Row],[Last Name]])</f>
        <v>Sali Musuh</v>
      </c>
      <c r="B368" s="37">
        <f ca="1">DATEDIF(Employees!$F368,TODAY(),"Y")</f>
        <v>6</v>
      </c>
      <c r="C368" s="38">
        <v>12</v>
      </c>
      <c r="D368" s="39" t="str">
        <f ca="1">IFERROR(IF(AND(Hardworking_Employee[[#This Row],[Years]]&gt;=5,Hardworking_Employee[[#This Row],[Overtime Hours]]&gt;50),"Yes","No"),"Not Found")</f>
        <v>No</v>
      </c>
    </row>
    <row r="369" spans="1:4" x14ac:dyDescent="0.35">
      <c r="A369" s="40" t="str">
        <f>_xlfn.TEXTJOIN(" ",TRUE,Employees_Data[[#This Row],[First Name]],Employees_Data[[#This Row],[Last Name]])</f>
        <v>Alaa Iismaeil</v>
      </c>
      <c r="B369" s="41">
        <f ca="1">DATEDIF(Employees!$F369,TODAY(),"Y")</f>
        <v>5</v>
      </c>
      <c r="C369" s="42">
        <v>8</v>
      </c>
      <c r="D369" s="43" t="str">
        <f ca="1">IFERROR(IF(AND(Hardworking_Employee[[#This Row],[Years]]&gt;=5,Hardworking_Employee[[#This Row],[Overtime Hours]]&gt;50),"Yes","No"),"Not Found")</f>
        <v>No</v>
      </c>
    </row>
    <row r="370" spans="1:4" x14ac:dyDescent="0.35">
      <c r="A370" s="36" t="str">
        <f>_xlfn.TEXTJOIN(" ",TRUE,Employees_Data[[#This Row],[First Name]],Employees_Data[[#This Row],[Last Name]])</f>
        <v>Maria Alhizae</v>
      </c>
      <c r="B370" s="37">
        <f ca="1">DATEDIF(Employees!$F370,TODAY(),"Y")</f>
        <v>6</v>
      </c>
      <c r="C370" s="38">
        <v>7</v>
      </c>
      <c r="D370" s="39" t="str">
        <f ca="1">IFERROR(IF(AND(Hardworking_Employee[[#This Row],[Years]]&gt;=5,Hardworking_Employee[[#This Row],[Overtime Hours]]&gt;50),"Yes","No"),"Not Found")</f>
        <v>No</v>
      </c>
    </row>
    <row r="371" spans="1:4" x14ac:dyDescent="0.35">
      <c r="A371" s="40" t="str">
        <f>_xlfn.TEXTJOIN(" ",TRUE,Employees_Data[[#This Row],[First Name]],Employees_Data[[#This Row],[Last Name]])</f>
        <v>Ghazal Alghan</v>
      </c>
      <c r="B371" s="41">
        <f ca="1">DATEDIF(Employees!$F371,TODAY(),"Y")</f>
        <v>8</v>
      </c>
      <c r="C371" s="42">
        <v>13</v>
      </c>
      <c r="D371" s="43" t="str">
        <f ca="1">IFERROR(IF(AND(Hardworking_Employee[[#This Row],[Years]]&gt;=5,Hardworking_Employee[[#This Row],[Overtime Hours]]&gt;50),"Yes","No"),"Not Found")</f>
        <v>No</v>
      </c>
    </row>
    <row r="372" spans="1:4" x14ac:dyDescent="0.35">
      <c r="A372" s="36" t="str">
        <f>_xlfn.TEXTJOIN(" ",TRUE,Employees_Data[[#This Row],[First Name]],Employees_Data[[#This Row],[Last Name]])</f>
        <v>Eala Mitri</v>
      </c>
      <c r="B372" s="37">
        <f ca="1">DATEDIF(Employees!$F372,TODAY(),"Y")</f>
        <v>7</v>
      </c>
      <c r="C372" s="38">
        <v>8</v>
      </c>
      <c r="D372" s="39" t="str">
        <f ca="1">IFERROR(IF(AND(Hardworking_Employee[[#This Row],[Years]]&gt;=5,Hardworking_Employee[[#This Row],[Overtime Hours]]&gt;50),"Yes","No"),"Not Found")</f>
        <v>No</v>
      </c>
    </row>
    <row r="373" spans="1:4" x14ac:dyDescent="0.35">
      <c r="A373" s="40" t="str">
        <f>_xlfn.TEXTJOIN(" ",TRUE,Employees_Data[[#This Row],[First Name]],Employees_Data[[#This Row],[Last Name]])</f>
        <v>Muhamad Aleliwi</v>
      </c>
      <c r="B373" s="41">
        <f ca="1">DATEDIF(Employees!$F373,TODAY(),"Y")</f>
        <v>6</v>
      </c>
      <c r="C373" s="42">
        <v>50</v>
      </c>
      <c r="D373" s="43" t="str">
        <f ca="1">IFERROR(IF(AND(Hardworking_Employee[[#This Row],[Years]]&gt;=5,Hardworking_Employee[[#This Row],[Overtime Hours]]&gt;50),"Yes","No"),"Not Found")</f>
        <v>No</v>
      </c>
    </row>
    <row r="374" spans="1:4" x14ac:dyDescent="0.35">
      <c r="A374" s="36" t="str">
        <f>_xlfn.TEXTJOIN(" ",TRUE,Employees_Data[[#This Row],[First Name]],Employees_Data[[#This Row],[Last Name]])</f>
        <v>Ahmad Almisri</v>
      </c>
      <c r="B374" s="37">
        <f ca="1">DATEDIF(Employees!$F374,TODAY(),"Y")</f>
        <v>7</v>
      </c>
      <c r="C374" s="38">
        <v>1</v>
      </c>
      <c r="D374" s="39" t="str">
        <f ca="1">IFERROR(IF(AND(Hardworking_Employee[[#This Row],[Years]]&gt;=5,Hardworking_Employee[[#This Row],[Overtime Hours]]&gt;50),"Yes","No"),"Not Found")</f>
        <v>No</v>
      </c>
    </row>
    <row r="375" spans="1:4" x14ac:dyDescent="0.35">
      <c r="A375" s="40" t="str">
        <f>_xlfn.TEXTJOIN(" ",TRUE,Employees_Data[[#This Row],[First Name]],Employees_Data[[#This Row],[Last Name]])</f>
        <v>Ahmad Aldwltali</v>
      </c>
      <c r="B375" s="41">
        <f ca="1">DATEDIF(Employees!$F375,TODAY(),"Y")</f>
        <v>6</v>
      </c>
      <c r="C375" s="42">
        <v>35</v>
      </c>
      <c r="D375" s="43" t="str">
        <f ca="1">IFERROR(IF(AND(Hardworking_Employee[[#This Row],[Years]]&gt;=5,Hardworking_Employee[[#This Row],[Overtime Hours]]&gt;50),"Yes","No"),"Not Found")</f>
        <v>No</v>
      </c>
    </row>
    <row r="376" spans="1:4" x14ac:dyDescent="0.35">
      <c r="A376" s="36" t="str">
        <f>_xlfn.TEXTJOIN(" ",TRUE,Employees_Data[[#This Row],[First Name]],Employees_Data[[#This Row],[Last Name]])</f>
        <v>Muhamad Udib</v>
      </c>
      <c r="B376" s="37">
        <f ca="1">DATEDIF(Employees!$F376,TODAY(),"Y")</f>
        <v>7</v>
      </c>
      <c r="C376" s="38">
        <v>6</v>
      </c>
      <c r="D376" s="39" t="str">
        <f ca="1">IFERROR(IF(AND(Hardworking_Employee[[#This Row],[Years]]&gt;=5,Hardworking_Employee[[#This Row],[Overtime Hours]]&gt;50),"Yes","No"),"Not Found")</f>
        <v>No</v>
      </c>
    </row>
    <row r="377" spans="1:4" x14ac:dyDescent="0.35">
      <c r="A377" s="40" t="str">
        <f>_xlfn.TEXTJOIN(" ",TRUE,Employees_Data[[#This Row],[First Name]],Employees_Data[[#This Row],[Last Name]])</f>
        <v>Alaa Yuzbik</v>
      </c>
      <c r="B377" s="41">
        <f ca="1">DATEDIF(Employees!$F377,TODAY(),"Y")</f>
        <v>8</v>
      </c>
      <c r="C377" s="42">
        <v>10</v>
      </c>
      <c r="D377" s="43" t="str">
        <f ca="1">IFERROR(IF(AND(Hardworking_Employee[[#This Row],[Years]]&gt;=5,Hardworking_Employee[[#This Row],[Overtime Hours]]&gt;50),"Yes","No"),"Not Found")</f>
        <v>No</v>
      </c>
    </row>
    <row r="378" spans="1:4" x14ac:dyDescent="0.35">
      <c r="A378" s="36" t="str">
        <f>_xlfn.TEXTJOIN(" ",TRUE,Employees_Data[[#This Row],[First Name]],Employees_Data[[#This Row],[Last Name]])</f>
        <v>Husayn Zaerur</v>
      </c>
      <c r="B378" s="37">
        <f ca="1">DATEDIF(Employees!$F378,TODAY(),"Y")</f>
        <v>6</v>
      </c>
      <c r="C378" s="38">
        <v>3</v>
      </c>
      <c r="D378" s="39" t="str">
        <f ca="1">IFERROR(IF(AND(Hardworking_Employee[[#This Row],[Years]]&gt;=5,Hardworking_Employee[[#This Row],[Overtime Hours]]&gt;50),"Yes","No"),"Not Found")</f>
        <v>No</v>
      </c>
    </row>
    <row r="379" spans="1:4" x14ac:dyDescent="0.35">
      <c r="A379" s="40" t="str">
        <f>_xlfn.TEXTJOIN(" ",TRUE,Employees_Data[[#This Row],[First Name]],Employees_Data[[#This Row],[Last Name]])</f>
        <v>Saeid Mazlum</v>
      </c>
      <c r="B379" s="41">
        <f ca="1">DATEDIF(Employees!$F379,TODAY(),"Y")</f>
        <v>7</v>
      </c>
      <c r="C379" s="42">
        <v>5</v>
      </c>
      <c r="D379" s="43" t="str">
        <f ca="1">IFERROR(IF(AND(Hardworking_Employee[[#This Row],[Years]]&gt;=5,Hardworking_Employee[[#This Row],[Overtime Hours]]&gt;50),"Yes","No"),"Not Found")</f>
        <v>No</v>
      </c>
    </row>
    <row r="380" spans="1:4" x14ac:dyDescent="0.35">
      <c r="A380" s="36" t="str">
        <f>_xlfn.TEXTJOIN(" ",TRUE,Employees_Data[[#This Row],[First Name]],Employees_Data[[#This Row],[Last Name]])</f>
        <v>Ahmad Alghurani</v>
      </c>
      <c r="B380" s="37">
        <f ca="1">DATEDIF(Employees!$F380,TODAY(),"Y")</f>
        <v>6</v>
      </c>
      <c r="C380" s="38">
        <v>11</v>
      </c>
      <c r="D380" s="39" t="str">
        <f ca="1">IFERROR(IF(AND(Hardworking_Employee[[#This Row],[Years]]&gt;=5,Hardworking_Employee[[#This Row],[Overtime Hours]]&gt;50),"Yes","No"),"Not Found")</f>
        <v>No</v>
      </c>
    </row>
    <row r="381" spans="1:4" x14ac:dyDescent="0.35">
      <c r="A381" s="40" t="str">
        <f>_xlfn.TEXTJOIN(" ",TRUE,Employees_Data[[#This Row],[First Name]],Employees_Data[[#This Row],[Last Name]])</f>
        <v>Abd Alsamad Ahmad</v>
      </c>
      <c r="B381" s="41">
        <f ca="1">DATEDIF(Employees!$F381,TODAY(),"Y")</f>
        <v>9</v>
      </c>
      <c r="C381" s="42">
        <v>7</v>
      </c>
      <c r="D381" s="43" t="str">
        <f ca="1">IFERROR(IF(AND(Hardworking_Employee[[#This Row],[Years]]&gt;=5,Hardworking_Employee[[#This Row],[Overtime Hours]]&gt;50),"Yes","No"),"Not Found")</f>
        <v>No</v>
      </c>
    </row>
    <row r="382" spans="1:4" x14ac:dyDescent="0.35">
      <c r="A382" s="36" t="str">
        <f>_xlfn.TEXTJOIN(" ",TRUE,Employees_Data[[#This Row],[First Name]],Employees_Data[[#This Row],[Last Name]])</f>
        <v>Amir Alhasan</v>
      </c>
      <c r="B382" s="37">
        <f ca="1">DATEDIF(Employees!$F382,TODAY(),"Y")</f>
        <v>7</v>
      </c>
      <c r="C382" s="38">
        <v>8</v>
      </c>
      <c r="D382" s="39" t="str">
        <f ca="1">IFERROR(IF(AND(Hardworking_Employee[[#This Row],[Years]]&gt;=5,Hardworking_Employee[[#This Row],[Overtime Hours]]&gt;50),"Yes","No"),"Not Found")</f>
        <v>No</v>
      </c>
    </row>
    <row r="383" spans="1:4" x14ac:dyDescent="0.35">
      <c r="A383" s="40" t="str">
        <f>_xlfn.TEXTJOIN(" ",TRUE,Employees_Data[[#This Row],[First Name]],Employees_Data[[#This Row],[Last Name]])</f>
        <v>Alaa Altahhan</v>
      </c>
      <c r="B383" s="41">
        <f ca="1">DATEDIF(Employees!$F383,TODAY(),"Y")</f>
        <v>7</v>
      </c>
      <c r="C383" s="42">
        <v>12</v>
      </c>
      <c r="D383" s="43" t="str">
        <f ca="1">IFERROR(IF(AND(Hardworking_Employee[[#This Row],[Years]]&gt;=5,Hardworking_Employee[[#This Row],[Overtime Hours]]&gt;50),"Yes","No"),"Not Found")</f>
        <v>No</v>
      </c>
    </row>
    <row r="384" spans="1:4" x14ac:dyDescent="0.35">
      <c r="A384" s="36" t="str">
        <f>_xlfn.TEXTJOIN(" ",TRUE,Employees_Data[[#This Row],[First Name]],Employees_Data[[#This Row],[Last Name]])</f>
        <v>Iad Mahfud</v>
      </c>
      <c r="B384" s="37">
        <f ca="1">DATEDIF(Employees!$F384,TODAY(),"Y")</f>
        <v>9</v>
      </c>
      <c r="C384" s="38">
        <v>10</v>
      </c>
      <c r="D384" s="39" t="str">
        <f ca="1">IFERROR(IF(AND(Hardworking_Employee[[#This Row],[Years]]&gt;=5,Hardworking_Employee[[#This Row],[Overtime Hours]]&gt;50),"Yes","No"),"Not Found")</f>
        <v>No</v>
      </c>
    </row>
    <row r="385" spans="1:4" x14ac:dyDescent="0.35">
      <c r="A385" s="40" t="str">
        <f>_xlfn.TEXTJOIN(" ",TRUE,Employees_Data[[#This Row],[First Name]],Employees_Data[[#This Row],[Last Name]])</f>
        <v>Sarah Damrani</v>
      </c>
      <c r="B385" s="41">
        <f ca="1">DATEDIF(Employees!$F385,TODAY(),"Y")</f>
        <v>6</v>
      </c>
      <c r="C385" s="42">
        <v>5</v>
      </c>
      <c r="D385" s="43" t="str">
        <f ca="1">IFERROR(IF(AND(Hardworking_Employee[[#This Row],[Years]]&gt;=5,Hardworking_Employee[[#This Row],[Overtime Hours]]&gt;50),"Yes","No"),"Not Found")</f>
        <v>No</v>
      </c>
    </row>
    <row r="386" spans="1:4" x14ac:dyDescent="0.35">
      <c r="A386" s="36" t="str">
        <f>_xlfn.TEXTJOIN(" ",TRUE,Employees_Data[[#This Row],[First Name]],Employees_Data[[#This Row],[Last Name]])</f>
        <v>Husam Aldubus</v>
      </c>
      <c r="B386" s="37">
        <f ca="1">DATEDIF(Employees!$F386,TODAY(),"Y")</f>
        <v>7</v>
      </c>
      <c r="C386" s="38">
        <v>9</v>
      </c>
      <c r="D386" s="39" t="str">
        <f ca="1">IFERROR(IF(AND(Hardworking_Employee[[#This Row],[Years]]&gt;=5,Hardworking_Employee[[#This Row],[Overtime Hours]]&gt;50),"Yes","No"),"Not Found")</f>
        <v>No</v>
      </c>
    </row>
    <row r="387" spans="1:4" x14ac:dyDescent="0.35">
      <c r="A387" s="40" t="str">
        <f>_xlfn.TEXTJOIN(" ",TRUE,Employees_Data[[#This Row],[First Name]],Employees_Data[[#This Row],[Last Name]])</f>
        <v>Ahmad Zynu</v>
      </c>
      <c r="B387" s="41">
        <f ca="1">DATEDIF(Employees!$F387,TODAY(),"Y")</f>
        <v>7</v>
      </c>
      <c r="C387" s="42">
        <v>8</v>
      </c>
      <c r="D387" s="43" t="str">
        <f ca="1">IFERROR(IF(AND(Hardworking_Employee[[#This Row],[Years]]&gt;=5,Hardworking_Employee[[#This Row],[Overtime Hours]]&gt;50),"Yes","No"),"Not Found")</f>
        <v>No</v>
      </c>
    </row>
    <row r="388" spans="1:4" x14ac:dyDescent="0.35">
      <c r="A388" s="36" t="str">
        <f>_xlfn.TEXTJOIN(" ",TRUE,Employees_Data[[#This Row],[First Name]],Employees_Data[[#This Row],[Last Name]])</f>
        <v>Lwy Abu</v>
      </c>
      <c r="B388" s="37">
        <f ca="1">DATEDIF(Employees!$F388,TODAY(),"Y")</f>
        <v>7</v>
      </c>
      <c r="C388" s="38">
        <v>10</v>
      </c>
      <c r="D388" s="39" t="str">
        <f ca="1">IFERROR(IF(AND(Hardworking_Employee[[#This Row],[Years]]&gt;=5,Hardworking_Employee[[#This Row],[Overtime Hours]]&gt;50),"Yes","No"),"Not Found")</f>
        <v>No</v>
      </c>
    </row>
    <row r="389" spans="1:4" x14ac:dyDescent="0.35">
      <c r="A389" s="40" t="str">
        <f>_xlfn.TEXTJOIN(" ",TRUE,Employees_Data[[#This Row],[First Name]],Employees_Data[[#This Row],[Last Name]])</f>
        <v>Tariq Shams</v>
      </c>
      <c r="B389" s="41">
        <f ca="1">DATEDIF(Employees!$F389,TODAY(),"Y")</f>
        <v>6</v>
      </c>
      <c r="C389" s="42">
        <v>2</v>
      </c>
      <c r="D389" s="43" t="str">
        <f ca="1">IFERROR(IF(AND(Hardworking_Employee[[#This Row],[Years]]&gt;=5,Hardworking_Employee[[#This Row],[Overtime Hours]]&gt;50),"Yes","No"),"Not Found")</f>
        <v>No</v>
      </c>
    </row>
    <row r="390" spans="1:4" x14ac:dyDescent="0.35">
      <c r="A390" s="36" t="str">
        <f>_xlfn.TEXTJOIN(" ",TRUE,Employees_Data[[#This Row],[First Name]],Employees_Data[[#This Row],[Last Name]])</f>
        <v>Muhamad Khalil</v>
      </c>
      <c r="B390" s="37">
        <f ca="1">DATEDIF(Employees!$F390,TODAY(),"Y")</f>
        <v>6</v>
      </c>
      <c r="C390" s="38">
        <v>0</v>
      </c>
      <c r="D390" s="39" t="str">
        <f ca="1">IFERROR(IF(AND(Hardworking_Employee[[#This Row],[Years]]&gt;=5,Hardworking_Employee[[#This Row],[Overtime Hours]]&gt;50),"Yes","No"),"Not Found")</f>
        <v>No</v>
      </c>
    </row>
    <row r="391" spans="1:4" x14ac:dyDescent="0.35">
      <c r="A391" s="40" t="str">
        <f>_xlfn.TEXTJOIN(" ",TRUE,Employees_Data[[#This Row],[First Name]],Employees_Data[[#This Row],[Last Name]])</f>
        <v>Amal Alhusayn</v>
      </c>
      <c r="B391" s="41">
        <f ca="1">DATEDIF(Employees!$F391,TODAY(),"Y")</f>
        <v>6</v>
      </c>
      <c r="C391" s="42">
        <v>7</v>
      </c>
      <c r="D391" s="43" t="str">
        <f ca="1">IFERROR(IF(AND(Hardworking_Employee[[#This Row],[Years]]&gt;=5,Hardworking_Employee[[#This Row],[Overtime Hours]]&gt;50),"Yes","No"),"Not Found")</f>
        <v>No</v>
      </c>
    </row>
    <row r="392" spans="1:4" x14ac:dyDescent="0.35">
      <c r="A392" s="36" t="str">
        <f>_xlfn.TEXTJOIN(" ",TRUE,Employees_Data[[#This Row],[First Name]],Employees_Data[[#This Row],[Last Name]])</f>
        <v>Fadi Shakur</v>
      </c>
      <c r="B392" s="37">
        <f ca="1">DATEDIF(Employees!$F392,TODAY(),"Y")</f>
        <v>9</v>
      </c>
      <c r="C392" s="38">
        <v>8</v>
      </c>
      <c r="D392" s="39" t="str">
        <f ca="1">IFERROR(IF(AND(Hardworking_Employee[[#This Row],[Years]]&gt;=5,Hardworking_Employee[[#This Row],[Overtime Hours]]&gt;50),"Yes","No"),"Not Found")</f>
        <v>No</v>
      </c>
    </row>
    <row r="393" spans="1:4" x14ac:dyDescent="0.35">
      <c r="A393" s="40" t="str">
        <f>_xlfn.TEXTJOIN(" ",TRUE,Employees_Data[[#This Row],[First Name]],Employees_Data[[#This Row],[Last Name]])</f>
        <v>Abdalhai Sarhan</v>
      </c>
      <c r="B393" s="41">
        <f ca="1">DATEDIF(Employees!$F393,TODAY(),"Y")</f>
        <v>9</v>
      </c>
      <c r="C393" s="42">
        <v>8</v>
      </c>
      <c r="D393" s="43" t="str">
        <f ca="1">IFERROR(IF(AND(Hardworking_Employee[[#This Row],[Years]]&gt;=5,Hardworking_Employee[[#This Row],[Overtime Hours]]&gt;50),"Yes","No"),"Not Found")</f>
        <v>No</v>
      </c>
    </row>
    <row r="394" spans="1:4" x14ac:dyDescent="0.35">
      <c r="A394" s="36" t="str">
        <f>_xlfn.TEXTJOIN(" ",TRUE,Employees_Data[[#This Row],[First Name]],Employees_Data[[#This Row],[Last Name]])</f>
        <v>Ahmad Alqadi</v>
      </c>
      <c r="B394" s="37">
        <f ca="1">DATEDIF(Employees!$F394,TODAY(),"Y")</f>
        <v>8</v>
      </c>
      <c r="C394" s="38">
        <v>6</v>
      </c>
      <c r="D394" s="39" t="str">
        <f ca="1">IFERROR(IF(AND(Hardworking_Employee[[#This Row],[Years]]&gt;=5,Hardworking_Employee[[#This Row],[Overtime Hours]]&gt;50),"Yes","No"),"Not Found")</f>
        <v>No</v>
      </c>
    </row>
    <row r="395" spans="1:4" x14ac:dyDescent="0.35">
      <c r="A395" s="40" t="str">
        <f>_xlfn.TEXTJOIN(" ",TRUE,Employees_Data[[#This Row],[First Name]],Employees_Data[[#This Row],[Last Name]])</f>
        <v>Husam Albush</v>
      </c>
      <c r="B395" s="41">
        <f ca="1">DATEDIF(Employees!$F395,TODAY(),"Y")</f>
        <v>6</v>
      </c>
      <c r="C395" s="42">
        <v>5</v>
      </c>
      <c r="D395" s="43" t="str">
        <f ca="1">IFERROR(IF(AND(Hardworking_Employee[[#This Row],[Years]]&gt;=5,Hardworking_Employee[[#This Row],[Overtime Hours]]&gt;50),"Yes","No"),"Not Found")</f>
        <v>No</v>
      </c>
    </row>
    <row r="396" spans="1:4" x14ac:dyDescent="0.35">
      <c r="A396" s="36" t="str">
        <f>_xlfn.TEXTJOIN(" ",TRUE,Employees_Data[[#This Row],[First Name]],Employees_Data[[#This Row],[Last Name]])</f>
        <v>Anas Eabidin</v>
      </c>
      <c r="B396" s="37">
        <f ca="1">DATEDIF(Employees!$F396,TODAY(),"Y")</f>
        <v>6</v>
      </c>
      <c r="C396" s="38">
        <v>0</v>
      </c>
      <c r="D396" s="39" t="str">
        <f ca="1">IFERROR(IF(AND(Hardworking_Employee[[#This Row],[Years]]&gt;=5,Hardworking_Employee[[#This Row],[Overtime Hours]]&gt;50),"Yes","No"),"Not Found")</f>
        <v>No</v>
      </c>
    </row>
    <row r="397" spans="1:4" x14ac:dyDescent="0.35">
      <c r="A397" s="40" t="str">
        <f>_xlfn.TEXTJOIN(" ",TRUE,Employees_Data[[#This Row],[First Name]],Employees_Data[[#This Row],[Last Name]])</f>
        <v>Muhamad Ebdalwahd</v>
      </c>
      <c r="B397" s="41">
        <f ca="1">DATEDIF(Employees!$F397,TODAY(),"Y")</f>
        <v>7</v>
      </c>
      <c r="C397" s="42">
        <v>4</v>
      </c>
      <c r="D397" s="43" t="str">
        <f ca="1">IFERROR(IF(AND(Hardworking_Employee[[#This Row],[Years]]&gt;=5,Hardworking_Employee[[#This Row],[Overtime Hours]]&gt;50),"Yes","No"),"Not Found")</f>
        <v>No</v>
      </c>
    </row>
    <row r="398" spans="1:4" x14ac:dyDescent="0.35">
      <c r="A398" s="36" t="str">
        <f>_xlfn.TEXTJOIN(" ",TRUE,Employees_Data[[#This Row],[First Name]],Employees_Data[[#This Row],[Last Name]])</f>
        <v>Khalid Iibrahim</v>
      </c>
      <c r="B398" s="37">
        <f ca="1">DATEDIF(Employees!$F398,TODAY(),"Y")</f>
        <v>9</v>
      </c>
      <c r="C398" s="38">
        <v>3</v>
      </c>
      <c r="D398" s="39" t="str">
        <f ca="1">IFERROR(IF(AND(Hardworking_Employee[[#This Row],[Years]]&gt;=5,Hardworking_Employee[[#This Row],[Overtime Hours]]&gt;50),"Yes","No"),"Not Found")</f>
        <v>No</v>
      </c>
    </row>
    <row r="399" spans="1:4" x14ac:dyDescent="0.35">
      <c r="A399" s="40" t="str">
        <f>_xlfn.TEXTJOIN(" ",TRUE,Employees_Data[[#This Row],[First Name]],Employees_Data[[#This Row],[Last Name]])</f>
        <v>Muhamad Aleazm</v>
      </c>
      <c r="B399" s="41">
        <f ca="1">DATEDIF(Employees!$F399,TODAY(),"Y")</f>
        <v>8</v>
      </c>
      <c r="C399" s="42">
        <v>0</v>
      </c>
      <c r="D399" s="43" t="str">
        <f ca="1">IFERROR(IF(AND(Hardworking_Employee[[#This Row],[Years]]&gt;=5,Hardworking_Employee[[#This Row],[Overtime Hours]]&gt;50),"Yes","No"),"Not Found")</f>
        <v>No</v>
      </c>
    </row>
    <row r="400" spans="1:4" x14ac:dyDescent="0.35">
      <c r="A400" s="36" t="str">
        <f>_xlfn.TEXTJOIN(" ",TRUE,Employees_Data[[#This Row],[First Name]],Employees_Data[[#This Row],[Last Name]])</f>
        <v>Maya Alhmwi</v>
      </c>
      <c r="B400" s="37">
        <f ca="1">DATEDIF(Employees!$F400,TODAY(),"Y")</f>
        <v>7</v>
      </c>
      <c r="C400" s="38">
        <v>10</v>
      </c>
      <c r="D400" s="39" t="str">
        <f ca="1">IFERROR(IF(AND(Hardworking_Employee[[#This Row],[Years]]&gt;=5,Hardworking_Employee[[#This Row],[Overtime Hours]]&gt;50),"Yes","No"),"Not Found")</f>
        <v>No</v>
      </c>
    </row>
    <row r="401" spans="1:4" x14ac:dyDescent="0.35">
      <c r="A401" s="40" t="str">
        <f>_xlfn.TEXTJOIN(" ",TRUE,Employees_Data[[#This Row],[First Name]],Employees_Data[[#This Row],[Last Name]])</f>
        <v>Basil Khiat</v>
      </c>
      <c r="B401" s="41">
        <f ca="1">DATEDIF(Employees!$F401,TODAY(),"Y")</f>
        <v>5</v>
      </c>
      <c r="C401" s="42">
        <v>0</v>
      </c>
      <c r="D401" s="43" t="str">
        <f ca="1">IFERROR(IF(AND(Hardworking_Employee[[#This Row],[Years]]&gt;=5,Hardworking_Employee[[#This Row],[Overtime Hours]]&gt;50),"Yes","No"),"Not Found")</f>
        <v>No</v>
      </c>
    </row>
    <row r="402" spans="1:4" x14ac:dyDescent="0.35">
      <c r="A402" s="36" t="str">
        <f>_xlfn.TEXTJOIN(" ",TRUE,Employees_Data[[#This Row],[First Name]],Employees_Data[[#This Row],[Last Name]])</f>
        <v>Muhamad Zaydan</v>
      </c>
      <c r="B402" s="37">
        <f ca="1">DATEDIF(Employees!$F402,TODAY(),"Y")</f>
        <v>5</v>
      </c>
      <c r="C402" s="38">
        <v>1</v>
      </c>
      <c r="D402" s="39" t="str">
        <f ca="1">IFERROR(IF(AND(Hardworking_Employee[[#This Row],[Years]]&gt;=5,Hardworking_Employee[[#This Row],[Overtime Hours]]&gt;50),"Yes","No"),"Not Found")</f>
        <v>No</v>
      </c>
    </row>
    <row r="403" spans="1:4" x14ac:dyDescent="0.35">
      <c r="A403" s="40" t="str">
        <f>_xlfn.TEXTJOIN(" ",TRUE,Employees_Data[[#This Row],[First Name]],Employees_Data[[#This Row],[Last Name]])</f>
        <v>Randa Alajw</v>
      </c>
      <c r="B403" s="41">
        <f ca="1">DATEDIF(Employees!$F403,TODAY(),"Y")</f>
        <v>9</v>
      </c>
      <c r="C403" s="42">
        <v>8</v>
      </c>
      <c r="D403" s="43" t="str">
        <f ca="1">IFERROR(IF(AND(Hardworking_Employee[[#This Row],[Years]]&gt;=5,Hardworking_Employee[[#This Row],[Overtime Hours]]&gt;50),"Yes","No"),"Not Found")</f>
        <v>No</v>
      </c>
    </row>
    <row r="404" spans="1:4" x14ac:dyDescent="0.35">
      <c r="A404" s="36" t="str">
        <f>_xlfn.TEXTJOIN(" ",TRUE,Employees_Data[[#This Row],[First Name]],Employees_Data[[#This Row],[Last Name]])</f>
        <v>Muhamad Alghazi</v>
      </c>
      <c r="B404" s="37">
        <f ca="1">DATEDIF(Employees!$F404,TODAY(),"Y")</f>
        <v>7</v>
      </c>
      <c r="C404" s="38">
        <v>3</v>
      </c>
      <c r="D404" s="39" t="str">
        <f ca="1">IFERROR(IF(AND(Hardworking_Employee[[#This Row],[Years]]&gt;=5,Hardworking_Employee[[#This Row],[Overtime Hours]]&gt;50),"Yes","No"),"Not Found")</f>
        <v>No</v>
      </c>
    </row>
    <row r="405" spans="1:4" x14ac:dyDescent="0.35">
      <c r="A405" s="40" t="str">
        <f>_xlfn.TEXTJOIN(" ",TRUE,Employees_Data[[#This Row],[First Name]],Employees_Data[[#This Row],[Last Name]])</f>
        <v>Rahaf Eijluni</v>
      </c>
      <c r="B405" s="41">
        <f ca="1">DATEDIF(Employees!$F405,TODAY(),"Y")</f>
        <v>7</v>
      </c>
      <c r="C405" s="42">
        <v>0</v>
      </c>
      <c r="D405" s="43" t="str">
        <f ca="1">IFERROR(IF(AND(Hardworking_Employee[[#This Row],[Years]]&gt;=5,Hardworking_Employee[[#This Row],[Overtime Hours]]&gt;50),"Yes","No"),"Not Found")</f>
        <v>No</v>
      </c>
    </row>
    <row r="406" spans="1:4" x14ac:dyDescent="0.35">
      <c r="A406" s="36" t="str">
        <f>_xlfn.TEXTJOIN(" ",TRUE,Employees_Data[[#This Row],[First Name]],Employees_Data[[#This Row],[Last Name]])</f>
        <v>Sultan Alhijar</v>
      </c>
      <c r="B406" s="37">
        <f ca="1">DATEDIF(Employees!$F406,TODAY(),"Y")</f>
        <v>8</v>
      </c>
      <c r="C406" s="38">
        <v>45</v>
      </c>
      <c r="D406" s="39" t="str">
        <f ca="1">IFERROR(IF(AND(Hardworking_Employee[[#This Row],[Years]]&gt;=5,Hardworking_Employee[[#This Row],[Overtime Hours]]&gt;50),"Yes","No"),"Not Found")</f>
        <v>No</v>
      </c>
    </row>
    <row r="407" spans="1:4" x14ac:dyDescent="0.35">
      <c r="A407" s="40" t="str">
        <f>_xlfn.TEXTJOIN(" ",TRUE,Employees_Data[[#This Row],[First Name]],Employees_Data[[#This Row],[Last Name]])</f>
        <v>Asma Sadqawi</v>
      </c>
      <c r="B407" s="41">
        <f ca="1">DATEDIF(Employees!$F407,TODAY(),"Y")</f>
        <v>8</v>
      </c>
      <c r="C407" s="42">
        <v>5</v>
      </c>
      <c r="D407" s="43" t="str">
        <f ca="1">IFERROR(IF(AND(Hardworking_Employee[[#This Row],[Years]]&gt;=5,Hardworking_Employee[[#This Row],[Overtime Hours]]&gt;50),"Yes","No"),"Not Found")</f>
        <v>No</v>
      </c>
    </row>
    <row r="408" spans="1:4" x14ac:dyDescent="0.35">
      <c r="A408" s="36" t="str">
        <f>_xlfn.TEXTJOIN(" ",TRUE,Employees_Data[[#This Row],[First Name]],Employees_Data[[#This Row],[Last Name]])</f>
        <v>Fulla Alkhalid</v>
      </c>
      <c r="B408" s="37">
        <f ca="1">DATEDIF(Employees!$F408,TODAY(),"Y")</f>
        <v>7</v>
      </c>
      <c r="C408" s="38">
        <v>9</v>
      </c>
      <c r="D408" s="39" t="str">
        <f ca="1">IFERROR(IF(AND(Hardworking_Employee[[#This Row],[Years]]&gt;=5,Hardworking_Employee[[#This Row],[Overtime Hours]]&gt;50),"Yes","No"),"Not Found")</f>
        <v>No</v>
      </c>
    </row>
    <row r="409" spans="1:4" x14ac:dyDescent="0.35">
      <c r="A409" s="40" t="str">
        <f>_xlfn.TEXTJOIN(" ",TRUE,Employees_Data[[#This Row],[First Name]],Employees_Data[[#This Row],[Last Name]])</f>
        <v>Lujin Alaleppoy</v>
      </c>
      <c r="B409" s="41">
        <f ca="1">DATEDIF(Employees!$F409,TODAY(),"Y")</f>
        <v>9</v>
      </c>
      <c r="C409" s="42">
        <v>3</v>
      </c>
      <c r="D409" s="43" t="str">
        <f ca="1">IFERROR(IF(AND(Hardworking_Employee[[#This Row],[Years]]&gt;=5,Hardworking_Employee[[#This Row],[Overtime Hours]]&gt;50),"Yes","No"),"Not Found")</f>
        <v>No</v>
      </c>
    </row>
    <row r="410" spans="1:4" x14ac:dyDescent="0.35">
      <c r="A410" s="36" t="str">
        <f>_xlfn.TEXTJOIN(" ",TRUE,Employees_Data[[#This Row],[First Name]],Employees_Data[[#This Row],[Last Name]])</f>
        <v>Jihan Alqudmani</v>
      </c>
      <c r="B410" s="37">
        <f ca="1">DATEDIF(Employees!$F410,TODAY(),"Y")</f>
        <v>10</v>
      </c>
      <c r="C410" s="38">
        <v>4</v>
      </c>
      <c r="D410" s="39" t="str">
        <f ca="1">IFERROR(IF(AND(Hardworking_Employee[[#This Row],[Years]]&gt;=5,Hardworking_Employee[[#This Row],[Overtime Hours]]&gt;50),"Yes","No"),"Not Found")</f>
        <v>No</v>
      </c>
    </row>
    <row r="411" spans="1:4" x14ac:dyDescent="0.35">
      <c r="A411" s="40" t="str">
        <f>_xlfn.TEXTJOIN(" ",TRUE,Employees_Data[[#This Row],[First Name]],Employees_Data[[#This Row],[Last Name]])</f>
        <v>Anwar Alkhayran</v>
      </c>
      <c r="B411" s="41">
        <f ca="1">DATEDIF(Employees!$F411,TODAY(),"Y")</f>
        <v>7</v>
      </c>
      <c r="C411" s="42">
        <v>6</v>
      </c>
      <c r="D411" s="43" t="str">
        <f ca="1">IFERROR(IF(AND(Hardworking_Employee[[#This Row],[Years]]&gt;=5,Hardworking_Employee[[#This Row],[Overtime Hours]]&gt;50),"Yes","No"),"Not Found")</f>
        <v>No</v>
      </c>
    </row>
    <row r="412" spans="1:4" x14ac:dyDescent="0.35">
      <c r="A412" s="36" t="str">
        <f>_xlfn.TEXTJOIN(" ",TRUE,Employees_Data[[#This Row],[First Name]],Employees_Data[[#This Row],[Last Name]])</f>
        <v>Qasim Muhamad</v>
      </c>
      <c r="B412" s="37">
        <f ca="1">DATEDIF(Employees!$F412,TODAY(),"Y")</f>
        <v>6</v>
      </c>
      <c r="C412" s="38">
        <v>12</v>
      </c>
      <c r="D412" s="39" t="str">
        <f ca="1">IFERROR(IF(AND(Hardworking_Employee[[#This Row],[Years]]&gt;=5,Hardworking_Employee[[#This Row],[Overtime Hours]]&gt;50),"Yes","No"),"Not Found")</f>
        <v>No</v>
      </c>
    </row>
    <row r="413" spans="1:4" x14ac:dyDescent="0.35">
      <c r="A413" s="40" t="str">
        <f>_xlfn.TEXTJOIN(" ",TRUE,Employees_Data[[#This Row],[First Name]],Employees_Data[[#This Row],[Last Name]])</f>
        <v>Samir Altaynawi</v>
      </c>
      <c r="B413" s="41">
        <f ca="1">DATEDIF(Employees!$F413,TODAY(),"Y")</f>
        <v>9</v>
      </c>
      <c r="C413" s="42">
        <v>4</v>
      </c>
      <c r="D413" s="43" t="str">
        <f ca="1">IFERROR(IF(AND(Hardworking_Employee[[#This Row],[Years]]&gt;=5,Hardworking_Employee[[#This Row],[Overtime Hours]]&gt;50),"Yes","No"),"Not Found")</f>
        <v>No</v>
      </c>
    </row>
    <row r="414" spans="1:4" x14ac:dyDescent="0.35">
      <c r="A414" s="36" t="str">
        <f>_xlfn.TEXTJOIN(" ",TRUE,Employees_Data[[#This Row],[First Name]],Employees_Data[[#This Row],[Last Name]])</f>
        <v>Alaa Hafiz</v>
      </c>
      <c r="B414" s="37">
        <f ca="1">DATEDIF(Employees!$F414,TODAY(),"Y")</f>
        <v>6</v>
      </c>
      <c r="C414" s="38">
        <v>0</v>
      </c>
      <c r="D414" s="39" t="str">
        <f ca="1">IFERROR(IF(AND(Hardworking_Employee[[#This Row],[Years]]&gt;=5,Hardworking_Employee[[#This Row],[Overtime Hours]]&gt;50),"Yes","No"),"Not Found")</f>
        <v>No</v>
      </c>
    </row>
    <row r="415" spans="1:4" x14ac:dyDescent="0.35">
      <c r="A415" s="40" t="str">
        <f>_xlfn.TEXTJOIN(" ",TRUE,Employees_Data[[#This Row],[First Name]],Employees_Data[[#This Row],[Last Name]])</f>
        <v>Kamilia Sydu</v>
      </c>
      <c r="B415" s="41">
        <f ca="1">DATEDIF(Employees!$F415,TODAY(),"Y")</f>
        <v>7</v>
      </c>
      <c r="C415" s="42">
        <v>5</v>
      </c>
      <c r="D415" s="43" t="str">
        <f ca="1">IFERROR(IF(AND(Hardworking_Employee[[#This Row],[Years]]&gt;=5,Hardworking_Employee[[#This Row],[Overtime Hours]]&gt;50),"Yes","No"),"Not Found")</f>
        <v>No</v>
      </c>
    </row>
    <row r="416" spans="1:4" x14ac:dyDescent="0.35">
      <c r="A416" s="36" t="str">
        <f>_xlfn.TEXTJOIN(" ",TRUE,Employees_Data[[#This Row],[First Name]],Employees_Data[[#This Row],[Last Name]])</f>
        <v>Ali Marwan</v>
      </c>
      <c r="B416" s="37">
        <f ca="1">DATEDIF(Employees!$F416,TODAY(),"Y")</f>
        <v>7</v>
      </c>
      <c r="C416" s="38">
        <v>35</v>
      </c>
      <c r="D416" s="39" t="str">
        <f ca="1">IFERROR(IF(AND(Hardworking_Employee[[#This Row],[Years]]&gt;=5,Hardworking_Employee[[#This Row],[Overtime Hours]]&gt;50),"Yes","No"),"Not Found")</f>
        <v>No</v>
      </c>
    </row>
    <row r="417" spans="1:4" x14ac:dyDescent="0.35">
      <c r="A417" s="40" t="str">
        <f>_xlfn.TEXTJOIN(" ",TRUE,Employees_Data[[#This Row],[First Name]],Employees_Data[[#This Row],[Last Name]])</f>
        <v>Mahir Almarstani</v>
      </c>
      <c r="B417" s="41">
        <f ca="1">DATEDIF(Employees!$F417,TODAY(),"Y")</f>
        <v>6</v>
      </c>
      <c r="C417" s="42">
        <v>3</v>
      </c>
      <c r="D417" s="43" t="str">
        <f ca="1">IFERROR(IF(AND(Hardworking_Employee[[#This Row],[Years]]&gt;=5,Hardworking_Employee[[#This Row],[Overtime Hours]]&gt;50),"Yes","No"),"Not Found")</f>
        <v>No</v>
      </c>
    </row>
    <row r="418" spans="1:4" x14ac:dyDescent="0.35">
      <c r="A418" s="36" t="str">
        <f>_xlfn.TEXTJOIN(" ",TRUE,Employees_Data[[#This Row],[First Name]],Employees_Data[[#This Row],[Last Name]])</f>
        <v>Rwad Alddahir</v>
      </c>
      <c r="B418" s="37">
        <f ca="1">DATEDIF(Employees!$F418,TODAY(),"Y")</f>
        <v>9</v>
      </c>
      <c r="C418" s="38">
        <v>7</v>
      </c>
      <c r="D418" s="39" t="str">
        <f ca="1">IFERROR(IF(AND(Hardworking_Employee[[#This Row],[Years]]&gt;=5,Hardworking_Employee[[#This Row],[Overtime Hours]]&gt;50),"Yes","No"),"Not Found")</f>
        <v>No</v>
      </c>
    </row>
    <row r="419" spans="1:4" x14ac:dyDescent="0.35">
      <c r="A419" s="40" t="str">
        <f>_xlfn.TEXTJOIN(" ",TRUE,Employees_Data[[#This Row],[First Name]],Employees_Data[[#This Row],[Last Name]])</f>
        <v>Jury Eabuwd</v>
      </c>
      <c r="B419" s="41">
        <f ca="1">DATEDIF(Employees!$F419,TODAY(),"Y")</f>
        <v>7</v>
      </c>
      <c r="C419" s="42">
        <v>8</v>
      </c>
      <c r="D419" s="43" t="str">
        <f ca="1">IFERROR(IF(AND(Hardworking_Employee[[#This Row],[Years]]&gt;=5,Hardworking_Employee[[#This Row],[Overtime Hours]]&gt;50),"Yes","No"),"Not Found")</f>
        <v>No</v>
      </c>
    </row>
    <row r="420" spans="1:4" x14ac:dyDescent="0.35">
      <c r="A420" s="36" t="str">
        <f>_xlfn.TEXTJOIN(" ",TRUE,Employees_Data[[#This Row],[First Name]],Employees_Data[[#This Row],[Last Name]])</f>
        <v>Sayban Musur</v>
      </c>
      <c r="B420" s="37">
        <f ca="1">DATEDIF(Employees!$F420,TODAY(),"Y")</f>
        <v>7</v>
      </c>
      <c r="C420" s="38">
        <v>7</v>
      </c>
      <c r="D420" s="39" t="str">
        <f ca="1">IFERROR(IF(AND(Hardworking_Employee[[#This Row],[Years]]&gt;=5,Hardworking_Employee[[#This Row],[Overtime Hours]]&gt;50),"Yes","No"),"Not Found")</f>
        <v>No</v>
      </c>
    </row>
    <row r="421" spans="1:4" x14ac:dyDescent="0.35">
      <c r="A421" s="40" t="str">
        <f>_xlfn.TEXTJOIN(" ",TRUE,Employees_Data[[#This Row],[First Name]],Employees_Data[[#This Row],[Last Name]])</f>
        <v>Diana Muayid</v>
      </c>
      <c r="B421" s="41">
        <f ca="1">DATEDIF(Employees!$F421,TODAY(),"Y")</f>
        <v>7</v>
      </c>
      <c r="C421" s="42">
        <v>3</v>
      </c>
      <c r="D421" s="43" t="str">
        <f ca="1">IFERROR(IF(AND(Hardworking_Employee[[#This Row],[Years]]&gt;=5,Hardworking_Employee[[#This Row],[Overtime Hours]]&gt;50),"Yes","No"),"Not Found")</f>
        <v>No</v>
      </c>
    </row>
    <row r="422" spans="1:4" x14ac:dyDescent="0.35">
      <c r="A422" s="36" t="str">
        <f>_xlfn.TEXTJOIN(" ",TRUE,Employees_Data[[#This Row],[First Name]],Employees_Data[[#This Row],[Last Name]])</f>
        <v>Lbyb Fahd</v>
      </c>
      <c r="B422" s="37">
        <f ca="1">DATEDIF(Employees!$F422,TODAY(),"Y")</f>
        <v>6</v>
      </c>
      <c r="C422" s="38">
        <v>0</v>
      </c>
      <c r="D422" s="39" t="str">
        <f ca="1">IFERROR(IF(AND(Hardworking_Employee[[#This Row],[Years]]&gt;=5,Hardworking_Employee[[#This Row],[Overtime Hours]]&gt;50),"Yes","No"),"Not Found")</f>
        <v>No</v>
      </c>
    </row>
    <row r="423" spans="1:4" x14ac:dyDescent="0.35">
      <c r="A423" s="40" t="str">
        <f>_xlfn.TEXTJOIN(" ",TRUE,Employees_Data[[#This Row],[First Name]],Employees_Data[[#This Row],[Last Name]])</f>
        <v>Bashshar Bilul</v>
      </c>
      <c r="B423" s="41">
        <f ca="1">DATEDIF(Employees!$F423,TODAY(),"Y")</f>
        <v>8</v>
      </c>
      <c r="C423" s="42">
        <v>14</v>
      </c>
      <c r="D423" s="43" t="str">
        <f ca="1">IFERROR(IF(AND(Hardworking_Employee[[#This Row],[Years]]&gt;=5,Hardworking_Employee[[#This Row],[Overtime Hours]]&gt;50),"Yes","No"),"Not Found")</f>
        <v>No</v>
      </c>
    </row>
    <row r="424" spans="1:4" x14ac:dyDescent="0.35">
      <c r="A424" s="36" t="str">
        <f>_xlfn.TEXTJOIN(" ",TRUE,Employees_Data[[#This Row],[First Name]],Employees_Data[[#This Row],[Last Name]])</f>
        <v>Ali Alnuwri</v>
      </c>
      <c r="B424" s="37">
        <f ca="1">DATEDIF(Employees!$F424,TODAY(),"Y")</f>
        <v>6</v>
      </c>
      <c r="C424" s="38">
        <v>0</v>
      </c>
      <c r="D424" s="39" t="str">
        <f ca="1">IFERROR(IF(AND(Hardworking_Employee[[#This Row],[Years]]&gt;=5,Hardworking_Employee[[#This Row],[Overtime Hours]]&gt;50),"Yes","No"),"Not Found")</f>
        <v>No</v>
      </c>
    </row>
    <row r="425" spans="1:4" x14ac:dyDescent="0.35">
      <c r="A425" s="40" t="str">
        <f>_xlfn.TEXTJOIN(" ",TRUE,Employees_Data[[#This Row],[First Name]],Employees_Data[[#This Row],[Last Name]])</f>
        <v>Salim Aleabd</v>
      </c>
      <c r="B425" s="41">
        <f ca="1">DATEDIF(Employees!$F425,TODAY(),"Y")</f>
        <v>8</v>
      </c>
      <c r="C425" s="42">
        <v>97</v>
      </c>
      <c r="D425" s="43" t="str">
        <f ca="1">IFERROR(IF(AND(Hardworking_Employee[[#This Row],[Years]]&gt;=5,Hardworking_Employee[[#This Row],[Overtime Hours]]&gt;50),"Yes","No"),"Not Found")</f>
        <v>Yes</v>
      </c>
    </row>
    <row r="426" spans="1:4" x14ac:dyDescent="0.35">
      <c r="A426" s="36" t="str">
        <f>_xlfn.TEXTJOIN(" ",TRUE,Employees_Data[[#This Row],[First Name]],Employees_Data[[#This Row],[Last Name]])</f>
        <v>Abd Alruhmin Allaham</v>
      </c>
      <c r="B426" s="37">
        <f ca="1">DATEDIF(Employees!$F426,TODAY(),"Y")</f>
        <v>6</v>
      </c>
      <c r="C426" s="38">
        <v>4</v>
      </c>
      <c r="D426" s="39" t="str">
        <f ca="1">IFERROR(IF(AND(Hardworking_Employee[[#This Row],[Years]]&gt;=5,Hardworking_Employee[[#This Row],[Overtime Hours]]&gt;50),"Yes","No"),"Not Found")</f>
        <v>No</v>
      </c>
    </row>
    <row r="427" spans="1:4" x14ac:dyDescent="0.35">
      <c r="A427" s="40" t="str">
        <f>_xlfn.TEXTJOIN(" ",TRUE,Employees_Data[[#This Row],[First Name]],Employees_Data[[#This Row],[Last Name]])</f>
        <v>Muhamad Raft</v>
      </c>
      <c r="B427" s="41">
        <f ca="1">DATEDIF(Employees!$F427,TODAY(),"Y")</f>
        <v>10</v>
      </c>
      <c r="C427" s="42">
        <v>6</v>
      </c>
      <c r="D427" s="43" t="str">
        <f ca="1">IFERROR(IF(AND(Hardworking_Employee[[#This Row],[Years]]&gt;=5,Hardworking_Employee[[#This Row],[Overtime Hours]]&gt;50),"Yes","No"),"Not Found")</f>
        <v>No</v>
      </c>
    </row>
    <row r="428" spans="1:4" x14ac:dyDescent="0.35">
      <c r="A428" s="36" t="str">
        <f>_xlfn.TEXTJOIN(" ",TRUE,Employees_Data[[#This Row],[First Name]],Employees_Data[[#This Row],[Last Name]])</f>
        <v>Ahmad Shakir</v>
      </c>
      <c r="B428" s="37">
        <f ca="1">DATEDIF(Employees!$F428,TODAY(),"Y")</f>
        <v>7</v>
      </c>
      <c r="C428" s="38">
        <v>6</v>
      </c>
      <c r="D428" s="39" t="str">
        <f ca="1">IFERROR(IF(AND(Hardworking_Employee[[#This Row],[Years]]&gt;=5,Hardworking_Employee[[#This Row],[Overtime Hours]]&gt;50),"Yes","No"),"Not Found")</f>
        <v>No</v>
      </c>
    </row>
    <row r="429" spans="1:4" x14ac:dyDescent="0.35">
      <c r="A429" s="40" t="str">
        <f>_xlfn.TEXTJOIN(" ",TRUE,Employees_Data[[#This Row],[First Name]],Employees_Data[[#This Row],[Last Name]])</f>
        <v>Rasha Asead</v>
      </c>
      <c r="B429" s="41">
        <f ca="1">DATEDIF(Employees!$F429,TODAY(),"Y")</f>
        <v>6</v>
      </c>
      <c r="C429" s="42">
        <v>6</v>
      </c>
      <c r="D429" s="43" t="str">
        <f ca="1">IFERROR(IF(AND(Hardworking_Employee[[#This Row],[Years]]&gt;=5,Hardworking_Employee[[#This Row],[Overtime Hours]]&gt;50),"Yes","No"),"Not Found")</f>
        <v>No</v>
      </c>
    </row>
    <row r="430" spans="1:4" x14ac:dyDescent="0.35">
      <c r="A430" s="36" t="str">
        <f>_xlfn.TEXTJOIN(" ",TRUE,Employees_Data[[#This Row],[First Name]],Employees_Data[[#This Row],[Last Name]])</f>
        <v>Omar Alwurhani</v>
      </c>
      <c r="B430" s="37">
        <f ca="1">DATEDIF(Employees!$F430,TODAY(),"Y")</f>
        <v>7</v>
      </c>
      <c r="C430" s="38">
        <v>5</v>
      </c>
      <c r="D430" s="39" t="str">
        <f ca="1">IFERROR(IF(AND(Hardworking_Employee[[#This Row],[Years]]&gt;=5,Hardworking_Employee[[#This Row],[Overtime Hours]]&gt;50),"Yes","No"),"Not Found")</f>
        <v>No</v>
      </c>
    </row>
    <row r="431" spans="1:4" x14ac:dyDescent="0.35">
      <c r="A431" s="40" t="str">
        <f>_xlfn.TEXTJOIN(" ",TRUE,Employees_Data[[#This Row],[First Name]],Employees_Data[[#This Row],[Last Name]])</f>
        <v>Ayham Kharbutli</v>
      </c>
      <c r="B431" s="41">
        <f ca="1">DATEDIF(Employees!$F431,TODAY(),"Y")</f>
        <v>7</v>
      </c>
      <c r="C431" s="42">
        <v>3</v>
      </c>
      <c r="D431" s="43" t="str">
        <f ca="1">IFERROR(IF(AND(Hardworking_Employee[[#This Row],[Years]]&gt;=5,Hardworking_Employee[[#This Row],[Overtime Hours]]&gt;50),"Yes","No"),"Not Found")</f>
        <v>No</v>
      </c>
    </row>
    <row r="432" spans="1:4" x14ac:dyDescent="0.35">
      <c r="A432" s="36" t="str">
        <f>_xlfn.TEXTJOIN(" ",TRUE,Employees_Data[[#This Row],[First Name]],Employees_Data[[#This Row],[Last Name]])</f>
        <v>Sahar Jaridiun</v>
      </c>
      <c r="B432" s="37">
        <f ca="1">DATEDIF(Employees!$F432,TODAY(),"Y")</f>
        <v>10</v>
      </c>
      <c r="C432" s="38">
        <v>8</v>
      </c>
      <c r="D432" s="39" t="str">
        <f ca="1">IFERROR(IF(AND(Hardworking_Employee[[#This Row],[Years]]&gt;=5,Hardworking_Employee[[#This Row],[Overtime Hours]]&gt;50),"Yes","No"),"Not Found")</f>
        <v>No</v>
      </c>
    </row>
    <row r="433" spans="1:4" x14ac:dyDescent="0.35">
      <c r="A433" s="40" t="str">
        <f>_xlfn.TEXTJOIN(" ",TRUE,Employees_Data[[#This Row],[First Name]],Employees_Data[[#This Row],[Last Name]])</f>
        <v>Muhamad Tamur</v>
      </c>
      <c r="B433" s="41">
        <f ca="1">DATEDIF(Employees!$F433,TODAY(),"Y")</f>
        <v>7</v>
      </c>
      <c r="C433" s="42">
        <v>8</v>
      </c>
      <c r="D433" s="43" t="str">
        <f ca="1">IFERROR(IF(AND(Hardworking_Employee[[#This Row],[Years]]&gt;=5,Hardworking_Employee[[#This Row],[Overtime Hours]]&gt;50),"Yes","No"),"Not Found")</f>
        <v>No</v>
      </c>
    </row>
    <row r="434" spans="1:4" x14ac:dyDescent="0.35">
      <c r="A434" s="36" t="str">
        <f>_xlfn.TEXTJOIN(" ",TRUE,Employees_Data[[#This Row],[First Name]],Employees_Data[[#This Row],[Last Name]])</f>
        <v>Ayham Alkhlf</v>
      </c>
      <c r="B434" s="37">
        <f ca="1">DATEDIF(Employees!$F434,TODAY(),"Y")</f>
        <v>8</v>
      </c>
      <c r="C434" s="38">
        <v>10</v>
      </c>
      <c r="D434" s="39" t="str">
        <f ca="1">IFERROR(IF(AND(Hardworking_Employee[[#This Row],[Years]]&gt;=5,Hardworking_Employee[[#This Row],[Overtime Hours]]&gt;50),"Yes","No"),"Not Found")</f>
        <v>No</v>
      </c>
    </row>
    <row r="435" spans="1:4" x14ac:dyDescent="0.35">
      <c r="A435" s="40" t="str">
        <f>_xlfn.TEXTJOIN(" ",TRUE,Employees_Data[[#This Row],[First Name]],Employees_Data[[#This Row],[Last Name]])</f>
        <v>Emar Eisaf</v>
      </c>
      <c r="B435" s="41">
        <f ca="1">DATEDIF(Employees!$F435,TODAY(),"Y")</f>
        <v>8</v>
      </c>
      <c r="C435" s="42">
        <v>2</v>
      </c>
      <c r="D435" s="43" t="str">
        <f ca="1">IFERROR(IF(AND(Hardworking_Employee[[#This Row],[Years]]&gt;=5,Hardworking_Employee[[#This Row],[Overtime Hours]]&gt;50),"Yes","No"),"Not Found")</f>
        <v>No</v>
      </c>
    </row>
    <row r="436" spans="1:4" x14ac:dyDescent="0.35">
      <c r="A436" s="36" t="str">
        <f>_xlfn.TEXTJOIN(" ",TRUE,Employees_Data[[#This Row],[First Name]],Employees_Data[[#This Row],[Last Name]])</f>
        <v>Iin Bitahish</v>
      </c>
      <c r="B436" s="37">
        <f ca="1">DATEDIF(Employees!$F436,TODAY(),"Y")</f>
        <v>6</v>
      </c>
      <c r="C436" s="38">
        <v>6</v>
      </c>
      <c r="D436" s="39" t="str">
        <f ca="1">IFERROR(IF(AND(Hardworking_Employee[[#This Row],[Years]]&gt;=5,Hardworking_Employee[[#This Row],[Overtime Hours]]&gt;50),"Yes","No"),"Not Found")</f>
        <v>No</v>
      </c>
    </row>
    <row r="437" spans="1:4" x14ac:dyDescent="0.35">
      <c r="A437" s="40" t="str">
        <f>_xlfn.TEXTJOIN(" ",TRUE,Employees_Data[[#This Row],[First Name]],Employees_Data[[#This Row],[Last Name]])</f>
        <v>Abdalrhim Eimaruh</v>
      </c>
      <c r="B437" s="41">
        <f ca="1">DATEDIF(Employees!$F437,TODAY(),"Y")</f>
        <v>6</v>
      </c>
      <c r="C437" s="42">
        <v>6</v>
      </c>
      <c r="D437" s="43" t="str">
        <f ca="1">IFERROR(IF(AND(Hardworking_Employee[[#This Row],[Years]]&gt;=5,Hardworking_Employee[[#This Row],[Overtime Hours]]&gt;50),"Yes","No"),"Not Found")</f>
        <v>No</v>
      </c>
    </row>
    <row r="438" spans="1:4" x14ac:dyDescent="0.35">
      <c r="A438" s="36" t="str">
        <f>_xlfn.TEXTJOIN(" ",TRUE,Employees_Data[[#This Row],[First Name]],Employees_Data[[#This Row],[Last Name]])</f>
        <v>Bashaer Hadalah</v>
      </c>
      <c r="B438" s="37">
        <f ca="1">DATEDIF(Employees!$F438,TODAY(),"Y")</f>
        <v>6</v>
      </c>
      <c r="C438" s="38">
        <v>8</v>
      </c>
      <c r="D438" s="39" t="str">
        <f ca="1">IFERROR(IF(AND(Hardworking_Employee[[#This Row],[Years]]&gt;=5,Hardworking_Employee[[#This Row],[Overtime Hours]]&gt;50),"Yes","No"),"Not Found")</f>
        <v>No</v>
      </c>
    </row>
    <row r="439" spans="1:4" x14ac:dyDescent="0.35">
      <c r="A439" s="40" t="str">
        <f>_xlfn.TEXTJOIN(" ",TRUE,Employees_Data[[#This Row],[First Name]],Employees_Data[[#This Row],[Last Name]])</f>
        <v>Sana Maeruf</v>
      </c>
      <c r="B439" s="41">
        <f ca="1">DATEDIF(Employees!$F439,TODAY(),"Y")</f>
        <v>6</v>
      </c>
      <c r="C439" s="42">
        <v>61</v>
      </c>
      <c r="D439" s="43" t="str">
        <f ca="1">IFERROR(IF(AND(Hardworking_Employee[[#This Row],[Years]]&gt;=5,Hardworking_Employee[[#This Row],[Overtime Hours]]&gt;50),"Yes","No"),"Not Found")</f>
        <v>Yes</v>
      </c>
    </row>
    <row r="440" spans="1:4" x14ac:dyDescent="0.35">
      <c r="A440" s="36" t="str">
        <f>_xlfn.TEXTJOIN(" ",TRUE,Employees_Data[[#This Row],[First Name]],Employees_Data[[#This Row],[Last Name]])</f>
        <v>Amir Alnuwnu</v>
      </c>
      <c r="B440" s="37">
        <f ca="1">DATEDIF(Employees!$F440,TODAY(),"Y")</f>
        <v>6</v>
      </c>
      <c r="C440" s="38">
        <v>5</v>
      </c>
      <c r="D440" s="39" t="str">
        <f ca="1">IFERROR(IF(AND(Hardworking_Employee[[#This Row],[Years]]&gt;=5,Hardworking_Employee[[#This Row],[Overtime Hours]]&gt;50),"Yes","No"),"Not Found")</f>
        <v>No</v>
      </c>
    </row>
    <row r="441" spans="1:4" x14ac:dyDescent="0.35">
      <c r="A441" s="40" t="str">
        <f>_xlfn.TEXTJOIN(" ",TRUE,Employees_Data[[#This Row],[First Name]],Employees_Data[[#This Row],[Last Name]])</f>
        <v>Salim Albarghali</v>
      </c>
      <c r="B441" s="41">
        <f ca="1">DATEDIF(Employees!$F441,TODAY(),"Y")</f>
        <v>6</v>
      </c>
      <c r="C441" s="42">
        <v>7</v>
      </c>
      <c r="D441" s="43" t="str">
        <f ca="1">IFERROR(IF(AND(Hardworking_Employee[[#This Row],[Years]]&gt;=5,Hardworking_Employee[[#This Row],[Overtime Hours]]&gt;50),"Yes","No"),"Not Found")</f>
        <v>No</v>
      </c>
    </row>
    <row r="442" spans="1:4" x14ac:dyDescent="0.35">
      <c r="A442" s="36" t="str">
        <f>_xlfn.TEXTJOIN(" ",TRUE,Employees_Data[[#This Row],[First Name]],Employees_Data[[#This Row],[Last Name]])</f>
        <v>Iin Murad</v>
      </c>
      <c r="B442" s="37">
        <f ca="1">DATEDIF(Employees!$F442,TODAY(),"Y")</f>
        <v>9</v>
      </c>
      <c r="C442" s="38">
        <v>10</v>
      </c>
      <c r="D442" s="39" t="str">
        <f ca="1">IFERROR(IF(AND(Hardworking_Employee[[#This Row],[Years]]&gt;=5,Hardworking_Employee[[#This Row],[Overtime Hours]]&gt;50),"Yes","No"),"Not Found")</f>
        <v>No</v>
      </c>
    </row>
    <row r="443" spans="1:4" x14ac:dyDescent="0.35">
      <c r="A443" s="40" t="str">
        <f>_xlfn.TEXTJOIN(" ",TRUE,Employees_Data[[#This Row],[First Name]],Employees_Data[[#This Row],[Last Name]])</f>
        <v>Baha Aldiyn Marzuq</v>
      </c>
      <c r="B443" s="41">
        <f ca="1">DATEDIF(Employees!$F443,TODAY(),"Y")</f>
        <v>8</v>
      </c>
      <c r="C443" s="42">
        <v>38</v>
      </c>
      <c r="D443" s="43" t="str">
        <f ca="1">IFERROR(IF(AND(Hardworking_Employee[[#This Row],[Years]]&gt;=5,Hardworking_Employee[[#This Row],[Overtime Hours]]&gt;50),"Yes","No"),"Not Found")</f>
        <v>No</v>
      </c>
    </row>
    <row r="444" spans="1:4" x14ac:dyDescent="0.35">
      <c r="A444" s="36" t="str">
        <f>_xlfn.TEXTJOIN(" ",TRUE,Employees_Data[[#This Row],[First Name]],Employees_Data[[#This Row],[Last Name]])</f>
        <v>Abd Alruhmin Hamj</v>
      </c>
      <c r="B444" s="37">
        <f ca="1">DATEDIF(Employees!$F444,TODAY(),"Y")</f>
        <v>6</v>
      </c>
      <c r="C444" s="38">
        <v>6</v>
      </c>
      <c r="D444" s="39" t="str">
        <f ca="1">IFERROR(IF(AND(Hardworking_Employee[[#This Row],[Years]]&gt;=5,Hardworking_Employee[[#This Row],[Overtime Hours]]&gt;50),"Yes","No"),"Not Found")</f>
        <v>No</v>
      </c>
    </row>
    <row r="445" spans="1:4" x14ac:dyDescent="0.35">
      <c r="A445" s="40" t="str">
        <f>_xlfn.TEXTJOIN(" ",TRUE,Employees_Data[[#This Row],[First Name]],Employees_Data[[#This Row],[Last Name]])</f>
        <v>Ahmad Bradey</v>
      </c>
      <c r="B445" s="41">
        <f ca="1">DATEDIF(Employees!$F445,TODAY(),"Y")</f>
        <v>8</v>
      </c>
      <c r="C445" s="42">
        <v>8</v>
      </c>
      <c r="D445" s="43" t="str">
        <f ca="1">IFERROR(IF(AND(Hardworking_Employee[[#This Row],[Years]]&gt;=5,Hardworking_Employee[[#This Row],[Overtime Hours]]&gt;50),"Yes","No"),"Not Found")</f>
        <v>No</v>
      </c>
    </row>
    <row r="446" spans="1:4" x14ac:dyDescent="0.35">
      <c r="A446" s="36" t="str">
        <f>_xlfn.TEXTJOIN(" ",TRUE,Employees_Data[[#This Row],[First Name]],Employees_Data[[#This Row],[Last Name]])</f>
        <v>Sabah Qadish</v>
      </c>
      <c r="B446" s="37">
        <f ca="1">DATEDIF(Employees!$F446,TODAY(),"Y")</f>
        <v>7</v>
      </c>
      <c r="C446" s="38">
        <v>6</v>
      </c>
      <c r="D446" s="39" t="str">
        <f ca="1">IFERROR(IF(AND(Hardworking_Employee[[#This Row],[Years]]&gt;=5,Hardworking_Employee[[#This Row],[Overtime Hours]]&gt;50),"Yes","No"),"Not Found")</f>
        <v>No</v>
      </c>
    </row>
    <row r="447" spans="1:4" x14ac:dyDescent="0.35">
      <c r="A447" s="40" t="str">
        <f>_xlfn.TEXTJOIN(" ",TRUE,Employees_Data[[#This Row],[First Name]],Employees_Data[[#This Row],[Last Name]])</f>
        <v>Asra Almisri</v>
      </c>
      <c r="B447" s="41">
        <f ca="1">DATEDIF(Employees!$F447,TODAY(),"Y")</f>
        <v>8</v>
      </c>
      <c r="C447" s="42">
        <v>9</v>
      </c>
      <c r="D447" s="43" t="str">
        <f ca="1">IFERROR(IF(AND(Hardworking_Employee[[#This Row],[Years]]&gt;=5,Hardworking_Employee[[#This Row],[Overtime Hours]]&gt;50),"Yes","No"),"Not Found")</f>
        <v>No</v>
      </c>
    </row>
    <row r="448" spans="1:4" x14ac:dyDescent="0.35">
      <c r="A448" s="36" t="str">
        <f>_xlfn.TEXTJOIN(" ",TRUE,Employees_Data[[#This Row],[First Name]],Employees_Data[[#This Row],[Last Name]])</f>
        <v>Faras Kawaara</v>
      </c>
      <c r="B448" s="37">
        <f ca="1">DATEDIF(Employees!$F448,TODAY(),"Y")</f>
        <v>9</v>
      </c>
      <c r="C448" s="38">
        <v>7</v>
      </c>
      <c r="D448" s="39" t="str">
        <f ca="1">IFERROR(IF(AND(Hardworking_Employee[[#This Row],[Years]]&gt;=5,Hardworking_Employee[[#This Row],[Overtime Hours]]&gt;50),"Yes","No"),"Not Found")</f>
        <v>No</v>
      </c>
    </row>
    <row r="449" spans="1:4" x14ac:dyDescent="0.35">
      <c r="A449" s="40" t="str">
        <f>_xlfn.TEXTJOIN(" ",TRUE,Employees_Data[[#This Row],[First Name]],Employees_Data[[#This Row],[Last Name]])</f>
        <v>Muhamad Abunfis</v>
      </c>
      <c r="B449" s="41">
        <f ca="1">DATEDIF(Employees!$F449,TODAY(),"Y")</f>
        <v>8</v>
      </c>
      <c r="C449" s="42">
        <v>5</v>
      </c>
      <c r="D449" s="43" t="str">
        <f ca="1">IFERROR(IF(AND(Hardworking_Employee[[#This Row],[Years]]&gt;=5,Hardworking_Employee[[#This Row],[Overtime Hours]]&gt;50),"Yes","No"),"Not Found")</f>
        <v>No</v>
      </c>
    </row>
    <row r="450" spans="1:4" x14ac:dyDescent="0.35">
      <c r="A450" s="36" t="str">
        <f>_xlfn.TEXTJOIN(" ",TRUE,Employees_Data[[#This Row],[First Name]],Employees_Data[[#This Row],[Last Name]])</f>
        <v>Lawiy Shiah</v>
      </c>
      <c r="B450" s="37">
        <f ca="1">DATEDIF(Employees!$F450,TODAY(),"Y")</f>
        <v>8</v>
      </c>
      <c r="C450" s="38">
        <v>5</v>
      </c>
      <c r="D450" s="39" t="str">
        <f ca="1">IFERROR(IF(AND(Hardworking_Employee[[#This Row],[Years]]&gt;=5,Hardworking_Employee[[#This Row],[Overtime Hours]]&gt;50),"Yes","No"),"Not Found")</f>
        <v>No</v>
      </c>
    </row>
    <row r="451" spans="1:4" x14ac:dyDescent="0.35">
      <c r="A451" s="40" t="str">
        <f>_xlfn.TEXTJOIN(" ",TRUE,Employees_Data[[#This Row],[First Name]],Employees_Data[[#This Row],[Last Name]])</f>
        <v>Rama Alsaghir</v>
      </c>
      <c r="B451" s="41">
        <f ca="1">DATEDIF(Employees!$F451,TODAY(),"Y")</f>
        <v>9</v>
      </c>
      <c r="C451" s="42">
        <v>6</v>
      </c>
      <c r="D451" s="43" t="str">
        <f ca="1">IFERROR(IF(AND(Hardworking_Employee[[#This Row],[Years]]&gt;=5,Hardworking_Employee[[#This Row],[Overtime Hours]]&gt;50),"Yes","No"),"Not Found")</f>
        <v>No</v>
      </c>
    </row>
    <row r="452" spans="1:4" x14ac:dyDescent="0.35">
      <c r="A452" s="36" t="str">
        <f>_xlfn.TEXTJOIN(" ",TRUE,Employees_Data[[#This Row],[First Name]],Employees_Data[[#This Row],[Last Name]])</f>
        <v>Ahmad Qadimati</v>
      </c>
      <c r="B452" s="37">
        <f ca="1">DATEDIF(Employees!$F452,TODAY(),"Y")</f>
        <v>7</v>
      </c>
      <c r="C452" s="38">
        <v>9</v>
      </c>
      <c r="D452" s="39" t="str">
        <f ca="1">IFERROR(IF(AND(Hardworking_Employee[[#This Row],[Years]]&gt;=5,Hardworking_Employee[[#This Row],[Overtime Hours]]&gt;50),"Yes","No"),"Not Found")</f>
        <v>No</v>
      </c>
    </row>
    <row r="453" spans="1:4" x14ac:dyDescent="0.35">
      <c r="A453" s="40" t="str">
        <f>_xlfn.TEXTJOIN(" ",TRUE,Employees_Data[[#This Row],[First Name]],Employees_Data[[#This Row],[Last Name]])</f>
        <v>Qays Dahna</v>
      </c>
      <c r="B453" s="41">
        <f ca="1">DATEDIF(Employees!$F453,TODAY(),"Y")</f>
        <v>9</v>
      </c>
      <c r="C453" s="42">
        <v>0</v>
      </c>
      <c r="D453" s="43" t="str">
        <f ca="1">IFERROR(IF(AND(Hardworking_Employee[[#This Row],[Years]]&gt;=5,Hardworking_Employee[[#This Row],[Overtime Hours]]&gt;50),"Yes","No"),"Not Found")</f>
        <v>No</v>
      </c>
    </row>
    <row r="454" spans="1:4" x14ac:dyDescent="0.35">
      <c r="A454" s="36" t="str">
        <f>_xlfn.TEXTJOIN(" ",TRUE,Employees_Data[[#This Row],[First Name]],Employees_Data[[#This Row],[Last Name]])</f>
        <v>Raja Eaziza</v>
      </c>
      <c r="B454" s="37">
        <f ca="1">DATEDIF(Employees!$F454,TODAY(),"Y")</f>
        <v>8</v>
      </c>
      <c r="C454" s="38">
        <v>93</v>
      </c>
      <c r="D454" s="39" t="str">
        <f ca="1">IFERROR(IF(AND(Hardworking_Employee[[#This Row],[Years]]&gt;=5,Hardworking_Employee[[#This Row],[Overtime Hours]]&gt;50),"Yes","No"),"Not Found")</f>
        <v>Yes</v>
      </c>
    </row>
    <row r="455" spans="1:4" x14ac:dyDescent="0.35">
      <c r="A455" s="40" t="str">
        <f>_xlfn.TEXTJOIN(" ",TRUE,Employees_Data[[#This Row],[First Name]],Employees_Data[[#This Row],[Last Name]])</f>
        <v>Emar Nakaash</v>
      </c>
      <c r="B455" s="41">
        <f ca="1">DATEDIF(Employees!$F455,TODAY(),"Y")</f>
        <v>5</v>
      </c>
      <c r="C455" s="42">
        <v>4</v>
      </c>
      <c r="D455" s="43" t="str">
        <f ca="1">IFERROR(IF(AND(Hardworking_Employee[[#This Row],[Years]]&gt;=5,Hardworking_Employee[[#This Row],[Overtime Hours]]&gt;50),"Yes","No"),"Not Found")</f>
        <v>No</v>
      </c>
    </row>
    <row r="456" spans="1:4" x14ac:dyDescent="0.35">
      <c r="A456" s="36" t="str">
        <f>_xlfn.TEXTJOIN(" ",TRUE,Employees_Data[[#This Row],[First Name]],Employees_Data[[#This Row],[Last Name]])</f>
        <v>Ranya Khuluf</v>
      </c>
      <c r="B456" s="37">
        <f ca="1">DATEDIF(Employees!$F456,TODAY(),"Y")</f>
        <v>7</v>
      </c>
      <c r="C456" s="38">
        <v>14</v>
      </c>
      <c r="D456" s="39" t="str">
        <f ca="1">IFERROR(IF(AND(Hardworking_Employee[[#This Row],[Years]]&gt;=5,Hardworking_Employee[[#This Row],[Overtime Hours]]&gt;50),"Yes","No"),"Not Found")</f>
        <v>No</v>
      </c>
    </row>
    <row r="457" spans="1:4" x14ac:dyDescent="0.35">
      <c r="A457" s="40" t="str">
        <f>_xlfn.TEXTJOIN(" ",TRUE,Employees_Data[[#This Row],[First Name]],Employees_Data[[#This Row],[Last Name]])</f>
        <v>Kinda Zaki</v>
      </c>
      <c r="B457" s="41">
        <f ca="1">DATEDIF(Employees!$F457,TODAY(),"Y")</f>
        <v>8</v>
      </c>
      <c r="C457" s="42">
        <v>6</v>
      </c>
      <c r="D457" s="43" t="str">
        <f ca="1">IFERROR(IF(AND(Hardworking_Employee[[#This Row],[Years]]&gt;=5,Hardworking_Employee[[#This Row],[Overtime Hours]]&gt;50),"Yes","No"),"Not Found")</f>
        <v>No</v>
      </c>
    </row>
    <row r="458" spans="1:4" x14ac:dyDescent="0.35">
      <c r="A458" s="36" t="str">
        <f>_xlfn.TEXTJOIN(" ",TRUE,Employees_Data[[#This Row],[First Name]],Employees_Data[[#This Row],[Last Name]])</f>
        <v>Muhamad Asamh Tubae</v>
      </c>
      <c r="B458" s="37">
        <f ca="1">DATEDIF(Employees!$F458,TODAY(),"Y")</f>
        <v>6</v>
      </c>
      <c r="C458" s="38">
        <v>6</v>
      </c>
      <c r="D458" s="39" t="str">
        <f ca="1">IFERROR(IF(AND(Hardworking_Employee[[#This Row],[Years]]&gt;=5,Hardworking_Employee[[#This Row],[Overtime Hours]]&gt;50),"Yes","No"),"Not Found")</f>
        <v>No</v>
      </c>
    </row>
    <row r="459" spans="1:4" x14ac:dyDescent="0.35">
      <c r="A459" s="40" t="str">
        <f>_xlfn.TEXTJOIN(" ",TRUE,Employees_Data[[#This Row],[First Name]],Employees_Data[[#This Row],[Last Name]])</f>
        <v>Ahmad Daeas</v>
      </c>
      <c r="B459" s="41">
        <f ca="1">DATEDIF(Employees!$F459,TODAY(),"Y")</f>
        <v>7</v>
      </c>
      <c r="C459" s="42">
        <v>1</v>
      </c>
      <c r="D459" s="43" t="str">
        <f ca="1">IFERROR(IF(AND(Hardworking_Employee[[#This Row],[Years]]&gt;=5,Hardworking_Employee[[#This Row],[Overtime Hours]]&gt;50),"Yes","No"),"Not Found")</f>
        <v>No</v>
      </c>
    </row>
    <row r="460" spans="1:4" x14ac:dyDescent="0.35">
      <c r="A460" s="36" t="str">
        <f>_xlfn.TEXTJOIN(" ",TRUE,Employees_Data[[#This Row],[First Name]],Employees_Data[[#This Row],[Last Name]])</f>
        <v>Muhamad Shadi Alkhiat</v>
      </c>
      <c r="B460" s="37">
        <f ca="1">DATEDIF(Employees!$F460,TODAY(),"Y")</f>
        <v>9</v>
      </c>
      <c r="C460" s="38">
        <v>7</v>
      </c>
      <c r="D460" s="39" t="str">
        <f ca="1">IFERROR(IF(AND(Hardworking_Employee[[#This Row],[Years]]&gt;=5,Hardworking_Employee[[#This Row],[Overtime Hours]]&gt;50),"Yes","No"),"Not Found")</f>
        <v>No</v>
      </c>
    </row>
    <row r="461" spans="1:4" x14ac:dyDescent="0.35">
      <c r="A461" s="40" t="str">
        <f>_xlfn.TEXTJOIN(" ",TRUE,Employees_Data[[#This Row],[First Name]],Employees_Data[[#This Row],[Last Name]])</f>
        <v>Omaimah Tqi Aldiyn</v>
      </c>
      <c r="B461" s="41">
        <f ca="1">DATEDIF(Employees!$F461,TODAY(),"Y")</f>
        <v>9</v>
      </c>
      <c r="C461" s="42">
        <v>4</v>
      </c>
      <c r="D461" s="43" t="str">
        <f ca="1">IFERROR(IF(AND(Hardworking_Employee[[#This Row],[Years]]&gt;=5,Hardworking_Employee[[#This Row],[Overtime Hours]]&gt;50),"Yes","No"),"Not Found")</f>
        <v>No</v>
      </c>
    </row>
    <row r="462" spans="1:4" x14ac:dyDescent="0.35">
      <c r="A462" s="36" t="str">
        <f>_xlfn.TEXTJOIN(" ",TRUE,Employees_Data[[#This Row],[First Name]],Employees_Data[[#This Row],[Last Name]])</f>
        <v>Tahani Yasir</v>
      </c>
      <c r="B462" s="37">
        <f ca="1">DATEDIF(Employees!$F462,TODAY(),"Y")</f>
        <v>7</v>
      </c>
      <c r="C462" s="38">
        <v>9</v>
      </c>
      <c r="D462" s="39" t="str">
        <f ca="1">IFERROR(IF(AND(Hardworking_Employee[[#This Row],[Years]]&gt;=5,Hardworking_Employee[[#This Row],[Overtime Hours]]&gt;50),"Yes","No"),"Not Found")</f>
        <v>No</v>
      </c>
    </row>
    <row r="463" spans="1:4" x14ac:dyDescent="0.35">
      <c r="A463" s="40" t="str">
        <f>_xlfn.TEXTJOIN(" ",TRUE,Employees_Data[[#This Row],[First Name]],Employees_Data[[#This Row],[Last Name]])</f>
        <v>Hasan Alfywmi</v>
      </c>
      <c r="B463" s="41">
        <f ca="1">DATEDIF(Employees!$F463,TODAY(),"Y")</f>
        <v>7</v>
      </c>
      <c r="C463" s="42">
        <v>5</v>
      </c>
      <c r="D463" s="43" t="str">
        <f ca="1">IFERROR(IF(AND(Hardworking_Employee[[#This Row],[Years]]&gt;=5,Hardworking_Employee[[#This Row],[Overtime Hours]]&gt;50),"Yes","No"),"Not Found")</f>
        <v>No</v>
      </c>
    </row>
    <row r="464" spans="1:4" x14ac:dyDescent="0.35">
      <c r="A464" s="36" t="str">
        <f>_xlfn.TEXTJOIN(" ",TRUE,Employees_Data[[#This Row],[First Name]],Employees_Data[[#This Row],[Last Name]])</f>
        <v>Zahir Zarie</v>
      </c>
      <c r="B464" s="37">
        <f ca="1">DATEDIF(Employees!$F464,TODAY(),"Y")</f>
        <v>7</v>
      </c>
      <c r="C464" s="38">
        <v>1</v>
      </c>
      <c r="D464" s="39" t="str">
        <f ca="1">IFERROR(IF(AND(Hardworking_Employee[[#This Row],[Years]]&gt;=5,Hardworking_Employee[[#This Row],[Overtime Hours]]&gt;50),"Yes","No"),"Not Found")</f>
        <v>No</v>
      </c>
    </row>
    <row r="465" spans="1:4" x14ac:dyDescent="0.35">
      <c r="A465" s="40" t="str">
        <f>_xlfn.TEXTJOIN(" ",TRUE,Employees_Data[[#This Row],[First Name]],Employees_Data[[#This Row],[Last Name]])</f>
        <v>Muhamad Eaqad</v>
      </c>
      <c r="B465" s="41">
        <f ca="1">DATEDIF(Employees!$F465,TODAY(),"Y")</f>
        <v>7</v>
      </c>
      <c r="C465" s="42">
        <v>7</v>
      </c>
      <c r="D465" s="43" t="str">
        <f ca="1">IFERROR(IF(AND(Hardworking_Employee[[#This Row],[Years]]&gt;=5,Hardworking_Employee[[#This Row],[Overtime Hours]]&gt;50),"Yes","No"),"Not Found")</f>
        <v>No</v>
      </c>
    </row>
    <row r="466" spans="1:4" x14ac:dyDescent="0.35">
      <c r="A466" s="36" t="str">
        <f>_xlfn.TEXTJOIN(" ",TRUE,Employees_Data[[#This Row],[First Name]],Employees_Data[[#This Row],[Last Name]])</f>
        <v>Ahmad Hamuwd</v>
      </c>
      <c r="B466" s="37">
        <f ca="1">DATEDIF(Employees!$F466,TODAY(),"Y")</f>
        <v>8</v>
      </c>
      <c r="C466" s="38">
        <v>6</v>
      </c>
      <c r="D466" s="39" t="str">
        <f ca="1">IFERROR(IF(AND(Hardworking_Employee[[#This Row],[Years]]&gt;=5,Hardworking_Employee[[#This Row],[Overtime Hours]]&gt;50),"Yes","No"),"Not Found")</f>
        <v>No</v>
      </c>
    </row>
    <row r="467" spans="1:4" x14ac:dyDescent="0.35">
      <c r="A467" s="40" t="str">
        <f>_xlfn.TEXTJOIN(" ",TRUE,Employees_Data[[#This Row],[First Name]],Employees_Data[[#This Row],[Last Name]])</f>
        <v>Ismaeil Jdwe</v>
      </c>
      <c r="B467" s="41">
        <f ca="1">DATEDIF(Employees!$F467,TODAY(),"Y")</f>
        <v>6</v>
      </c>
      <c r="C467" s="42">
        <v>27</v>
      </c>
      <c r="D467" s="43" t="str">
        <f ca="1">IFERROR(IF(AND(Hardworking_Employee[[#This Row],[Years]]&gt;=5,Hardworking_Employee[[#This Row],[Overtime Hours]]&gt;50),"Yes","No"),"Not Found")</f>
        <v>No</v>
      </c>
    </row>
    <row r="468" spans="1:4" x14ac:dyDescent="0.35">
      <c r="A468" s="36" t="str">
        <f>_xlfn.TEXTJOIN(" ",TRUE,Employees_Data[[#This Row],[First Name]],Employees_Data[[#This Row],[Last Name]])</f>
        <v>Muhamad Saeid Alzarey</v>
      </c>
      <c r="B468" s="37">
        <f ca="1">DATEDIF(Employees!$F468,TODAY(),"Y")</f>
        <v>6</v>
      </c>
      <c r="C468" s="38">
        <v>8</v>
      </c>
      <c r="D468" s="39" t="str">
        <f ca="1">IFERROR(IF(AND(Hardworking_Employee[[#This Row],[Years]]&gt;=5,Hardworking_Employee[[#This Row],[Overtime Hours]]&gt;50),"Yes","No"),"Not Found")</f>
        <v>No</v>
      </c>
    </row>
    <row r="469" spans="1:4" x14ac:dyDescent="0.35">
      <c r="A469" s="40" t="str">
        <f>_xlfn.TEXTJOIN(" ",TRUE,Employees_Data[[#This Row],[First Name]],Employees_Data[[#This Row],[Last Name]])</f>
        <v>Bakr Eubdallah</v>
      </c>
      <c r="B469" s="41">
        <f ca="1">DATEDIF(Employees!$F469,TODAY(),"Y")</f>
        <v>8</v>
      </c>
      <c r="C469" s="42">
        <v>2</v>
      </c>
      <c r="D469" s="43" t="str">
        <f ca="1">IFERROR(IF(AND(Hardworking_Employee[[#This Row],[Years]]&gt;=5,Hardworking_Employee[[#This Row],[Overtime Hours]]&gt;50),"Yes","No"),"Not Found")</f>
        <v>No</v>
      </c>
    </row>
    <row r="470" spans="1:4" x14ac:dyDescent="0.35">
      <c r="A470" s="36" t="str">
        <f>_xlfn.TEXTJOIN(" ",TRUE,Employees_Data[[#This Row],[First Name]],Employees_Data[[#This Row],[Last Name]])</f>
        <v>Muhamad Basil</v>
      </c>
      <c r="B470" s="37">
        <f ca="1">DATEDIF(Employees!$F470,TODAY(),"Y")</f>
        <v>6</v>
      </c>
      <c r="C470" s="38">
        <v>51</v>
      </c>
      <c r="D470" s="39" t="str">
        <f ca="1">IFERROR(IF(AND(Hardworking_Employee[[#This Row],[Years]]&gt;=5,Hardworking_Employee[[#This Row],[Overtime Hours]]&gt;50),"Yes","No"),"Not Found")</f>
        <v>Yes</v>
      </c>
    </row>
    <row r="471" spans="1:4" x14ac:dyDescent="0.35">
      <c r="A471" s="40" t="str">
        <f>_xlfn.TEXTJOIN(" ",TRUE,Employees_Data[[#This Row],[First Name]],Employees_Data[[#This Row],[Last Name]])</f>
        <v>Ahmad Alnajar</v>
      </c>
      <c r="B471" s="41">
        <f ca="1">DATEDIF(Employees!$F471,TODAY(),"Y")</f>
        <v>7</v>
      </c>
      <c r="C471" s="42">
        <v>3</v>
      </c>
      <c r="D471" s="43" t="str">
        <f ca="1">IFERROR(IF(AND(Hardworking_Employee[[#This Row],[Years]]&gt;=5,Hardworking_Employee[[#This Row],[Overtime Hours]]&gt;50),"Yes","No"),"Not Found")</f>
        <v>No</v>
      </c>
    </row>
    <row r="472" spans="1:4" x14ac:dyDescent="0.35">
      <c r="A472" s="36" t="str">
        <f>_xlfn.TEXTJOIN(" ",TRUE,Employees_Data[[#This Row],[First Name]],Employees_Data[[#This Row],[Last Name]])</f>
        <v>Muhamad Alsaman</v>
      </c>
      <c r="B472" s="37">
        <f ca="1">DATEDIF(Employees!$F472,TODAY(),"Y")</f>
        <v>6</v>
      </c>
      <c r="C472" s="38">
        <v>13</v>
      </c>
      <c r="D472" s="39" t="str">
        <f ca="1">IFERROR(IF(AND(Hardworking_Employee[[#This Row],[Years]]&gt;=5,Hardworking_Employee[[#This Row],[Overtime Hours]]&gt;50),"Yes","No"),"Not Found")</f>
        <v>No</v>
      </c>
    </row>
    <row r="473" spans="1:4" x14ac:dyDescent="0.35">
      <c r="A473" s="40" t="str">
        <f>_xlfn.TEXTJOIN(" ",TRUE,Employees_Data[[#This Row],[First Name]],Employees_Data[[#This Row],[Last Name]])</f>
        <v>Lina Wayly</v>
      </c>
      <c r="B473" s="41">
        <f ca="1">DATEDIF(Employees!$F473,TODAY(),"Y")</f>
        <v>7</v>
      </c>
      <c r="C473" s="42">
        <v>6</v>
      </c>
      <c r="D473" s="43" t="str">
        <f ca="1">IFERROR(IF(AND(Hardworking_Employee[[#This Row],[Years]]&gt;=5,Hardworking_Employee[[#This Row],[Overtime Hours]]&gt;50),"Yes","No"),"Not Found")</f>
        <v>No</v>
      </c>
    </row>
    <row r="474" spans="1:4" x14ac:dyDescent="0.35">
      <c r="A474" s="36" t="str">
        <f>_xlfn.TEXTJOIN(" ",TRUE,Employees_Data[[#This Row],[First Name]],Employees_Data[[#This Row],[Last Name]])</f>
        <v>Raghid Hutayniun</v>
      </c>
      <c r="B474" s="37">
        <f ca="1">DATEDIF(Employees!$F474,TODAY(),"Y")</f>
        <v>8</v>
      </c>
      <c r="C474" s="38">
        <v>4</v>
      </c>
      <c r="D474" s="39" t="str">
        <f ca="1">IFERROR(IF(AND(Hardworking_Employee[[#This Row],[Years]]&gt;=5,Hardworking_Employee[[#This Row],[Overtime Hours]]&gt;50),"Yes","No"),"Not Found")</f>
        <v>No</v>
      </c>
    </row>
    <row r="475" spans="1:4" x14ac:dyDescent="0.35">
      <c r="A475" s="40" t="str">
        <f>_xlfn.TEXTJOIN(" ",TRUE,Employees_Data[[#This Row],[First Name]],Employees_Data[[#This Row],[Last Name]])</f>
        <v>Ruba Alsiraj</v>
      </c>
      <c r="B475" s="41">
        <f ca="1">DATEDIF(Employees!$F475,TODAY(),"Y")</f>
        <v>7</v>
      </c>
      <c r="C475" s="42">
        <v>0</v>
      </c>
      <c r="D475" s="43" t="str">
        <f ca="1">IFERROR(IF(AND(Hardworking_Employee[[#This Row],[Years]]&gt;=5,Hardworking_Employee[[#This Row],[Overtime Hours]]&gt;50),"Yes","No"),"Not Found")</f>
        <v>No</v>
      </c>
    </row>
    <row r="476" spans="1:4" x14ac:dyDescent="0.35">
      <c r="A476" s="36" t="str">
        <f>_xlfn.TEXTJOIN(" ",TRUE,Employees_Data[[#This Row],[First Name]],Employees_Data[[#This Row],[Last Name]])</f>
        <v>Adnan Allaadhiqanii</v>
      </c>
      <c r="B476" s="37">
        <f ca="1">DATEDIF(Employees!$F476,TODAY(),"Y")</f>
        <v>8</v>
      </c>
      <c r="C476" s="38">
        <v>8</v>
      </c>
      <c r="D476" s="39" t="str">
        <f ca="1">IFERROR(IF(AND(Hardworking_Employee[[#This Row],[Years]]&gt;=5,Hardworking_Employee[[#This Row],[Overtime Hours]]&gt;50),"Yes","No"),"Not Found")</f>
        <v>No</v>
      </c>
    </row>
    <row r="477" spans="1:4" x14ac:dyDescent="0.35">
      <c r="A477" s="40" t="str">
        <f>_xlfn.TEXTJOIN(" ",TRUE,Employees_Data[[#This Row],[First Name]],Employees_Data[[#This Row],[Last Name]])</f>
        <v>Muhamad Shaeban</v>
      </c>
      <c r="B477" s="41">
        <f ca="1">DATEDIF(Employees!$F477,TODAY(),"Y")</f>
        <v>7</v>
      </c>
      <c r="C477" s="42">
        <v>43</v>
      </c>
      <c r="D477" s="43" t="str">
        <f ca="1">IFERROR(IF(AND(Hardworking_Employee[[#This Row],[Years]]&gt;=5,Hardworking_Employee[[#This Row],[Overtime Hours]]&gt;50),"Yes","No"),"Not Found")</f>
        <v>No</v>
      </c>
    </row>
    <row r="478" spans="1:4" x14ac:dyDescent="0.35">
      <c r="A478" s="36" t="str">
        <f>_xlfn.TEXTJOIN(" ",TRUE,Employees_Data[[#This Row],[First Name]],Employees_Data[[#This Row],[Last Name]])</f>
        <v>Ghyath Abu</v>
      </c>
      <c r="B478" s="37">
        <f ca="1">DATEDIF(Employees!$F478,TODAY(),"Y")</f>
        <v>7</v>
      </c>
      <c r="C478" s="38">
        <v>3</v>
      </c>
      <c r="D478" s="39" t="str">
        <f ca="1">IFERROR(IF(AND(Hardworking_Employee[[#This Row],[Years]]&gt;=5,Hardworking_Employee[[#This Row],[Overtime Hours]]&gt;50),"Yes","No"),"Not Found")</f>
        <v>No</v>
      </c>
    </row>
    <row r="479" spans="1:4" x14ac:dyDescent="0.35">
      <c r="A479" s="40" t="str">
        <f>_xlfn.TEXTJOIN(" ",TRUE,Employees_Data[[#This Row],[First Name]],Employees_Data[[#This Row],[Last Name]])</f>
        <v>Basil Farahat</v>
      </c>
      <c r="B479" s="41">
        <f ca="1">DATEDIF(Employees!$F479,TODAY(),"Y")</f>
        <v>7</v>
      </c>
      <c r="C479" s="42">
        <v>7</v>
      </c>
      <c r="D479" s="43" t="str">
        <f ca="1">IFERROR(IF(AND(Hardworking_Employee[[#This Row],[Years]]&gt;=5,Hardworking_Employee[[#This Row],[Overtime Hours]]&gt;50),"Yes","No"),"Not Found")</f>
        <v>No</v>
      </c>
    </row>
    <row r="480" spans="1:4" x14ac:dyDescent="0.35">
      <c r="A480" s="36" t="str">
        <f>_xlfn.TEXTJOIN(" ",TRUE,Employees_Data[[#This Row],[First Name]],Employees_Data[[#This Row],[Last Name]])</f>
        <v>Khalid Siriul</v>
      </c>
      <c r="B480" s="37">
        <f ca="1">DATEDIF(Employees!$F480,TODAY(),"Y")</f>
        <v>10</v>
      </c>
      <c r="C480" s="38">
        <v>2</v>
      </c>
      <c r="D480" s="39" t="str">
        <f ca="1">IFERROR(IF(AND(Hardworking_Employee[[#This Row],[Years]]&gt;=5,Hardworking_Employee[[#This Row],[Overtime Hours]]&gt;50),"Yes","No"),"Not Found")</f>
        <v>No</v>
      </c>
    </row>
    <row r="481" spans="1:4" x14ac:dyDescent="0.35">
      <c r="A481" s="40" t="str">
        <f>_xlfn.TEXTJOIN(" ",TRUE,Employees_Data[[#This Row],[First Name]],Employees_Data[[#This Row],[Last Name]])</f>
        <v>Salah Aldiyn Salayk</v>
      </c>
      <c r="B481" s="41">
        <f ca="1">DATEDIF(Employees!$F481,TODAY(),"Y")</f>
        <v>6</v>
      </c>
      <c r="C481" s="42">
        <v>0</v>
      </c>
      <c r="D481" s="43" t="str">
        <f ca="1">IFERROR(IF(AND(Hardworking_Employee[[#This Row],[Years]]&gt;=5,Hardworking_Employee[[#This Row],[Overtime Hours]]&gt;50),"Yes","No"),"Not Found")</f>
        <v>No</v>
      </c>
    </row>
    <row r="482" spans="1:4" x14ac:dyDescent="0.35">
      <c r="A482" s="36" t="str">
        <f>_xlfn.TEXTJOIN(" ",TRUE,Employees_Data[[#This Row],[First Name]],Employees_Data[[#This Row],[Last Name]])</f>
        <v>Bilal Einziin</v>
      </c>
      <c r="B482" s="37">
        <f ca="1">DATEDIF(Employees!$F482,TODAY(),"Y")</f>
        <v>6</v>
      </c>
      <c r="C482" s="38">
        <v>9</v>
      </c>
      <c r="D482" s="39" t="str">
        <f ca="1">IFERROR(IF(AND(Hardworking_Employee[[#This Row],[Years]]&gt;=5,Hardworking_Employee[[#This Row],[Overtime Hours]]&gt;50),"Yes","No"),"Not Found")</f>
        <v>No</v>
      </c>
    </row>
    <row r="483" spans="1:4" x14ac:dyDescent="0.35">
      <c r="A483" s="40" t="str">
        <f>_xlfn.TEXTJOIN(" ",TRUE,Employees_Data[[#This Row],[First Name]],Employees_Data[[#This Row],[Last Name]])</f>
        <v>Abdalrhmin Aljuju</v>
      </c>
      <c r="B483" s="41">
        <f ca="1">DATEDIF(Employees!$F483,TODAY(),"Y")</f>
        <v>8</v>
      </c>
      <c r="C483" s="42">
        <v>1</v>
      </c>
      <c r="D483" s="43" t="str">
        <f ca="1">IFERROR(IF(AND(Hardworking_Employee[[#This Row],[Years]]&gt;=5,Hardworking_Employee[[#This Row],[Overtime Hours]]&gt;50),"Yes","No"),"Not Found")</f>
        <v>No</v>
      </c>
    </row>
    <row r="484" spans="1:4" x14ac:dyDescent="0.35">
      <c r="A484" s="36" t="str">
        <f>_xlfn.TEXTJOIN(" ",TRUE,Employees_Data[[#This Row],[First Name]],Employees_Data[[#This Row],[Last Name]])</f>
        <v>Lawy Nadaf</v>
      </c>
      <c r="B484" s="37">
        <f ca="1">DATEDIF(Employees!$F484,TODAY(),"Y")</f>
        <v>10</v>
      </c>
      <c r="C484" s="38">
        <v>6</v>
      </c>
      <c r="D484" s="39" t="str">
        <f ca="1">IFERROR(IF(AND(Hardworking_Employee[[#This Row],[Years]]&gt;=5,Hardworking_Employee[[#This Row],[Overtime Hours]]&gt;50),"Yes","No"),"Not Found")</f>
        <v>No</v>
      </c>
    </row>
    <row r="485" spans="1:4" x14ac:dyDescent="0.35">
      <c r="A485" s="40" t="str">
        <f>_xlfn.TEXTJOIN(" ",TRUE,Employees_Data[[#This Row],[First Name]],Employees_Data[[#This Row],[Last Name]])</f>
        <v>Ali Muhamad</v>
      </c>
      <c r="B485" s="41">
        <f ca="1">DATEDIF(Employees!$F485,TODAY(),"Y")</f>
        <v>6</v>
      </c>
      <c r="C485" s="42">
        <v>10</v>
      </c>
      <c r="D485" s="43" t="str">
        <f ca="1">IFERROR(IF(AND(Hardworking_Employee[[#This Row],[Years]]&gt;=5,Hardworking_Employee[[#This Row],[Overtime Hours]]&gt;50),"Yes","No"),"Not Found")</f>
        <v>No</v>
      </c>
    </row>
    <row r="486" spans="1:4" x14ac:dyDescent="0.35">
      <c r="A486" s="36" t="str">
        <f>_xlfn.TEXTJOIN(" ",TRUE,Employees_Data[[#This Row],[First Name]],Employees_Data[[#This Row],[Last Name]])</f>
        <v>Mahir Bikar</v>
      </c>
      <c r="B486" s="37">
        <f ca="1">DATEDIF(Employees!$F486,TODAY(),"Y")</f>
        <v>7</v>
      </c>
      <c r="C486" s="38">
        <v>0</v>
      </c>
      <c r="D486" s="39" t="str">
        <f ca="1">IFERROR(IF(AND(Hardworking_Employee[[#This Row],[Years]]&gt;=5,Hardworking_Employee[[#This Row],[Overtime Hours]]&gt;50),"Yes","No"),"Not Found")</f>
        <v>No</v>
      </c>
    </row>
    <row r="487" spans="1:4" x14ac:dyDescent="0.35">
      <c r="A487" s="40" t="str">
        <f>_xlfn.TEXTJOIN(" ",TRUE,Employees_Data[[#This Row],[First Name]],Employees_Data[[#This Row],[Last Name]])</f>
        <v>Iad Alhusayn</v>
      </c>
      <c r="B487" s="41">
        <f ca="1">DATEDIF(Employees!$F487,TODAY(),"Y")</f>
        <v>8</v>
      </c>
      <c r="C487" s="42">
        <v>7</v>
      </c>
      <c r="D487" s="43" t="str">
        <f ca="1">IFERROR(IF(AND(Hardworking_Employee[[#This Row],[Years]]&gt;=5,Hardworking_Employee[[#This Row],[Overtime Hours]]&gt;50),"Yes","No"),"Not Found")</f>
        <v>No</v>
      </c>
    </row>
    <row r="488" spans="1:4" x14ac:dyDescent="0.35">
      <c r="A488" s="36" t="str">
        <f>_xlfn.TEXTJOIN(" ",TRUE,Employees_Data[[#This Row],[First Name]],Employees_Data[[#This Row],[Last Name]])</f>
        <v>Husam Ziada</v>
      </c>
      <c r="B488" s="37">
        <f ca="1">DATEDIF(Employees!$F488,TODAY(),"Y")</f>
        <v>8</v>
      </c>
      <c r="C488" s="38">
        <v>14</v>
      </c>
      <c r="D488" s="39" t="str">
        <f ca="1">IFERROR(IF(AND(Hardworking_Employee[[#This Row],[Years]]&gt;=5,Hardworking_Employee[[#This Row],[Overtime Hours]]&gt;50),"Yes","No"),"Not Found")</f>
        <v>No</v>
      </c>
    </row>
    <row r="489" spans="1:4" x14ac:dyDescent="0.35">
      <c r="A489" s="40" t="str">
        <f>_xlfn.TEXTJOIN(" ",TRUE,Employees_Data[[#This Row],[First Name]],Employees_Data[[#This Row],[Last Name]])</f>
        <v>Ahmad Eashur</v>
      </c>
      <c r="B489" s="41">
        <f ca="1">DATEDIF(Employees!$F489,TODAY(),"Y")</f>
        <v>6</v>
      </c>
      <c r="C489" s="42">
        <v>1</v>
      </c>
      <c r="D489" s="43" t="str">
        <f ca="1">IFERROR(IF(AND(Hardworking_Employee[[#This Row],[Years]]&gt;=5,Hardworking_Employee[[#This Row],[Overtime Hours]]&gt;50),"Yes","No"),"Not Found")</f>
        <v>No</v>
      </c>
    </row>
    <row r="490" spans="1:4" x14ac:dyDescent="0.35">
      <c r="A490" s="36" t="str">
        <f>_xlfn.TEXTJOIN(" ",TRUE,Employees_Data[[#This Row],[First Name]],Employees_Data[[#This Row],[Last Name]])</f>
        <v>Ahmad Naqawuh</v>
      </c>
      <c r="B490" s="37">
        <f ca="1">DATEDIF(Employees!$F490,TODAY(),"Y")</f>
        <v>6</v>
      </c>
      <c r="C490" s="38">
        <v>92</v>
      </c>
      <c r="D490" s="39" t="str">
        <f ca="1">IFERROR(IF(AND(Hardworking_Employee[[#This Row],[Years]]&gt;=5,Hardworking_Employee[[#This Row],[Overtime Hours]]&gt;50),"Yes","No"),"Not Found")</f>
        <v>Yes</v>
      </c>
    </row>
    <row r="491" spans="1:4" x14ac:dyDescent="0.35">
      <c r="A491" s="40" t="str">
        <f>_xlfn.TEXTJOIN(" ",TRUE,Employees_Data[[#This Row],[First Name]],Employees_Data[[#This Row],[Last Name]])</f>
        <v>Tamadur Barghuth</v>
      </c>
      <c r="B491" s="41">
        <f ca="1">DATEDIF(Employees!$F491,TODAY(),"Y")</f>
        <v>8</v>
      </c>
      <c r="C491" s="42">
        <v>7</v>
      </c>
      <c r="D491" s="43" t="str">
        <f ca="1">IFERROR(IF(AND(Hardworking_Employee[[#This Row],[Years]]&gt;=5,Hardworking_Employee[[#This Row],[Overtime Hours]]&gt;50),"Yes","No"),"Not Found")</f>
        <v>No</v>
      </c>
    </row>
    <row r="492" spans="1:4" x14ac:dyDescent="0.35">
      <c r="A492" s="36" t="str">
        <f>_xlfn.TEXTJOIN(" ",TRUE,Employees_Data[[#This Row],[First Name]],Employees_Data[[#This Row],[Last Name]])</f>
        <v>Diea Jazar</v>
      </c>
      <c r="B492" s="37">
        <f ca="1">DATEDIF(Employees!$F492,TODAY(),"Y")</f>
        <v>6</v>
      </c>
      <c r="C492" s="38">
        <v>7</v>
      </c>
      <c r="D492" s="39" t="str">
        <f ca="1">IFERROR(IF(AND(Hardworking_Employee[[#This Row],[Years]]&gt;=5,Hardworking_Employee[[#This Row],[Overtime Hours]]&gt;50),"Yes","No"),"Not Found")</f>
        <v>No</v>
      </c>
    </row>
    <row r="493" spans="1:4" x14ac:dyDescent="0.35">
      <c r="A493" s="40" t="str">
        <f>_xlfn.TEXTJOIN(" ",TRUE,Employees_Data[[#This Row],[First Name]],Employees_Data[[#This Row],[Last Name]])</f>
        <v>Bashshar Mareiun</v>
      </c>
      <c r="B493" s="41">
        <f ca="1">DATEDIF(Employees!$F493,TODAY(),"Y")</f>
        <v>7</v>
      </c>
      <c r="C493" s="42">
        <v>95</v>
      </c>
      <c r="D493" s="43" t="str">
        <f ca="1">IFERROR(IF(AND(Hardworking_Employee[[#This Row],[Years]]&gt;=5,Hardworking_Employee[[#This Row],[Overtime Hours]]&gt;50),"Yes","No"),"Not Found")</f>
        <v>Yes</v>
      </c>
    </row>
    <row r="494" spans="1:4" x14ac:dyDescent="0.35">
      <c r="A494" s="36" t="str">
        <f>_xlfn.TEXTJOIN(" ",TRUE,Employees_Data[[#This Row],[First Name]],Employees_Data[[#This Row],[Last Name]])</f>
        <v>Abdaleziz Eiwad</v>
      </c>
      <c r="B494" s="37">
        <f ca="1">DATEDIF(Employees!$F494,TODAY(),"Y")</f>
        <v>6</v>
      </c>
      <c r="C494" s="38">
        <v>11</v>
      </c>
      <c r="D494" s="39" t="str">
        <f ca="1">IFERROR(IF(AND(Hardworking_Employee[[#This Row],[Years]]&gt;=5,Hardworking_Employee[[#This Row],[Overtime Hours]]&gt;50),"Yes","No"),"Not Found")</f>
        <v>No</v>
      </c>
    </row>
    <row r="495" spans="1:4" x14ac:dyDescent="0.35">
      <c r="A495" s="40" t="str">
        <f>_xlfn.TEXTJOIN(" ",TRUE,Employees_Data[[#This Row],[First Name]],Employees_Data[[#This Row],[Last Name]])</f>
        <v>Amir Alkhawam</v>
      </c>
      <c r="B495" s="41">
        <f ca="1">DATEDIF(Employees!$F495,TODAY(),"Y")</f>
        <v>8</v>
      </c>
      <c r="C495" s="42">
        <v>4</v>
      </c>
      <c r="D495" s="43" t="str">
        <f ca="1">IFERROR(IF(AND(Hardworking_Employee[[#This Row],[Years]]&gt;=5,Hardworking_Employee[[#This Row],[Overtime Hours]]&gt;50),"Yes","No"),"Not Found")</f>
        <v>No</v>
      </c>
    </row>
    <row r="496" spans="1:4" x14ac:dyDescent="0.35">
      <c r="A496" s="36" t="str">
        <f>_xlfn.TEXTJOIN(" ",TRUE,Employees_Data[[#This Row],[First Name]],Employees_Data[[#This Row],[Last Name]])</f>
        <v>Alia Maseud</v>
      </c>
      <c r="B496" s="37">
        <f ca="1">DATEDIF(Employees!$F496,TODAY(),"Y")</f>
        <v>6</v>
      </c>
      <c r="C496" s="38">
        <v>6</v>
      </c>
      <c r="D496" s="39" t="str">
        <f ca="1">IFERROR(IF(AND(Hardworking_Employee[[#This Row],[Years]]&gt;=5,Hardworking_Employee[[#This Row],[Overtime Hours]]&gt;50),"Yes","No"),"Not Found")</f>
        <v>No</v>
      </c>
    </row>
    <row r="497" spans="1:4" x14ac:dyDescent="0.35">
      <c r="A497" s="40" t="str">
        <f>_xlfn.TEXTJOIN(" ",TRUE,Employees_Data[[#This Row],[First Name]],Employees_Data[[#This Row],[Last Name]])</f>
        <v>Asra Abuhani</v>
      </c>
      <c r="B497" s="41">
        <f ca="1">DATEDIF(Employees!$F497,TODAY(),"Y")</f>
        <v>7</v>
      </c>
      <c r="C497" s="42">
        <v>9</v>
      </c>
      <c r="D497" s="43" t="str">
        <f ca="1">IFERROR(IF(AND(Hardworking_Employee[[#This Row],[Years]]&gt;=5,Hardworking_Employee[[#This Row],[Overtime Hours]]&gt;50),"Yes","No"),"Not Found")</f>
        <v>No</v>
      </c>
    </row>
    <row r="498" spans="1:4" x14ac:dyDescent="0.35">
      <c r="A498" s="36" t="str">
        <f>_xlfn.TEXTJOIN(" ",TRUE,Employees_Data[[#This Row],[First Name]],Employees_Data[[#This Row],[Last Name]])</f>
        <v>Ahmad Alshamy</v>
      </c>
      <c r="B498" s="37">
        <f ca="1">DATEDIF(Employees!$F498,TODAY(),"Y")</f>
        <v>7</v>
      </c>
      <c r="C498" s="38">
        <v>4</v>
      </c>
      <c r="D498" s="39" t="str">
        <f ca="1">IFERROR(IF(AND(Hardworking_Employee[[#This Row],[Years]]&gt;=5,Hardworking_Employee[[#This Row],[Overtime Hours]]&gt;50),"Yes","No"),"Not Found")</f>
        <v>No</v>
      </c>
    </row>
    <row r="499" spans="1:4" x14ac:dyDescent="0.35">
      <c r="A499" s="40" t="str">
        <f>_xlfn.TEXTJOIN(" ",TRUE,Employees_Data[[#This Row],[First Name]],Employees_Data[[#This Row],[Last Name]])</f>
        <v>Baha Eusqul</v>
      </c>
      <c r="B499" s="41">
        <f ca="1">DATEDIF(Employees!$F499,TODAY(),"Y")</f>
        <v>8</v>
      </c>
      <c r="C499" s="42">
        <v>10</v>
      </c>
      <c r="D499" s="43" t="str">
        <f ca="1">IFERROR(IF(AND(Hardworking_Employee[[#This Row],[Years]]&gt;=5,Hardworking_Employee[[#This Row],[Overtime Hours]]&gt;50),"Yes","No"),"Not Found")</f>
        <v>No</v>
      </c>
    </row>
    <row r="500" spans="1:4" x14ac:dyDescent="0.35">
      <c r="A500" s="36" t="str">
        <f>_xlfn.TEXTJOIN(" ",TRUE,Employees_Data[[#This Row],[First Name]],Employees_Data[[#This Row],[Last Name]])</f>
        <v>Muhamad Hylmyh</v>
      </c>
      <c r="B500" s="37">
        <f ca="1">DATEDIF(Employees!$F500,TODAY(),"Y")</f>
        <v>7</v>
      </c>
      <c r="C500" s="38">
        <v>2</v>
      </c>
      <c r="D500" s="39" t="str">
        <f ca="1">IFERROR(IF(AND(Hardworking_Employee[[#This Row],[Years]]&gt;=5,Hardworking_Employee[[#This Row],[Overtime Hours]]&gt;50),"Yes","No"),"Not Found")</f>
        <v>No</v>
      </c>
    </row>
    <row r="501" spans="1:4" x14ac:dyDescent="0.35">
      <c r="A501" s="40" t="str">
        <f>_xlfn.TEXTJOIN(" ",TRUE,Employees_Data[[#This Row],[First Name]],Employees_Data[[#This Row],[Last Name]])</f>
        <v>Khadijah Turkamani</v>
      </c>
      <c r="B501" s="41">
        <f ca="1">DATEDIF(Employees!$F501,TODAY(),"Y")</f>
        <v>7</v>
      </c>
      <c r="C501" s="42">
        <v>8</v>
      </c>
      <c r="D501" s="43" t="str">
        <f ca="1">IFERROR(IF(AND(Hardworking_Employee[[#This Row],[Years]]&gt;=5,Hardworking_Employee[[#This Row],[Overtime Hours]]&gt;50),"Yes","No"),"Not Found")</f>
        <v>No</v>
      </c>
    </row>
    <row r="502" spans="1:4" x14ac:dyDescent="0.35">
      <c r="A502" s="36" t="str">
        <f>_xlfn.TEXTJOIN(" ",TRUE,Employees_Data[[#This Row],[First Name]],Employees_Data[[#This Row],[Last Name]])</f>
        <v>Asra Jameah</v>
      </c>
      <c r="B502" s="37">
        <f ca="1">DATEDIF(Employees!$F502,TODAY(),"Y")</f>
        <v>8</v>
      </c>
      <c r="C502" s="38">
        <v>2</v>
      </c>
      <c r="D502" s="39" t="str">
        <f ca="1">IFERROR(IF(AND(Hardworking_Employee[[#This Row],[Years]]&gt;=5,Hardworking_Employee[[#This Row],[Overtime Hours]]&gt;50),"Yes","No"),"Not Found")</f>
        <v>No</v>
      </c>
    </row>
    <row r="503" spans="1:4" x14ac:dyDescent="0.35">
      <c r="A503" s="40" t="str">
        <f>_xlfn.TEXTJOIN(" ",TRUE,Employees_Data[[#This Row],[First Name]],Employees_Data[[#This Row],[Last Name]])</f>
        <v>Akram Alhulwanii</v>
      </c>
      <c r="B503" s="41">
        <f ca="1">DATEDIF(Employees!$F503,TODAY(),"Y")</f>
        <v>10</v>
      </c>
      <c r="C503" s="42">
        <v>8</v>
      </c>
      <c r="D503" s="43" t="str">
        <f ca="1">IFERROR(IF(AND(Hardworking_Employee[[#This Row],[Years]]&gt;=5,Hardworking_Employee[[#This Row],[Overtime Hours]]&gt;50),"Yes","No"),"Not Found")</f>
        <v>No</v>
      </c>
    </row>
    <row r="504" spans="1:4" x14ac:dyDescent="0.35">
      <c r="A504" s="36" t="str">
        <f>_xlfn.TEXTJOIN(" ",TRUE,Employees_Data[[#This Row],[First Name]],Employees_Data[[#This Row],[Last Name]])</f>
        <v>Samir Almisri</v>
      </c>
      <c r="B504" s="37">
        <f ca="1">DATEDIF(Employees!$F504,TODAY(),"Y")</f>
        <v>7</v>
      </c>
      <c r="C504" s="38">
        <v>8</v>
      </c>
      <c r="D504" s="39" t="str">
        <f ca="1">IFERROR(IF(AND(Hardworking_Employee[[#This Row],[Years]]&gt;=5,Hardworking_Employee[[#This Row],[Overtime Hours]]&gt;50),"Yes","No"),"Not Found")</f>
        <v>No</v>
      </c>
    </row>
    <row r="505" spans="1:4" x14ac:dyDescent="0.35">
      <c r="A505" s="40" t="str">
        <f>_xlfn.TEXTJOIN(" ",TRUE,Employees_Data[[#This Row],[First Name]],Employees_Data[[#This Row],[Last Name]])</f>
        <v>Ahmad Iidris</v>
      </c>
      <c r="B505" s="41">
        <f ca="1">DATEDIF(Employees!$F505,TODAY(),"Y")</f>
        <v>8</v>
      </c>
      <c r="C505" s="42">
        <v>10</v>
      </c>
      <c r="D505" s="43" t="str">
        <f ca="1">IFERROR(IF(AND(Hardworking_Employee[[#This Row],[Years]]&gt;=5,Hardworking_Employee[[#This Row],[Overtime Hours]]&gt;50),"Yes","No"),"Not Found")</f>
        <v>No</v>
      </c>
    </row>
    <row r="506" spans="1:4" x14ac:dyDescent="0.35">
      <c r="A506" s="36" t="str">
        <f>_xlfn.TEXTJOIN(" ",TRUE,Employees_Data[[#This Row],[First Name]],Employees_Data[[#This Row],[Last Name]])</f>
        <v>Khawla Dawi</v>
      </c>
      <c r="B506" s="37">
        <f ca="1">DATEDIF(Employees!$F506,TODAY(),"Y")</f>
        <v>9</v>
      </c>
      <c r="C506" s="38">
        <v>0</v>
      </c>
      <c r="D506" s="39" t="str">
        <f ca="1">IFERROR(IF(AND(Hardworking_Employee[[#This Row],[Years]]&gt;=5,Hardworking_Employee[[#This Row],[Overtime Hours]]&gt;50),"Yes","No"),"Not Found")</f>
        <v>No</v>
      </c>
    </row>
    <row r="507" spans="1:4" x14ac:dyDescent="0.35">
      <c r="A507" s="40" t="str">
        <f>_xlfn.TEXTJOIN(" ",TRUE,Employees_Data[[#This Row],[First Name]],Employees_Data[[#This Row],[Last Name]])</f>
        <v>Rayid Zazana</v>
      </c>
      <c r="B507" s="41">
        <f ca="1">DATEDIF(Employees!$F507,TODAY(),"Y")</f>
        <v>6</v>
      </c>
      <c r="C507" s="42">
        <v>9</v>
      </c>
      <c r="D507" s="43" t="str">
        <f ca="1">IFERROR(IF(AND(Hardworking_Employee[[#This Row],[Years]]&gt;=5,Hardworking_Employee[[#This Row],[Overtime Hours]]&gt;50),"Yes","No"),"Not Found")</f>
        <v>No</v>
      </c>
    </row>
    <row r="508" spans="1:4" x14ac:dyDescent="0.35">
      <c r="A508" s="36" t="str">
        <f>_xlfn.TEXTJOIN(" ",TRUE,Employees_Data[[#This Row],[First Name]],Employees_Data[[#This Row],[Last Name]])</f>
        <v>Razan Iybw</v>
      </c>
      <c r="B508" s="37">
        <f ca="1">DATEDIF(Employees!$F508,TODAY(),"Y")</f>
        <v>6</v>
      </c>
      <c r="C508" s="38">
        <v>9</v>
      </c>
      <c r="D508" s="39" t="str">
        <f ca="1">IFERROR(IF(AND(Hardworking_Employee[[#This Row],[Years]]&gt;=5,Hardworking_Employee[[#This Row],[Overtime Hours]]&gt;50),"Yes","No"),"Not Found")</f>
        <v>No</v>
      </c>
    </row>
    <row r="509" spans="1:4" x14ac:dyDescent="0.35">
      <c r="A509" s="40" t="str">
        <f>_xlfn.TEXTJOIN(" ",TRUE,Employees_Data[[#This Row],[First Name]],Employees_Data[[#This Row],[Last Name]])</f>
        <v>Jamil Ghabur</v>
      </c>
      <c r="B509" s="41">
        <f ca="1">DATEDIF(Employees!$F509,TODAY(),"Y")</f>
        <v>7</v>
      </c>
      <c r="C509" s="42">
        <v>9</v>
      </c>
      <c r="D509" s="43" t="str">
        <f ca="1">IFERROR(IF(AND(Hardworking_Employee[[#This Row],[Years]]&gt;=5,Hardworking_Employee[[#This Row],[Overtime Hours]]&gt;50),"Yes","No"),"Not Found")</f>
        <v>No</v>
      </c>
    </row>
    <row r="510" spans="1:4" x14ac:dyDescent="0.35">
      <c r="A510" s="36" t="str">
        <f>_xlfn.TEXTJOIN(" ",TRUE,Employees_Data[[#This Row],[First Name]],Employees_Data[[#This Row],[Last Name]])</f>
        <v>Alaa Sultan</v>
      </c>
      <c r="B510" s="37">
        <f ca="1">DATEDIF(Employees!$F510,TODAY(),"Y")</f>
        <v>7</v>
      </c>
      <c r="C510" s="38">
        <v>7</v>
      </c>
      <c r="D510" s="39" t="str">
        <f ca="1">IFERROR(IF(AND(Hardworking_Employee[[#This Row],[Years]]&gt;=5,Hardworking_Employee[[#This Row],[Overtime Hours]]&gt;50),"Yes","No"),"Not Found")</f>
        <v>No</v>
      </c>
    </row>
    <row r="511" spans="1:4" x14ac:dyDescent="0.35">
      <c r="A511" s="40" t="str">
        <f>_xlfn.TEXTJOIN(" ",TRUE,Employees_Data[[#This Row],[First Name]],Employees_Data[[#This Row],[Last Name]])</f>
        <v>Sultan Taysir</v>
      </c>
      <c r="B511" s="41">
        <f ca="1">DATEDIF(Employees!$F511,TODAY(),"Y")</f>
        <v>10</v>
      </c>
      <c r="C511" s="42">
        <v>7</v>
      </c>
      <c r="D511" s="43" t="str">
        <f ca="1">IFERROR(IF(AND(Hardworking_Employee[[#This Row],[Years]]&gt;=5,Hardworking_Employee[[#This Row],[Overtime Hours]]&gt;50),"Yes","No"),"Not Found")</f>
        <v>No</v>
      </c>
    </row>
    <row r="512" spans="1:4" x14ac:dyDescent="0.35">
      <c r="A512" s="36" t="str">
        <f>_xlfn.TEXTJOIN(" ",TRUE,Employees_Data[[#This Row],[First Name]],Employees_Data[[#This Row],[Last Name]])</f>
        <v>Hanan Kurdiun</v>
      </c>
      <c r="B512" s="37">
        <f ca="1">DATEDIF(Employees!$F512,TODAY(),"Y")</f>
        <v>7</v>
      </c>
      <c r="C512" s="38">
        <v>5</v>
      </c>
      <c r="D512" s="39" t="str">
        <f ca="1">IFERROR(IF(AND(Hardworking_Employee[[#This Row],[Years]]&gt;=5,Hardworking_Employee[[#This Row],[Overtime Hours]]&gt;50),"Yes","No"),"Not Found")</f>
        <v>No</v>
      </c>
    </row>
    <row r="513" spans="1:4" x14ac:dyDescent="0.35">
      <c r="A513" s="40" t="str">
        <f>_xlfn.TEXTJOIN(" ",TRUE,Employees_Data[[#This Row],[First Name]],Employees_Data[[#This Row],[Last Name]])</f>
        <v>Basil Salih</v>
      </c>
      <c r="B513" s="41">
        <f ca="1">DATEDIF(Employees!$F513,TODAY(),"Y")</f>
        <v>8</v>
      </c>
      <c r="C513" s="42">
        <v>11</v>
      </c>
      <c r="D513" s="43" t="str">
        <f ca="1">IFERROR(IF(AND(Hardworking_Employee[[#This Row],[Years]]&gt;=5,Hardworking_Employee[[#This Row],[Overtime Hours]]&gt;50),"Yes","No"),"Not Found")</f>
        <v>No</v>
      </c>
    </row>
    <row r="514" spans="1:4" x14ac:dyDescent="0.35">
      <c r="A514" s="36" t="str">
        <f>_xlfn.TEXTJOIN(" ",TRUE,Employees_Data[[#This Row],[First Name]],Employees_Data[[#This Row],[Last Name]])</f>
        <v>Rita Dib</v>
      </c>
      <c r="B514" s="37">
        <f ca="1">DATEDIF(Employees!$F514,TODAY(),"Y")</f>
        <v>6</v>
      </c>
      <c r="C514" s="38">
        <v>1</v>
      </c>
      <c r="D514" s="39" t="str">
        <f ca="1">IFERROR(IF(AND(Hardworking_Employee[[#This Row],[Years]]&gt;=5,Hardworking_Employee[[#This Row],[Overtime Hours]]&gt;50),"Yes","No"),"Not Found")</f>
        <v>No</v>
      </c>
    </row>
    <row r="515" spans="1:4" x14ac:dyDescent="0.35">
      <c r="A515" s="40" t="str">
        <f>_xlfn.TEXTJOIN(" ",TRUE,Employees_Data[[#This Row],[First Name]],Employees_Data[[#This Row],[Last Name]])</f>
        <v>Muhamad Alghush</v>
      </c>
      <c r="B515" s="41">
        <f ca="1">DATEDIF(Employees!$F515,TODAY(),"Y")</f>
        <v>7</v>
      </c>
      <c r="C515" s="42">
        <v>3</v>
      </c>
      <c r="D515" s="43" t="str">
        <f ca="1">IFERROR(IF(AND(Hardworking_Employee[[#This Row],[Years]]&gt;=5,Hardworking_Employee[[#This Row],[Overtime Hours]]&gt;50),"Yes","No"),"Not Found")</f>
        <v>No</v>
      </c>
    </row>
    <row r="516" spans="1:4" x14ac:dyDescent="0.35">
      <c r="A516" s="36" t="str">
        <f>_xlfn.TEXTJOIN(" ",TRUE,Employees_Data[[#This Row],[First Name]],Employees_Data[[#This Row],[Last Name]])</f>
        <v>Muhamad Iismaeil</v>
      </c>
      <c r="B516" s="37">
        <f ca="1">DATEDIF(Employees!$F516,TODAY(),"Y")</f>
        <v>5</v>
      </c>
      <c r="C516" s="38">
        <v>2</v>
      </c>
      <c r="D516" s="39" t="str">
        <f ca="1">IFERROR(IF(AND(Hardworking_Employee[[#This Row],[Years]]&gt;=5,Hardworking_Employee[[#This Row],[Overtime Hours]]&gt;50),"Yes","No"),"Not Found")</f>
        <v>No</v>
      </c>
    </row>
    <row r="517" spans="1:4" x14ac:dyDescent="0.35">
      <c r="A517" s="40" t="str">
        <f>_xlfn.TEXTJOIN(" ",TRUE,Employees_Data[[#This Row],[First Name]],Employees_Data[[#This Row],[Last Name]])</f>
        <v>Khaldun Alsaedi</v>
      </c>
      <c r="B517" s="41">
        <f ca="1">DATEDIF(Employees!$F517,TODAY(),"Y")</f>
        <v>6</v>
      </c>
      <c r="C517" s="42">
        <v>2</v>
      </c>
      <c r="D517" s="43" t="str">
        <f ca="1">IFERROR(IF(AND(Hardworking_Employee[[#This Row],[Years]]&gt;=5,Hardworking_Employee[[#This Row],[Overtime Hours]]&gt;50),"Yes","No"),"Not Found")</f>
        <v>No</v>
      </c>
    </row>
    <row r="518" spans="1:4" x14ac:dyDescent="0.35">
      <c r="A518" s="36" t="str">
        <f>_xlfn.TEXTJOIN(" ",TRUE,Employees_Data[[#This Row],[First Name]],Employees_Data[[#This Row],[Last Name]])</f>
        <v>Ghaliah Eibad</v>
      </c>
      <c r="B518" s="37">
        <f ca="1">DATEDIF(Employees!$F518,TODAY(),"Y")</f>
        <v>6</v>
      </c>
      <c r="C518" s="38">
        <v>7</v>
      </c>
      <c r="D518" s="39" t="str">
        <f ca="1">IFERROR(IF(AND(Hardworking_Employee[[#This Row],[Years]]&gt;=5,Hardworking_Employee[[#This Row],[Overtime Hours]]&gt;50),"Yes","No"),"Not Found")</f>
        <v>No</v>
      </c>
    </row>
    <row r="519" spans="1:4" x14ac:dyDescent="0.35">
      <c r="A519" s="40" t="str">
        <f>_xlfn.TEXTJOIN(" ",TRUE,Employees_Data[[#This Row],[First Name]],Employees_Data[[#This Row],[Last Name]])</f>
        <v>Muhamad Alsaedi</v>
      </c>
      <c r="B519" s="41">
        <f ca="1">DATEDIF(Employees!$F519,TODAY(),"Y")</f>
        <v>6</v>
      </c>
      <c r="C519" s="42">
        <v>0</v>
      </c>
      <c r="D519" s="43" t="str">
        <f ca="1">IFERROR(IF(AND(Hardworking_Employee[[#This Row],[Years]]&gt;=5,Hardworking_Employee[[#This Row],[Overtime Hours]]&gt;50),"Yes","No"),"Not Found")</f>
        <v>No</v>
      </c>
    </row>
    <row r="520" spans="1:4" x14ac:dyDescent="0.35">
      <c r="A520" s="36" t="str">
        <f>_xlfn.TEXTJOIN(" ",TRUE,Employees_Data[[#This Row],[First Name]],Employees_Data[[#This Row],[Last Name]])</f>
        <v>Eala Zaniqa</v>
      </c>
      <c r="B520" s="37">
        <f ca="1">DATEDIF(Employees!$F520,TODAY(),"Y")</f>
        <v>9</v>
      </c>
      <c r="C520" s="38">
        <v>9</v>
      </c>
      <c r="D520" s="39" t="str">
        <f ca="1">IFERROR(IF(AND(Hardworking_Employee[[#This Row],[Years]]&gt;=5,Hardworking_Employee[[#This Row],[Overtime Hours]]&gt;50),"Yes","No"),"Not Found")</f>
        <v>No</v>
      </c>
    </row>
    <row r="521" spans="1:4" x14ac:dyDescent="0.35">
      <c r="A521" s="40" t="str">
        <f>_xlfn.TEXTJOIN(" ",TRUE,Employees_Data[[#This Row],[First Name]],Employees_Data[[#This Row],[Last Name]])</f>
        <v>Ayham Sharfah</v>
      </c>
      <c r="B521" s="41">
        <f ca="1">DATEDIF(Employees!$F521,TODAY(),"Y")</f>
        <v>8</v>
      </c>
      <c r="C521" s="42">
        <v>4</v>
      </c>
      <c r="D521" s="43" t="str">
        <f ca="1">IFERROR(IF(AND(Hardworking_Employee[[#This Row],[Years]]&gt;=5,Hardworking_Employee[[#This Row],[Overtime Hours]]&gt;50),"Yes","No"),"Not Found")</f>
        <v>No</v>
      </c>
    </row>
    <row r="522" spans="1:4" x14ac:dyDescent="0.35">
      <c r="A522" s="36" t="str">
        <f>_xlfn.TEXTJOIN(" ",TRUE,Employees_Data[[#This Row],[First Name]],Employees_Data[[#This Row],[Last Name]])</f>
        <v>Ahmad Kazeur</v>
      </c>
      <c r="B522" s="37">
        <f ca="1">DATEDIF(Employees!$F522,TODAY(),"Y")</f>
        <v>7</v>
      </c>
      <c r="C522" s="38">
        <v>7</v>
      </c>
      <c r="D522" s="39" t="str">
        <f ca="1">IFERROR(IF(AND(Hardworking_Employee[[#This Row],[Years]]&gt;=5,Hardworking_Employee[[#This Row],[Overtime Hours]]&gt;50),"Yes","No"),"Not Found")</f>
        <v>No</v>
      </c>
    </row>
    <row r="523" spans="1:4" x14ac:dyDescent="0.35">
      <c r="A523" s="40" t="str">
        <f>_xlfn.TEXTJOIN(" ",TRUE,Employees_Data[[#This Row],[First Name]],Employees_Data[[#This Row],[Last Name]])</f>
        <v>Mujdi Kiwan</v>
      </c>
      <c r="B523" s="41">
        <f ca="1">DATEDIF(Employees!$F523,TODAY(),"Y")</f>
        <v>5</v>
      </c>
      <c r="C523" s="42">
        <v>10</v>
      </c>
      <c r="D523" s="43" t="str">
        <f ca="1">IFERROR(IF(AND(Hardworking_Employee[[#This Row],[Years]]&gt;=5,Hardworking_Employee[[#This Row],[Overtime Hours]]&gt;50),"Yes","No"),"Not Found")</f>
        <v>No</v>
      </c>
    </row>
    <row r="524" spans="1:4" x14ac:dyDescent="0.35">
      <c r="A524" s="36" t="str">
        <f>_xlfn.TEXTJOIN(" ",TRUE,Employees_Data[[#This Row],[First Name]],Employees_Data[[#This Row],[Last Name]])</f>
        <v>Muhamad Altynawi</v>
      </c>
      <c r="B524" s="37">
        <f ca="1">DATEDIF(Employees!$F524,TODAY(),"Y")</f>
        <v>7</v>
      </c>
      <c r="C524" s="38">
        <v>1</v>
      </c>
      <c r="D524" s="39" t="str">
        <f ca="1">IFERROR(IF(AND(Hardworking_Employee[[#This Row],[Years]]&gt;=5,Hardworking_Employee[[#This Row],[Overtime Hours]]&gt;50),"Yes","No"),"Not Found")</f>
        <v>No</v>
      </c>
    </row>
    <row r="525" spans="1:4" x14ac:dyDescent="0.35">
      <c r="A525" s="40" t="str">
        <f>_xlfn.TEXTJOIN(" ",TRUE,Employees_Data[[#This Row],[First Name]],Employees_Data[[#This Row],[Last Name]])</f>
        <v>Lama Alhasan</v>
      </c>
      <c r="B525" s="41">
        <f ca="1">DATEDIF(Employees!$F525,TODAY(),"Y")</f>
        <v>8</v>
      </c>
      <c r="C525" s="42">
        <v>8</v>
      </c>
      <c r="D525" s="43" t="str">
        <f ca="1">IFERROR(IF(AND(Hardworking_Employee[[#This Row],[Years]]&gt;=5,Hardworking_Employee[[#This Row],[Overtime Hours]]&gt;50),"Yes","No"),"Not Found")</f>
        <v>No</v>
      </c>
    </row>
    <row r="526" spans="1:4" x14ac:dyDescent="0.35">
      <c r="A526" s="36" t="str">
        <f>_xlfn.TEXTJOIN(" ",TRUE,Employees_Data[[#This Row],[First Name]],Employees_Data[[#This Row],[Last Name]])</f>
        <v>Lama Almisri</v>
      </c>
      <c r="B526" s="37">
        <f ca="1">DATEDIF(Employees!$F526,TODAY(),"Y")</f>
        <v>6</v>
      </c>
      <c r="C526" s="38">
        <v>8</v>
      </c>
      <c r="D526" s="39" t="str">
        <f ca="1">IFERROR(IF(AND(Hardworking_Employee[[#This Row],[Years]]&gt;=5,Hardworking_Employee[[#This Row],[Overtime Hours]]&gt;50),"Yes","No"),"Not Found")</f>
        <v>No</v>
      </c>
    </row>
    <row r="527" spans="1:4" x14ac:dyDescent="0.35">
      <c r="A527" s="40" t="str">
        <f>_xlfn.TEXTJOIN(" ",TRUE,Employees_Data[[#This Row],[First Name]],Employees_Data[[#This Row],[Last Name]])</f>
        <v>Thayir Hamuwda</v>
      </c>
      <c r="B527" s="41">
        <f ca="1">DATEDIF(Employees!$F527,TODAY(),"Y")</f>
        <v>6</v>
      </c>
      <c r="C527" s="42">
        <v>9</v>
      </c>
      <c r="D527" s="43" t="str">
        <f ca="1">IFERROR(IF(AND(Hardworking_Employee[[#This Row],[Years]]&gt;=5,Hardworking_Employee[[#This Row],[Overtime Hours]]&gt;50),"Yes","No"),"Not Found")</f>
        <v>No</v>
      </c>
    </row>
    <row r="528" spans="1:4" x14ac:dyDescent="0.35">
      <c r="A528" s="36" t="str">
        <f>_xlfn.TEXTJOIN(" ",TRUE,Employees_Data[[#This Row],[First Name]],Employees_Data[[#This Row],[Last Name]])</f>
        <v>Abdallah Zakariaa</v>
      </c>
      <c r="B528" s="37">
        <f ca="1">DATEDIF(Employees!$F528,TODAY(),"Y")</f>
        <v>7</v>
      </c>
      <c r="C528" s="38">
        <v>3</v>
      </c>
      <c r="D528" s="39" t="str">
        <f ca="1">IFERROR(IF(AND(Hardworking_Employee[[#This Row],[Years]]&gt;=5,Hardworking_Employee[[#This Row],[Overtime Hours]]&gt;50),"Yes","No"),"Not Found")</f>
        <v>No</v>
      </c>
    </row>
    <row r="529" spans="1:4" x14ac:dyDescent="0.35">
      <c r="A529" s="40" t="str">
        <f>_xlfn.TEXTJOIN(" ",TRUE,Employees_Data[[#This Row],[First Name]],Employees_Data[[#This Row],[Last Name]])</f>
        <v>Ikhlas Alhasan</v>
      </c>
      <c r="B529" s="41">
        <f ca="1">DATEDIF(Employees!$F529,TODAY(),"Y")</f>
        <v>6</v>
      </c>
      <c r="C529" s="42">
        <v>10</v>
      </c>
      <c r="D529" s="43" t="str">
        <f ca="1">IFERROR(IF(AND(Hardworking_Employee[[#This Row],[Years]]&gt;=5,Hardworking_Employee[[#This Row],[Overtime Hours]]&gt;50),"Yes","No"),"Not Found")</f>
        <v>No</v>
      </c>
    </row>
    <row r="530" spans="1:4" x14ac:dyDescent="0.35">
      <c r="A530" s="36" t="str">
        <f>_xlfn.TEXTJOIN(" ",TRUE,Employees_Data[[#This Row],[First Name]],Employees_Data[[#This Row],[Last Name]])</f>
        <v>Muhamad Jzayrly</v>
      </c>
      <c r="B530" s="37">
        <f ca="1">DATEDIF(Employees!$F530,TODAY(),"Y")</f>
        <v>8</v>
      </c>
      <c r="C530" s="38">
        <v>8</v>
      </c>
      <c r="D530" s="39" t="str">
        <f ca="1">IFERROR(IF(AND(Hardworking_Employee[[#This Row],[Years]]&gt;=5,Hardworking_Employee[[#This Row],[Overtime Hours]]&gt;50),"Yes","No"),"Not Found")</f>
        <v>No</v>
      </c>
    </row>
    <row r="531" spans="1:4" x14ac:dyDescent="0.35">
      <c r="A531" s="40" t="str">
        <f>_xlfn.TEXTJOIN(" ",TRUE,Employees_Data[[#This Row],[First Name]],Employees_Data[[#This Row],[Last Name]])</f>
        <v>Husam Badr</v>
      </c>
      <c r="B531" s="41">
        <f ca="1">DATEDIF(Employees!$F531,TODAY(),"Y")</f>
        <v>7</v>
      </c>
      <c r="C531" s="42">
        <v>40</v>
      </c>
      <c r="D531" s="43" t="str">
        <f ca="1">IFERROR(IF(AND(Hardworking_Employee[[#This Row],[Years]]&gt;=5,Hardworking_Employee[[#This Row],[Overtime Hours]]&gt;50),"Yes","No"),"Not Found")</f>
        <v>No</v>
      </c>
    </row>
    <row r="532" spans="1:4" x14ac:dyDescent="0.35">
      <c r="A532" s="36" t="str">
        <f>_xlfn.TEXTJOIN(" ",TRUE,Employees_Data[[#This Row],[First Name]],Employees_Data[[#This Row],[Last Name]])</f>
        <v>Rami Hunun</v>
      </c>
      <c r="B532" s="37">
        <f ca="1">DATEDIF(Employees!$F532,TODAY(),"Y")</f>
        <v>6</v>
      </c>
      <c r="C532" s="38">
        <v>1</v>
      </c>
      <c r="D532" s="39" t="str">
        <f ca="1">IFERROR(IF(AND(Hardworking_Employee[[#This Row],[Years]]&gt;=5,Hardworking_Employee[[#This Row],[Overtime Hours]]&gt;50),"Yes","No"),"Not Found")</f>
        <v>No</v>
      </c>
    </row>
    <row r="533" spans="1:4" x14ac:dyDescent="0.35">
      <c r="A533" s="40" t="str">
        <f>_xlfn.TEXTJOIN(" ",TRUE,Employees_Data[[#This Row],[First Name]],Employees_Data[[#This Row],[Last Name]])</f>
        <v>Alia Abu</v>
      </c>
      <c r="B533" s="41">
        <f ca="1">DATEDIF(Employees!$F533,TODAY(),"Y")</f>
        <v>7</v>
      </c>
      <c r="C533" s="42">
        <v>4</v>
      </c>
      <c r="D533" s="43" t="str">
        <f ca="1">IFERROR(IF(AND(Hardworking_Employee[[#This Row],[Years]]&gt;=5,Hardworking_Employee[[#This Row],[Overtime Hours]]&gt;50),"Yes","No"),"Not Found")</f>
        <v>No</v>
      </c>
    </row>
    <row r="534" spans="1:4" x14ac:dyDescent="0.35">
      <c r="A534" s="36" t="str">
        <f>_xlfn.TEXTJOIN(" ",TRUE,Employees_Data[[#This Row],[First Name]],Employees_Data[[#This Row],[Last Name]])</f>
        <v>Samir Sariji</v>
      </c>
      <c r="B534" s="37">
        <f ca="1">DATEDIF(Employees!$F534,TODAY(),"Y")</f>
        <v>6</v>
      </c>
      <c r="C534" s="38">
        <v>5</v>
      </c>
      <c r="D534" s="39" t="str">
        <f ca="1">IFERROR(IF(AND(Hardworking_Employee[[#This Row],[Years]]&gt;=5,Hardworking_Employee[[#This Row],[Overtime Hours]]&gt;50),"Yes","No"),"Not Found")</f>
        <v>No</v>
      </c>
    </row>
    <row r="535" spans="1:4" x14ac:dyDescent="0.35">
      <c r="A535" s="40" t="str">
        <f>_xlfn.TEXTJOIN(" ",TRUE,Employees_Data[[#This Row],[First Name]],Employees_Data[[#This Row],[Last Name]])</f>
        <v>Muhamad Albieli</v>
      </c>
      <c r="B535" s="41">
        <f ca="1">DATEDIF(Employees!$F535,TODAY(),"Y")</f>
        <v>10</v>
      </c>
      <c r="C535" s="42">
        <v>10</v>
      </c>
      <c r="D535" s="43" t="str">
        <f ca="1">IFERROR(IF(AND(Hardworking_Employee[[#This Row],[Years]]&gt;=5,Hardworking_Employee[[#This Row],[Overtime Hours]]&gt;50),"Yes","No"),"Not Found")</f>
        <v>No</v>
      </c>
    </row>
    <row r="536" spans="1:4" x14ac:dyDescent="0.35">
      <c r="A536" s="36" t="str">
        <f>_xlfn.TEXTJOIN(" ",TRUE,Employees_Data[[#This Row],[First Name]],Employees_Data[[#This Row],[Last Name]])</f>
        <v>Ahmad Eyd Bndqjy</v>
      </c>
      <c r="B536" s="37">
        <f ca="1">DATEDIF(Employees!$F536,TODAY(),"Y")</f>
        <v>9</v>
      </c>
      <c r="C536" s="38">
        <v>3</v>
      </c>
      <c r="D536" s="39" t="str">
        <f ca="1">IFERROR(IF(AND(Hardworking_Employee[[#This Row],[Years]]&gt;=5,Hardworking_Employee[[#This Row],[Overtime Hours]]&gt;50),"Yes","No"),"Not Found")</f>
        <v>No</v>
      </c>
    </row>
    <row r="537" spans="1:4" x14ac:dyDescent="0.35">
      <c r="A537" s="40" t="str">
        <f>_xlfn.TEXTJOIN(" ",TRUE,Employees_Data[[#This Row],[First Name]],Employees_Data[[#This Row],[Last Name]])</f>
        <v>Maria Lulu</v>
      </c>
      <c r="B537" s="41">
        <f ca="1">DATEDIF(Employees!$F537,TODAY(),"Y")</f>
        <v>8</v>
      </c>
      <c r="C537" s="42">
        <v>94</v>
      </c>
      <c r="D537" s="43" t="str">
        <f ca="1">IFERROR(IF(AND(Hardworking_Employee[[#This Row],[Years]]&gt;=5,Hardworking_Employee[[#This Row],[Overtime Hours]]&gt;50),"Yes","No"),"Not Found")</f>
        <v>Yes</v>
      </c>
    </row>
    <row r="538" spans="1:4" x14ac:dyDescent="0.35">
      <c r="A538" s="36" t="str">
        <f>_xlfn.TEXTJOIN(" ",TRUE,Employees_Data[[#This Row],[First Name]],Employees_Data[[#This Row],[Last Name]])</f>
        <v>Muhamad Shhybr</v>
      </c>
      <c r="B538" s="37">
        <f ca="1">DATEDIF(Employees!$F538,TODAY(),"Y")</f>
        <v>6</v>
      </c>
      <c r="C538" s="38">
        <v>2</v>
      </c>
      <c r="D538" s="39" t="str">
        <f ca="1">IFERROR(IF(AND(Hardworking_Employee[[#This Row],[Years]]&gt;=5,Hardworking_Employee[[#This Row],[Overtime Hours]]&gt;50),"Yes","No"),"Not Found")</f>
        <v>No</v>
      </c>
    </row>
    <row r="539" spans="1:4" x14ac:dyDescent="0.35">
      <c r="A539" s="40" t="str">
        <f>_xlfn.TEXTJOIN(" ",TRUE,Employees_Data[[#This Row],[First Name]],Employees_Data[[#This Row],[Last Name]])</f>
        <v>Abdalbasit Aljazayiriu</v>
      </c>
      <c r="B539" s="41">
        <f ca="1">DATEDIF(Employees!$F539,TODAY(),"Y")</f>
        <v>7</v>
      </c>
      <c r="C539" s="42">
        <v>2</v>
      </c>
      <c r="D539" s="43" t="str">
        <f ca="1">IFERROR(IF(AND(Hardworking_Employee[[#This Row],[Years]]&gt;=5,Hardworking_Employee[[#This Row],[Overtime Hours]]&gt;50),"Yes","No"),"Not Found")</f>
        <v>No</v>
      </c>
    </row>
    <row r="540" spans="1:4" x14ac:dyDescent="0.35">
      <c r="A540" s="36" t="str">
        <f>_xlfn.TEXTJOIN(" ",TRUE,Employees_Data[[#This Row],[First Name]],Employees_Data[[#This Row],[Last Name]])</f>
        <v>Bilal Aywbi</v>
      </c>
      <c r="B540" s="37">
        <f ca="1">DATEDIF(Employees!$F540,TODAY(),"Y")</f>
        <v>6</v>
      </c>
      <c r="C540" s="38">
        <v>0</v>
      </c>
      <c r="D540" s="39" t="str">
        <f ca="1">IFERROR(IF(AND(Hardworking_Employee[[#This Row],[Years]]&gt;=5,Hardworking_Employee[[#This Row],[Overtime Hours]]&gt;50),"Yes","No"),"Not Found")</f>
        <v>No</v>
      </c>
    </row>
    <row r="541" spans="1:4" x14ac:dyDescent="0.35">
      <c r="A541" s="40" t="str">
        <f>_xlfn.TEXTJOIN(" ",TRUE,Employees_Data[[#This Row],[First Name]],Employees_Data[[#This Row],[Last Name]])</f>
        <v>Ahmad Dabana</v>
      </c>
      <c r="B541" s="41">
        <f ca="1">DATEDIF(Employees!$F541,TODAY(),"Y")</f>
        <v>7</v>
      </c>
      <c r="C541" s="42">
        <v>1</v>
      </c>
      <c r="D541" s="43" t="str">
        <f ca="1">IFERROR(IF(AND(Hardworking_Employee[[#This Row],[Years]]&gt;=5,Hardworking_Employee[[#This Row],[Overtime Hours]]&gt;50),"Yes","No"),"Not Found")</f>
        <v>No</v>
      </c>
    </row>
    <row r="542" spans="1:4" x14ac:dyDescent="0.35">
      <c r="A542" s="36" t="str">
        <f>_xlfn.TEXTJOIN(" ",TRUE,Employees_Data[[#This Row],[First Name]],Employees_Data[[#This Row],[Last Name]])</f>
        <v>Fawaz Ghazal</v>
      </c>
      <c r="B542" s="37">
        <f ca="1">DATEDIF(Employees!$F542,TODAY(),"Y")</f>
        <v>6</v>
      </c>
      <c r="C542" s="38">
        <v>15</v>
      </c>
      <c r="D542" s="39" t="str">
        <f ca="1">IFERROR(IF(AND(Hardworking_Employee[[#This Row],[Years]]&gt;=5,Hardworking_Employee[[#This Row],[Overtime Hours]]&gt;50),"Yes","No"),"Not Found")</f>
        <v>No</v>
      </c>
    </row>
    <row r="543" spans="1:4" x14ac:dyDescent="0.35">
      <c r="A543" s="40" t="str">
        <f>_xlfn.TEXTJOIN(" ",TRUE,Employees_Data[[#This Row],[First Name]],Employees_Data[[#This Row],[Last Name]])</f>
        <v>Bisam Altahhan</v>
      </c>
      <c r="B543" s="41">
        <f ca="1">DATEDIF(Employees!$F543,TODAY(),"Y")</f>
        <v>7</v>
      </c>
      <c r="C543" s="42">
        <v>11</v>
      </c>
      <c r="D543" s="43" t="str">
        <f ca="1">IFERROR(IF(AND(Hardworking_Employee[[#This Row],[Years]]&gt;=5,Hardworking_Employee[[#This Row],[Overtime Hours]]&gt;50),"Yes","No"),"Not Found")</f>
        <v>No</v>
      </c>
    </row>
    <row r="544" spans="1:4" x14ac:dyDescent="0.35">
      <c r="A544" s="36" t="str">
        <f>_xlfn.TEXTJOIN(" ",TRUE,Employees_Data[[#This Row],[First Name]],Employees_Data[[#This Row],[Last Name]])</f>
        <v>Muhamad Amir</v>
      </c>
      <c r="B544" s="37">
        <f ca="1">DATEDIF(Employees!$F544,TODAY(),"Y")</f>
        <v>8</v>
      </c>
      <c r="C544" s="38">
        <v>14</v>
      </c>
      <c r="D544" s="39" t="str">
        <f ca="1">IFERROR(IF(AND(Hardworking_Employee[[#This Row],[Years]]&gt;=5,Hardworking_Employee[[#This Row],[Overtime Hours]]&gt;50),"Yes","No"),"Not Found")</f>
        <v>No</v>
      </c>
    </row>
    <row r="545" spans="1:4" x14ac:dyDescent="0.35">
      <c r="A545" s="40" t="str">
        <f>_xlfn.TEXTJOIN(" ",TRUE,Employees_Data[[#This Row],[First Name]],Employees_Data[[#This Row],[Last Name]])</f>
        <v>Lilas Nafae</v>
      </c>
      <c r="B545" s="41">
        <f ca="1">DATEDIF(Employees!$F545,TODAY(),"Y")</f>
        <v>8</v>
      </c>
      <c r="C545" s="42">
        <v>81</v>
      </c>
      <c r="D545" s="43" t="str">
        <f ca="1">IFERROR(IF(AND(Hardworking_Employee[[#This Row],[Years]]&gt;=5,Hardworking_Employee[[#This Row],[Overtime Hours]]&gt;50),"Yes","No"),"Not Found")</f>
        <v>Yes</v>
      </c>
    </row>
    <row r="546" spans="1:4" x14ac:dyDescent="0.35">
      <c r="A546" s="36" t="str">
        <f>_xlfn.TEXTJOIN(" ",TRUE,Employees_Data[[#This Row],[First Name]],Employees_Data[[#This Row],[Last Name]])</f>
        <v>Muhamad Ayman</v>
      </c>
      <c r="B546" s="37">
        <f ca="1">DATEDIF(Employees!$F546,TODAY(),"Y")</f>
        <v>10</v>
      </c>
      <c r="C546" s="38">
        <v>7</v>
      </c>
      <c r="D546" s="39" t="str">
        <f ca="1">IFERROR(IF(AND(Hardworking_Employee[[#This Row],[Years]]&gt;=5,Hardworking_Employee[[#This Row],[Overtime Hours]]&gt;50),"Yes","No"),"Not Found")</f>
        <v>No</v>
      </c>
    </row>
    <row r="547" spans="1:4" x14ac:dyDescent="0.35">
      <c r="A547" s="40" t="str">
        <f>_xlfn.TEXTJOIN(" ",TRUE,Employees_Data[[#This Row],[First Name]],Employees_Data[[#This Row],[Last Name]])</f>
        <v>Ranim Earabi</v>
      </c>
      <c r="B547" s="41">
        <f ca="1">DATEDIF(Employees!$F547,TODAY(),"Y")</f>
        <v>6</v>
      </c>
      <c r="C547" s="42">
        <v>5</v>
      </c>
      <c r="D547" s="43" t="str">
        <f ca="1">IFERROR(IF(AND(Hardworking_Employee[[#This Row],[Years]]&gt;=5,Hardworking_Employee[[#This Row],[Overtime Hours]]&gt;50),"Yes","No"),"Not Found")</f>
        <v>No</v>
      </c>
    </row>
    <row r="548" spans="1:4" x14ac:dyDescent="0.35">
      <c r="A548" s="36" t="str">
        <f>_xlfn.TEXTJOIN(" ",TRUE,Employees_Data[[#This Row],[First Name]],Employees_Data[[#This Row],[Last Name]])</f>
        <v>Amani Altujjar</v>
      </c>
      <c r="B548" s="37">
        <f ca="1">DATEDIF(Employees!$F548,TODAY(),"Y")</f>
        <v>9</v>
      </c>
      <c r="C548" s="38">
        <v>7</v>
      </c>
      <c r="D548" s="39" t="str">
        <f ca="1">IFERROR(IF(AND(Hardworking_Employee[[#This Row],[Years]]&gt;=5,Hardworking_Employee[[#This Row],[Overtime Hours]]&gt;50),"Yes","No"),"Not Found")</f>
        <v>No</v>
      </c>
    </row>
    <row r="549" spans="1:4" x14ac:dyDescent="0.35">
      <c r="A549" s="40" t="str">
        <f>_xlfn.TEXTJOIN(" ",TRUE,Employees_Data[[#This Row],[First Name]],Employees_Data[[#This Row],[Last Name]])</f>
        <v>Muhamad Rashid</v>
      </c>
      <c r="B549" s="41">
        <f ca="1">DATEDIF(Employees!$F549,TODAY(),"Y")</f>
        <v>5</v>
      </c>
      <c r="C549" s="42">
        <v>5</v>
      </c>
      <c r="D549" s="43" t="str">
        <f ca="1">IFERROR(IF(AND(Hardworking_Employee[[#This Row],[Years]]&gt;=5,Hardworking_Employee[[#This Row],[Overtime Hours]]&gt;50),"Yes","No"),"Not Found")</f>
        <v>No</v>
      </c>
    </row>
    <row r="550" spans="1:4" x14ac:dyDescent="0.35">
      <c r="A550" s="36" t="str">
        <f>_xlfn.TEXTJOIN(" ",TRUE,Employees_Data[[#This Row],[First Name]],Employees_Data[[#This Row],[Last Name]])</f>
        <v>Amin Hamid</v>
      </c>
      <c r="B550" s="37">
        <f ca="1">DATEDIF(Employees!$F550,TODAY(),"Y")</f>
        <v>10</v>
      </c>
      <c r="C550" s="38">
        <v>11</v>
      </c>
      <c r="D550" s="39" t="str">
        <f ca="1">IFERROR(IF(AND(Hardworking_Employee[[#This Row],[Years]]&gt;=5,Hardworking_Employee[[#This Row],[Overtime Hours]]&gt;50),"Yes","No"),"Not Found")</f>
        <v>No</v>
      </c>
    </row>
    <row r="551" spans="1:4" x14ac:dyDescent="0.35">
      <c r="A551" s="40" t="str">
        <f>_xlfn.TEXTJOIN(" ",TRUE,Employees_Data[[#This Row],[First Name]],Employees_Data[[#This Row],[Last Name]])</f>
        <v>Khalid Jameah</v>
      </c>
      <c r="B551" s="41">
        <f ca="1">DATEDIF(Employees!$F551,TODAY(),"Y")</f>
        <v>7</v>
      </c>
      <c r="C551" s="42">
        <v>10</v>
      </c>
      <c r="D551" s="43" t="str">
        <f ca="1">IFERROR(IF(AND(Hardworking_Employee[[#This Row],[Years]]&gt;=5,Hardworking_Employee[[#This Row],[Overtime Hours]]&gt;50),"Yes","No"),"Not Found")</f>
        <v>No</v>
      </c>
    </row>
    <row r="552" spans="1:4" x14ac:dyDescent="0.35">
      <c r="A552" s="36" t="str">
        <f>_xlfn.TEXTJOIN(" ",TRUE,Employees_Data[[#This Row],[First Name]],Employees_Data[[#This Row],[Last Name]])</f>
        <v>Fahd Shaykh</v>
      </c>
      <c r="B552" s="37">
        <f ca="1">DATEDIF(Employees!$F552,TODAY(),"Y")</f>
        <v>6</v>
      </c>
      <c r="C552" s="38">
        <v>1</v>
      </c>
      <c r="D552" s="39" t="str">
        <f ca="1">IFERROR(IF(AND(Hardworking_Employee[[#This Row],[Years]]&gt;=5,Hardworking_Employee[[#This Row],[Overtime Hours]]&gt;50),"Yes","No"),"Not Found")</f>
        <v>No</v>
      </c>
    </row>
    <row r="553" spans="1:4" x14ac:dyDescent="0.35">
      <c r="A553" s="40" t="str">
        <f>_xlfn.TEXTJOIN(" ",TRUE,Employees_Data[[#This Row],[First Name]],Employees_Data[[#This Row],[Last Name]])</f>
        <v>Lilas Kashik</v>
      </c>
      <c r="B553" s="41">
        <f ca="1">DATEDIF(Employees!$F553,TODAY(),"Y")</f>
        <v>10</v>
      </c>
      <c r="C553" s="42">
        <v>6</v>
      </c>
      <c r="D553" s="43" t="str">
        <f ca="1">IFERROR(IF(AND(Hardworking_Employee[[#This Row],[Years]]&gt;=5,Hardworking_Employee[[#This Row],[Overtime Hours]]&gt;50),"Yes","No"),"Not Found")</f>
        <v>No</v>
      </c>
    </row>
    <row r="554" spans="1:4" x14ac:dyDescent="0.35">
      <c r="A554" s="36" t="str">
        <f>_xlfn.TEXTJOIN(" ",TRUE,Employees_Data[[#This Row],[First Name]],Employees_Data[[#This Row],[Last Name]])</f>
        <v>Fatima Hasan</v>
      </c>
      <c r="B554" s="37">
        <f ca="1">DATEDIF(Employees!$F554,TODAY(),"Y")</f>
        <v>8</v>
      </c>
      <c r="C554" s="38">
        <v>10</v>
      </c>
      <c r="D554" s="39" t="str">
        <f ca="1">IFERROR(IF(AND(Hardworking_Employee[[#This Row],[Years]]&gt;=5,Hardworking_Employee[[#This Row],[Overtime Hours]]&gt;50),"Yes","No"),"Not Found")</f>
        <v>No</v>
      </c>
    </row>
    <row r="555" spans="1:4" x14ac:dyDescent="0.35">
      <c r="A555" s="40" t="str">
        <f>_xlfn.TEXTJOIN(" ",TRUE,Employees_Data[[#This Row],[First Name]],Employees_Data[[#This Row],[Last Name]])</f>
        <v>Diea Dakhal</v>
      </c>
      <c r="B555" s="41">
        <f ca="1">DATEDIF(Employees!$F555,TODAY(),"Y")</f>
        <v>6</v>
      </c>
      <c r="C555" s="42">
        <v>5</v>
      </c>
      <c r="D555" s="43" t="str">
        <f ca="1">IFERROR(IF(AND(Hardworking_Employee[[#This Row],[Years]]&gt;=5,Hardworking_Employee[[#This Row],[Overtime Hours]]&gt;50),"Yes","No"),"Not Found")</f>
        <v>No</v>
      </c>
    </row>
    <row r="556" spans="1:4" x14ac:dyDescent="0.35">
      <c r="A556" s="36" t="str">
        <f>_xlfn.TEXTJOIN(" ",TRUE,Employees_Data[[#This Row],[First Name]],Employees_Data[[#This Row],[Last Name]])</f>
        <v>Amir Karishati</v>
      </c>
      <c r="B556" s="37">
        <f ca="1">DATEDIF(Employees!$F556,TODAY(),"Y")</f>
        <v>7</v>
      </c>
      <c r="C556" s="38">
        <v>61</v>
      </c>
      <c r="D556" s="39" t="str">
        <f ca="1">IFERROR(IF(AND(Hardworking_Employee[[#This Row],[Years]]&gt;=5,Hardworking_Employee[[#This Row],[Overtime Hours]]&gt;50),"Yes","No"),"Not Found")</f>
        <v>Yes</v>
      </c>
    </row>
    <row r="557" spans="1:4" x14ac:dyDescent="0.35">
      <c r="A557" s="40" t="str">
        <f>_xlfn.TEXTJOIN(" ",TRUE,Employees_Data[[#This Row],[First Name]],Employees_Data[[#This Row],[Last Name]])</f>
        <v>Madlin Alsaed</v>
      </c>
      <c r="B557" s="41">
        <f ca="1">DATEDIF(Employees!$F557,TODAY(),"Y")</f>
        <v>9</v>
      </c>
      <c r="C557" s="42">
        <v>1</v>
      </c>
      <c r="D557" s="43" t="str">
        <f ca="1">IFERROR(IF(AND(Hardworking_Employee[[#This Row],[Years]]&gt;=5,Hardworking_Employee[[#This Row],[Overtime Hours]]&gt;50),"Yes","No"),"Not Found")</f>
        <v>No</v>
      </c>
    </row>
    <row r="558" spans="1:4" x14ac:dyDescent="0.35">
      <c r="A558" s="36" t="str">
        <f>_xlfn.TEXTJOIN(" ",TRUE,Employees_Data[[#This Row],[First Name]],Employees_Data[[#This Row],[Last Name]])</f>
        <v>Adnan Aleaqla</v>
      </c>
      <c r="B558" s="37">
        <f ca="1">DATEDIF(Employees!$F558,TODAY(),"Y")</f>
        <v>9</v>
      </c>
      <c r="C558" s="38">
        <v>10</v>
      </c>
      <c r="D558" s="39" t="str">
        <f ca="1">IFERROR(IF(AND(Hardworking_Employee[[#This Row],[Years]]&gt;=5,Hardworking_Employee[[#This Row],[Overtime Hours]]&gt;50),"Yes","No"),"Not Found")</f>
        <v>No</v>
      </c>
    </row>
    <row r="559" spans="1:4" x14ac:dyDescent="0.35">
      <c r="A559" s="40" t="str">
        <f>_xlfn.TEXTJOIN(" ",TRUE,Employees_Data[[#This Row],[First Name]],Employees_Data[[#This Row],[Last Name]])</f>
        <v>Muhamad Eursaly</v>
      </c>
      <c r="B559" s="41">
        <f ca="1">DATEDIF(Employees!$F559,TODAY(),"Y")</f>
        <v>7</v>
      </c>
      <c r="C559" s="42">
        <v>11</v>
      </c>
      <c r="D559" s="43" t="str">
        <f ca="1">IFERROR(IF(AND(Hardworking_Employee[[#This Row],[Years]]&gt;=5,Hardworking_Employee[[#This Row],[Overtime Hours]]&gt;50),"Yes","No"),"Not Found")</f>
        <v>No</v>
      </c>
    </row>
    <row r="560" spans="1:4" x14ac:dyDescent="0.35">
      <c r="A560" s="36" t="str">
        <f>_xlfn.TEXTJOIN(" ",TRUE,Employees_Data[[#This Row],[First Name]],Employees_Data[[#This Row],[Last Name]])</f>
        <v>Ranya Alaishhab</v>
      </c>
      <c r="B560" s="37">
        <f ca="1">DATEDIF(Employees!$F560,TODAY(),"Y")</f>
        <v>9</v>
      </c>
      <c r="C560" s="38">
        <v>10</v>
      </c>
      <c r="D560" s="39" t="str">
        <f ca="1">IFERROR(IF(AND(Hardworking_Employee[[#This Row],[Years]]&gt;=5,Hardworking_Employee[[#This Row],[Overtime Hours]]&gt;50),"Yes","No"),"Not Found")</f>
        <v>No</v>
      </c>
    </row>
    <row r="561" spans="1:4" x14ac:dyDescent="0.35">
      <c r="A561" s="40" t="str">
        <f>_xlfn.TEXTJOIN(" ",TRUE,Employees_Data[[#This Row],[First Name]],Employees_Data[[#This Row],[Last Name]])</f>
        <v>Rulaa Shannar</v>
      </c>
      <c r="B561" s="41">
        <f ca="1">DATEDIF(Employees!$F561,TODAY(),"Y")</f>
        <v>6</v>
      </c>
      <c r="C561" s="42">
        <v>1</v>
      </c>
      <c r="D561" s="43" t="str">
        <f ca="1">IFERROR(IF(AND(Hardworking_Employee[[#This Row],[Years]]&gt;=5,Hardworking_Employee[[#This Row],[Overtime Hours]]&gt;50),"Yes","No"),"Not Found")</f>
        <v>No</v>
      </c>
    </row>
    <row r="562" spans="1:4" x14ac:dyDescent="0.35">
      <c r="A562" s="36" t="str">
        <f>_xlfn.TEXTJOIN(" ",TRUE,Employees_Data[[#This Row],[First Name]],Employees_Data[[#This Row],[Last Name]])</f>
        <v>Aynas Alhiwat</v>
      </c>
      <c r="B562" s="37">
        <f ca="1">DATEDIF(Employees!$F562,TODAY(),"Y")</f>
        <v>5</v>
      </c>
      <c r="C562" s="38">
        <v>4</v>
      </c>
      <c r="D562" s="39" t="str">
        <f ca="1">IFERROR(IF(AND(Hardworking_Employee[[#This Row],[Years]]&gt;=5,Hardworking_Employee[[#This Row],[Overtime Hours]]&gt;50),"Yes","No"),"Not Found")</f>
        <v>No</v>
      </c>
    </row>
    <row r="563" spans="1:4" x14ac:dyDescent="0.35">
      <c r="A563" s="40" t="str">
        <f>_xlfn.TEXTJOIN(" ",TRUE,Employees_Data[[#This Row],[First Name]],Employees_Data[[#This Row],[Last Name]])</f>
        <v>Sara Tabanaj</v>
      </c>
      <c r="B563" s="41">
        <f ca="1">DATEDIF(Employees!$F563,TODAY(),"Y")</f>
        <v>8</v>
      </c>
      <c r="C563" s="42">
        <v>8</v>
      </c>
      <c r="D563" s="43" t="str">
        <f ca="1">IFERROR(IF(AND(Hardworking_Employee[[#This Row],[Years]]&gt;=5,Hardworking_Employee[[#This Row],[Overtime Hours]]&gt;50),"Yes","No"),"Not Found")</f>
        <v>No</v>
      </c>
    </row>
    <row r="564" spans="1:4" x14ac:dyDescent="0.35">
      <c r="A564" s="36" t="str">
        <f>_xlfn.TEXTJOIN(" ",TRUE,Employees_Data[[#This Row],[First Name]],Employees_Data[[#This Row],[Last Name]])</f>
        <v>Abd Allah Aldahan</v>
      </c>
      <c r="B564" s="37">
        <f ca="1">DATEDIF(Employees!$F564,TODAY(),"Y")</f>
        <v>5</v>
      </c>
      <c r="C564" s="38">
        <v>48</v>
      </c>
      <c r="D564" s="39" t="str">
        <f ca="1">IFERROR(IF(AND(Hardworking_Employee[[#This Row],[Years]]&gt;=5,Hardworking_Employee[[#This Row],[Overtime Hours]]&gt;50),"Yes","No"),"Not Found")</f>
        <v>No</v>
      </c>
    </row>
    <row r="565" spans="1:4" x14ac:dyDescent="0.35">
      <c r="A565" s="40" t="str">
        <f>_xlfn.TEXTJOIN(" ",TRUE,Employees_Data[[#This Row],[First Name]],Employees_Data[[#This Row],[Last Name]])</f>
        <v>Muhamad Ramzi</v>
      </c>
      <c r="B565" s="41">
        <f ca="1">DATEDIF(Employees!$F565,TODAY(),"Y")</f>
        <v>8</v>
      </c>
      <c r="C565" s="42">
        <v>78</v>
      </c>
      <c r="D565" s="43" t="str">
        <f ca="1">IFERROR(IF(AND(Hardworking_Employee[[#This Row],[Years]]&gt;=5,Hardworking_Employee[[#This Row],[Overtime Hours]]&gt;50),"Yes","No"),"Not Found")</f>
        <v>Yes</v>
      </c>
    </row>
    <row r="566" spans="1:4" x14ac:dyDescent="0.35">
      <c r="A566" s="36" t="str">
        <f>_xlfn.TEXTJOIN(" ",TRUE,Employees_Data[[#This Row],[First Name]],Employees_Data[[#This Row],[Last Name]])</f>
        <v>Jan Mikayiylian</v>
      </c>
      <c r="B566" s="37">
        <f ca="1">DATEDIF(Employees!$F566,TODAY(),"Y")</f>
        <v>10</v>
      </c>
      <c r="C566" s="38">
        <v>0</v>
      </c>
      <c r="D566" s="39" t="str">
        <f ca="1">IFERROR(IF(AND(Hardworking_Employee[[#This Row],[Years]]&gt;=5,Hardworking_Employee[[#This Row],[Overtime Hours]]&gt;50),"Yes","No"),"Not Found")</f>
        <v>No</v>
      </c>
    </row>
    <row r="567" spans="1:4" x14ac:dyDescent="0.35">
      <c r="A567" s="40" t="str">
        <f>_xlfn.TEXTJOIN(" ",TRUE,Employees_Data[[#This Row],[First Name]],Employees_Data[[#This Row],[Last Name]])</f>
        <v>Almuthanaa Alsaediu</v>
      </c>
      <c r="B567" s="41">
        <f ca="1">DATEDIF(Employees!$F567,TODAY(),"Y")</f>
        <v>6</v>
      </c>
      <c r="C567" s="42">
        <v>28</v>
      </c>
      <c r="D567" s="43" t="str">
        <f ca="1">IFERROR(IF(AND(Hardworking_Employee[[#This Row],[Years]]&gt;=5,Hardworking_Employee[[#This Row],[Overtime Hours]]&gt;50),"Yes","No"),"Not Found")</f>
        <v>No</v>
      </c>
    </row>
    <row r="568" spans="1:4" x14ac:dyDescent="0.35">
      <c r="A568" s="36" t="str">
        <f>_xlfn.TEXTJOIN(" ",TRUE,Employees_Data[[#This Row],[First Name]],Employees_Data[[#This Row],[Last Name]])</f>
        <v>Emad Dulul</v>
      </c>
      <c r="B568" s="37">
        <f ca="1">DATEDIF(Employees!$F568,TODAY(),"Y")</f>
        <v>8</v>
      </c>
      <c r="C568" s="38">
        <v>7</v>
      </c>
      <c r="D568" s="39" t="str">
        <f ca="1">IFERROR(IF(AND(Hardworking_Employee[[#This Row],[Years]]&gt;=5,Hardworking_Employee[[#This Row],[Overtime Hours]]&gt;50),"Yes","No"),"Not Found")</f>
        <v>No</v>
      </c>
    </row>
    <row r="569" spans="1:4" x14ac:dyDescent="0.35">
      <c r="A569" s="40" t="str">
        <f>_xlfn.TEXTJOIN(" ",TRUE,Employees_Data[[#This Row],[First Name]],Employees_Data[[#This Row],[Last Name]])</f>
        <v>Sarah Haydar</v>
      </c>
      <c r="B569" s="41">
        <f ca="1">DATEDIF(Employees!$F569,TODAY(),"Y")</f>
        <v>7</v>
      </c>
      <c r="C569" s="42">
        <v>10</v>
      </c>
      <c r="D569" s="43" t="str">
        <f ca="1">IFERROR(IF(AND(Hardworking_Employee[[#This Row],[Years]]&gt;=5,Hardworking_Employee[[#This Row],[Overtime Hours]]&gt;50),"Yes","No"),"Not Found")</f>
        <v>No</v>
      </c>
    </row>
    <row r="570" spans="1:4" x14ac:dyDescent="0.35">
      <c r="A570" s="36" t="str">
        <f>_xlfn.TEXTJOIN(" ",TRUE,Employees_Data[[#This Row],[First Name]],Employees_Data[[#This Row],[Last Name]])</f>
        <v>Abdalkarim Shueayb</v>
      </c>
      <c r="B570" s="37">
        <f ca="1">DATEDIF(Employees!$F570,TODAY(),"Y")</f>
        <v>7</v>
      </c>
      <c r="C570" s="38">
        <v>10</v>
      </c>
      <c r="D570" s="39" t="str">
        <f ca="1">IFERROR(IF(AND(Hardworking_Employee[[#This Row],[Years]]&gt;=5,Hardworking_Employee[[#This Row],[Overtime Hours]]&gt;50),"Yes","No"),"Not Found")</f>
        <v>No</v>
      </c>
    </row>
    <row r="571" spans="1:4" x14ac:dyDescent="0.35">
      <c r="A571" s="40" t="str">
        <f>_xlfn.TEXTJOIN(" ",TRUE,Employees_Data[[#This Row],[First Name]],Employees_Data[[#This Row],[Last Name]])</f>
        <v>Muhamad Khayr</v>
      </c>
      <c r="B571" s="41">
        <f ca="1">DATEDIF(Employees!$F571,TODAY(),"Y")</f>
        <v>6</v>
      </c>
      <c r="C571" s="42">
        <v>78</v>
      </c>
      <c r="D571" s="43" t="str">
        <f ca="1">IFERROR(IF(AND(Hardworking_Employee[[#This Row],[Years]]&gt;=5,Hardworking_Employee[[#This Row],[Overtime Hours]]&gt;50),"Yes","No"),"Not Found")</f>
        <v>Yes</v>
      </c>
    </row>
    <row r="572" spans="1:4" x14ac:dyDescent="0.35">
      <c r="A572" s="36" t="str">
        <f>_xlfn.TEXTJOIN(" ",TRUE,Employees_Data[[#This Row],[First Name]],Employees_Data[[#This Row],[Last Name]])</f>
        <v>Shadi Qitan</v>
      </c>
      <c r="B572" s="37">
        <f ca="1">DATEDIF(Employees!$F572,TODAY(),"Y")</f>
        <v>9</v>
      </c>
      <c r="C572" s="38">
        <v>5</v>
      </c>
      <c r="D572" s="39" t="str">
        <f ca="1">IFERROR(IF(AND(Hardworking_Employee[[#This Row],[Years]]&gt;=5,Hardworking_Employee[[#This Row],[Overtime Hours]]&gt;50),"Yes","No"),"Not Found")</f>
        <v>No</v>
      </c>
    </row>
    <row r="573" spans="1:4" x14ac:dyDescent="0.35">
      <c r="A573" s="40" t="str">
        <f>_xlfn.TEXTJOIN(" ",TRUE,Employees_Data[[#This Row],[First Name]],Employees_Data[[#This Row],[Last Name]])</f>
        <v>Muhamad Rajab</v>
      </c>
      <c r="B573" s="41">
        <f ca="1">DATEDIF(Employees!$F573,TODAY(),"Y")</f>
        <v>5</v>
      </c>
      <c r="C573" s="42">
        <v>9</v>
      </c>
      <c r="D573" s="43" t="str">
        <f ca="1">IFERROR(IF(AND(Hardworking_Employee[[#This Row],[Years]]&gt;=5,Hardworking_Employee[[#This Row],[Overtime Hours]]&gt;50),"Yes","No"),"Not Found")</f>
        <v>No</v>
      </c>
    </row>
    <row r="574" spans="1:4" x14ac:dyDescent="0.35">
      <c r="A574" s="36" t="str">
        <f>_xlfn.TEXTJOIN(" ",TRUE,Employees_Data[[#This Row],[First Name]],Employees_Data[[#This Row],[Last Name]])</f>
        <v>Khalid Alkhawam</v>
      </c>
      <c r="B574" s="37">
        <f ca="1">DATEDIF(Employees!$F574,TODAY(),"Y")</f>
        <v>10</v>
      </c>
      <c r="C574" s="38">
        <v>1</v>
      </c>
      <c r="D574" s="39" t="str">
        <f ca="1">IFERROR(IF(AND(Hardworking_Employee[[#This Row],[Years]]&gt;=5,Hardworking_Employee[[#This Row],[Overtime Hours]]&gt;50),"Yes","No"),"Not Found")</f>
        <v>No</v>
      </c>
    </row>
    <row r="575" spans="1:4" x14ac:dyDescent="0.35">
      <c r="A575" s="40" t="str">
        <f>_xlfn.TEXTJOIN(" ",TRUE,Employees_Data[[#This Row],[First Name]],Employees_Data[[#This Row],[Last Name]])</f>
        <v>Muhamad Asamh</v>
      </c>
      <c r="B575" s="41">
        <f ca="1">DATEDIF(Employees!$F575,TODAY(),"Y")</f>
        <v>8</v>
      </c>
      <c r="C575" s="42">
        <v>10</v>
      </c>
      <c r="D575" s="43" t="str">
        <f ca="1">IFERROR(IF(AND(Hardworking_Employee[[#This Row],[Years]]&gt;=5,Hardworking_Employee[[#This Row],[Overtime Hours]]&gt;50),"Yes","No"),"Not Found")</f>
        <v>No</v>
      </c>
    </row>
    <row r="576" spans="1:4" x14ac:dyDescent="0.35">
      <c r="A576" s="36" t="str">
        <f>_xlfn.TEXTJOIN(" ",TRUE,Employees_Data[[#This Row],[First Name]],Employees_Data[[#This Row],[Last Name]])</f>
        <v>Alaa Alyusif</v>
      </c>
      <c r="B576" s="37">
        <f ca="1">DATEDIF(Employees!$F576,TODAY(),"Y")</f>
        <v>6</v>
      </c>
      <c r="C576" s="38">
        <v>15</v>
      </c>
      <c r="D576" s="39" t="str">
        <f ca="1">IFERROR(IF(AND(Hardworking_Employee[[#This Row],[Years]]&gt;=5,Hardworking_Employee[[#This Row],[Overtime Hours]]&gt;50),"Yes","No"),"Not Found")</f>
        <v>No</v>
      </c>
    </row>
    <row r="577" spans="1:4" x14ac:dyDescent="0.35">
      <c r="A577" s="40" t="str">
        <f>_xlfn.TEXTJOIN(" ",TRUE,Employees_Data[[#This Row],[First Name]],Employees_Data[[#This Row],[Last Name]])</f>
        <v>Asym Aleaqqad</v>
      </c>
      <c r="B577" s="41">
        <f ca="1">DATEDIF(Employees!$F577,TODAY(),"Y")</f>
        <v>7</v>
      </c>
      <c r="C577" s="42">
        <v>6</v>
      </c>
      <c r="D577" s="43" t="str">
        <f ca="1">IFERROR(IF(AND(Hardworking_Employee[[#This Row],[Years]]&gt;=5,Hardworking_Employee[[#This Row],[Overtime Hours]]&gt;50),"Yes","No"),"Not Found")</f>
        <v>No</v>
      </c>
    </row>
    <row r="578" spans="1:4" x14ac:dyDescent="0.35">
      <c r="A578" s="36" t="str">
        <f>_xlfn.TEXTJOIN(" ",TRUE,Employees_Data[[#This Row],[First Name]],Employees_Data[[#This Row],[Last Name]])</f>
        <v>Ahmad Dahman</v>
      </c>
      <c r="B578" s="37">
        <f ca="1">DATEDIF(Employees!$F578,TODAY(),"Y")</f>
        <v>6</v>
      </c>
      <c r="C578" s="38">
        <v>2</v>
      </c>
      <c r="D578" s="39" t="str">
        <f ca="1">IFERROR(IF(AND(Hardworking_Employee[[#This Row],[Years]]&gt;=5,Hardworking_Employee[[#This Row],[Overtime Hours]]&gt;50),"Yes","No"),"Not Found")</f>
        <v>No</v>
      </c>
    </row>
    <row r="579" spans="1:4" x14ac:dyDescent="0.35">
      <c r="A579" s="40" t="str">
        <f>_xlfn.TEXTJOIN(" ",TRUE,Employees_Data[[#This Row],[First Name]],Employees_Data[[#This Row],[Last Name]])</f>
        <v>Oqba Alqintar</v>
      </c>
      <c r="B579" s="41">
        <f ca="1">DATEDIF(Employees!$F579,TODAY(),"Y")</f>
        <v>7</v>
      </c>
      <c r="C579" s="42">
        <v>8</v>
      </c>
      <c r="D579" s="43" t="str">
        <f ca="1">IFERROR(IF(AND(Hardworking_Employee[[#This Row],[Years]]&gt;=5,Hardworking_Employee[[#This Row],[Overtime Hours]]&gt;50),"Yes","No"),"Not Found")</f>
        <v>No</v>
      </c>
    </row>
    <row r="580" spans="1:4" x14ac:dyDescent="0.35">
      <c r="A580" s="36" t="str">
        <f>_xlfn.TEXTJOIN(" ",TRUE,Employees_Data[[#This Row],[First Name]],Employees_Data[[#This Row],[Last Name]])</f>
        <v>Rahaf Laylanaan</v>
      </c>
      <c r="B580" s="37">
        <f ca="1">DATEDIF(Employees!$F580,TODAY(),"Y")</f>
        <v>7</v>
      </c>
      <c r="C580" s="38">
        <v>15</v>
      </c>
      <c r="D580" s="39" t="str">
        <f ca="1">IFERROR(IF(AND(Hardworking_Employee[[#This Row],[Years]]&gt;=5,Hardworking_Employee[[#This Row],[Overtime Hours]]&gt;50),"Yes","No"),"Not Found")</f>
        <v>No</v>
      </c>
    </row>
    <row r="581" spans="1:4" x14ac:dyDescent="0.35">
      <c r="A581" s="40" t="str">
        <f>_xlfn.TEXTJOIN(" ",TRUE,Employees_Data[[#This Row],[First Name]],Employees_Data[[#This Row],[Last Name]])</f>
        <v>Muhamad Rajab</v>
      </c>
      <c r="B581" s="41">
        <f ca="1">DATEDIF(Employees!$F581,TODAY(),"Y")</f>
        <v>8</v>
      </c>
      <c r="C581" s="42">
        <v>10</v>
      </c>
      <c r="D581" s="43" t="str">
        <f ca="1">IFERROR(IF(AND(Hardworking_Employee[[#This Row],[Years]]&gt;=5,Hardworking_Employee[[#This Row],[Overtime Hours]]&gt;50),"Yes","No"),"Not Found")</f>
        <v>No</v>
      </c>
    </row>
    <row r="582" spans="1:4" x14ac:dyDescent="0.35">
      <c r="A582" s="36" t="str">
        <f>_xlfn.TEXTJOIN(" ",TRUE,Employees_Data[[#This Row],[First Name]],Employees_Data[[#This Row],[Last Name]])</f>
        <v>Ramadan Muhii Aldiyn</v>
      </c>
      <c r="B582" s="37">
        <f ca="1">DATEDIF(Employees!$F582,TODAY(),"Y")</f>
        <v>7</v>
      </c>
      <c r="C582" s="38">
        <v>2</v>
      </c>
      <c r="D582" s="39" t="str">
        <f ca="1">IFERROR(IF(AND(Hardworking_Employee[[#This Row],[Years]]&gt;=5,Hardworking_Employee[[#This Row],[Overtime Hours]]&gt;50),"Yes","No"),"Not Found")</f>
        <v>No</v>
      </c>
    </row>
    <row r="583" spans="1:4" x14ac:dyDescent="0.35">
      <c r="A583" s="40" t="str">
        <f>_xlfn.TEXTJOIN(" ",TRUE,Employees_Data[[#This Row],[First Name]],Employees_Data[[#This Row],[Last Name]])</f>
        <v>Zaynab Eirat</v>
      </c>
      <c r="B583" s="41">
        <f ca="1">DATEDIF(Employees!$F583,TODAY(),"Y")</f>
        <v>6</v>
      </c>
      <c r="C583" s="42">
        <v>7</v>
      </c>
      <c r="D583" s="43" t="str">
        <f ca="1">IFERROR(IF(AND(Hardworking_Employee[[#This Row],[Years]]&gt;=5,Hardworking_Employee[[#This Row],[Overtime Hours]]&gt;50),"Yes","No"),"Not Found")</f>
        <v>No</v>
      </c>
    </row>
    <row r="584" spans="1:4" x14ac:dyDescent="0.35">
      <c r="A584" s="36" t="str">
        <f>_xlfn.TEXTJOIN(" ",TRUE,Employees_Data[[#This Row],[First Name]],Employees_Data[[#This Row],[Last Name]])</f>
        <v>Salah Aldiyn Altibae</v>
      </c>
      <c r="B584" s="37">
        <f ca="1">DATEDIF(Employees!$F584,TODAY(),"Y")</f>
        <v>6</v>
      </c>
      <c r="C584" s="38">
        <v>8</v>
      </c>
      <c r="D584" s="39" t="str">
        <f ca="1">IFERROR(IF(AND(Hardworking_Employee[[#This Row],[Years]]&gt;=5,Hardworking_Employee[[#This Row],[Overtime Hours]]&gt;50),"Yes","No"),"Not Found")</f>
        <v>No</v>
      </c>
    </row>
    <row r="585" spans="1:4" x14ac:dyDescent="0.35">
      <c r="A585" s="40" t="str">
        <f>_xlfn.TEXTJOIN(" ",TRUE,Employees_Data[[#This Row],[First Name]],Employees_Data[[#This Row],[Last Name]])</f>
        <v>Faras Alghandur</v>
      </c>
      <c r="B585" s="41">
        <f ca="1">DATEDIF(Employees!$F585,TODAY(),"Y")</f>
        <v>7</v>
      </c>
      <c r="C585" s="42">
        <v>6</v>
      </c>
      <c r="D585" s="43" t="str">
        <f ca="1">IFERROR(IF(AND(Hardworking_Employee[[#This Row],[Years]]&gt;=5,Hardworking_Employee[[#This Row],[Overtime Hours]]&gt;50),"Yes","No"),"Not Found")</f>
        <v>No</v>
      </c>
    </row>
    <row r="586" spans="1:4" x14ac:dyDescent="0.35">
      <c r="A586" s="36" t="str">
        <f>_xlfn.TEXTJOIN(" ",TRUE,Employees_Data[[#This Row],[First Name]],Employees_Data[[#This Row],[Last Name]])</f>
        <v>Husam Tamim</v>
      </c>
      <c r="B586" s="37">
        <f ca="1">DATEDIF(Employees!$F586,TODAY(),"Y")</f>
        <v>7</v>
      </c>
      <c r="C586" s="38">
        <v>4</v>
      </c>
      <c r="D586" s="39" t="str">
        <f ca="1">IFERROR(IF(AND(Hardworking_Employee[[#This Row],[Years]]&gt;=5,Hardworking_Employee[[#This Row],[Overtime Hours]]&gt;50),"Yes","No"),"Not Found")</f>
        <v>No</v>
      </c>
    </row>
    <row r="587" spans="1:4" x14ac:dyDescent="0.35">
      <c r="A587" s="40" t="str">
        <f>_xlfn.TEXTJOIN(" ",TRUE,Employees_Data[[#This Row],[First Name]],Employees_Data[[#This Row],[Last Name]])</f>
        <v>Ayat Byd</v>
      </c>
      <c r="B587" s="41">
        <f ca="1">DATEDIF(Employees!$F587,TODAY(),"Y")</f>
        <v>9</v>
      </c>
      <c r="C587" s="42">
        <v>2</v>
      </c>
      <c r="D587" s="43" t="str">
        <f ca="1">IFERROR(IF(AND(Hardworking_Employee[[#This Row],[Years]]&gt;=5,Hardworking_Employee[[#This Row],[Overtime Hours]]&gt;50),"Yes","No"),"Not Found")</f>
        <v>No</v>
      </c>
    </row>
    <row r="588" spans="1:4" x14ac:dyDescent="0.35">
      <c r="A588" s="36" t="str">
        <f>_xlfn.TEXTJOIN(" ",TRUE,Employees_Data[[#This Row],[First Name]],Employees_Data[[#This Row],[Last Name]])</f>
        <v>Rima Daly</v>
      </c>
      <c r="B588" s="37">
        <f ca="1">DATEDIF(Employees!$F588,TODAY(),"Y")</f>
        <v>6</v>
      </c>
      <c r="C588" s="38">
        <v>8</v>
      </c>
      <c r="D588" s="39" t="str">
        <f ca="1">IFERROR(IF(AND(Hardworking_Employee[[#This Row],[Years]]&gt;=5,Hardworking_Employee[[#This Row],[Overtime Hours]]&gt;50),"Yes","No"),"Not Found")</f>
        <v>No</v>
      </c>
    </row>
    <row r="589" spans="1:4" x14ac:dyDescent="0.35">
      <c r="A589" s="40" t="str">
        <f>_xlfn.TEXTJOIN(" ",TRUE,Employees_Data[[#This Row],[First Name]],Employees_Data[[#This Row],[Last Name]])</f>
        <v>Muhamad Almunajid</v>
      </c>
      <c r="B589" s="41">
        <f ca="1">DATEDIF(Employees!$F589,TODAY(),"Y")</f>
        <v>6</v>
      </c>
      <c r="C589" s="42">
        <v>1</v>
      </c>
      <c r="D589" s="43" t="str">
        <f ca="1">IFERROR(IF(AND(Hardworking_Employee[[#This Row],[Years]]&gt;=5,Hardworking_Employee[[#This Row],[Overtime Hours]]&gt;50),"Yes","No"),"Not Found")</f>
        <v>No</v>
      </c>
    </row>
    <row r="590" spans="1:4" x14ac:dyDescent="0.35">
      <c r="A590" s="36" t="str">
        <f>_xlfn.TEXTJOIN(" ",TRUE,Employees_Data[[#This Row],[First Name]],Employees_Data[[#This Row],[Last Name]])</f>
        <v>Eynas Muhamad</v>
      </c>
      <c r="B590" s="37">
        <f ca="1">DATEDIF(Employees!$F590,TODAY(),"Y")</f>
        <v>6</v>
      </c>
      <c r="C590" s="38">
        <v>6</v>
      </c>
      <c r="D590" s="39" t="str">
        <f ca="1">IFERROR(IF(AND(Hardworking_Employee[[#This Row],[Years]]&gt;=5,Hardworking_Employee[[#This Row],[Overtime Hours]]&gt;50),"Yes","No"),"Not Found")</f>
        <v>No</v>
      </c>
    </row>
    <row r="591" spans="1:4" x14ac:dyDescent="0.35">
      <c r="A591" s="40" t="str">
        <f>_xlfn.TEXTJOIN(" ",TRUE,Employees_Data[[#This Row],[First Name]],Employees_Data[[#This Row],[Last Name]])</f>
        <v>Ahmad Ahmid</v>
      </c>
      <c r="B591" s="41">
        <f ca="1">DATEDIF(Employees!$F591,TODAY(),"Y")</f>
        <v>6</v>
      </c>
      <c r="C591" s="42">
        <v>3</v>
      </c>
      <c r="D591" s="43" t="str">
        <f ca="1">IFERROR(IF(AND(Hardworking_Employee[[#This Row],[Years]]&gt;=5,Hardworking_Employee[[#This Row],[Overtime Hours]]&gt;50),"Yes","No"),"Not Found")</f>
        <v>No</v>
      </c>
    </row>
    <row r="592" spans="1:4" x14ac:dyDescent="0.35">
      <c r="A592" s="36" t="str">
        <f>_xlfn.TEXTJOIN(" ",TRUE,Employees_Data[[#This Row],[First Name]],Employees_Data[[#This Row],[Last Name]])</f>
        <v>Madlin Aljabaei</v>
      </c>
      <c r="B592" s="37">
        <f ca="1">DATEDIF(Employees!$F592,TODAY(),"Y")</f>
        <v>6</v>
      </c>
      <c r="C592" s="38">
        <v>6</v>
      </c>
      <c r="D592" s="39" t="str">
        <f ca="1">IFERROR(IF(AND(Hardworking_Employee[[#This Row],[Years]]&gt;=5,Hardworking_Employee[[#This Row],[Overtime Hours]]&gt;50),"Yes","No"),"Not Found")</f>
        <v>No</v>
      </c>
    </row>
    <row r="593" spans="1:4" x14ac:dyDescent="0.35">
      <c r="A593" s="40" t="str">
        <f>_xlfn.TEXTJOIN(" ",TRUE,Employees_Data[[#This Row],[First Name]],Employees_Data[[#This Row],[Last Name]])</f>
        <v>Ali Alqadri</v>
      </c>
      <c r="B593" s="41">
        <f ca="1">DATEDIF(Employees!$F593,TODAY(),"Y")</f>
        <v>7</v>
      </c>
      <c r="C593" s="42">
        <v>4</v>
      </c>
      <c r="D593" s="43" t="str">
        <f ca="1">IFERROR(IF(AND(Hardworking_Employee[[#This Row],[Years]]&gt;=5,Hardworking_Employee[[#This Row],[Overtime Hours]]&gt;50),"Yes","No"),"Not Found")</f>
        <v>No</v>
      </c>
    </row>
    <row r="594" spans="1:4" x14ac:dyDescent="0.35">
      <c r="A594" s="36" t="str">
        <f>_xlfn.TEXTJOIN(" ",TRUE,Employees_Data[[#This Row],[First Name]],Employees_Data[[#This Row],[Last Name]])</f>
        <v>Muhamad Dib</v>
      </c>
      <c r="B594" s="37">
        <f ca="1">DATEDIF(Employees!$F594,TODAY(),"Y")</f>
        <v>7</v>
      </c>
      <c r="C594" s="38">
        <v>6</v>
      </c>
      <c r="D594" s="39" t="str">
        <f ca="1">IFERROR(IF(AND(Hardworking_Employee[[#This Row],[Years]]&gt;=5,Hardworking_Employee[[#This Row],[Overtime Hours]]&gt;50),"Yes","No"),"Not Found")</f>
        <v>No</v>
      </c>
    </row>
    <row r="595" spans="1:4" x14ac:dyDescent="0.35">
      <c r="A595" s="40" t="str">
        <f>_xlfn.TEXTJOIN(" ",TRUE,Employees_Data[[#This Row],[First Name]],Employees_Data[[#This Row],[Last Name]])</f>
        <v>Hanan Bradiei</v>
      </c>
      <c r="B595" s="41">
        <f ca="1">DATEDIF(Employees!$F595,TODAY(),"Y")</f>
        <v>8</v>
      </c>
      <c r="C595" s="42">
        <v>8</v>
      </c>
      <c r="D595" s="43" t="str">
        <f ca="1">IFERROR(IF(AND(Hardworking_Employee[[#This Row],[Years]]&gt;=5,Hardworking_Employee[[#This Row],[Overtime Hours]]&gt;50),"Yes","No"),"Not Found")</f>
        <v>No</v>
      </c>
    </row>
    <row r="596" spans="1:4" x14ac:dyDescent="0.35">
      <c r="A596" s="36" t="str">
        <f>_xlfn.TEXTJOIN(" ",TRUE,Employees_Data[[#This Row],[First Name]],Employees_Data[[#This Row],[Last Name]])</f>
        <v>Danah Suirkili</v>
      </c>
      <c r="B596" s="37">
        <f ca="1">DATEDIF(Employees!$F596,TODAY(),"Y")</f>
        <v>6</v>
      </c>
      <c r="C596" s="38">
        <v>5</v>
      </c>
      <c r="D596" s="39" t="str">
        <f ca="1">IFERROR(IF(AND(Hardworking_Employee[[#This Row],[Years]]&gt;=5,Hardworking_Employee[[#This Row],[Overtime Hours]]&gt;50),"Yes","No"),"Not Found")</f>
        <v>No</v>
      </c>
    </row>
    <row r="597" spans="1:4" x14ac:dyDescent="0.35">
      <c r="A597" s="40" t="str">
        <f>_xlfn.TEXTJOIN(" ",TRUE,Employees_Data[[#This Row],[First Name]],Employees_Data[[#This Row],[Last Name]])</f>
        <v>Ghada Darakal</v>
      </c>
      <c r="B597" s="41">
        <f ca="1">DATEDIF(Employees!$F597,TODAY(),"Y")</f>
        <v>8</v>
      </c>
      <c r="C597" s="42">
        <v>2</v>
      </c>
      <c r="D597" s="43" t="str">
        <f ca="1">IFERROR(IF(AND(Hardworking_Employee[[#This Row],[Years]]&gt;=5,Hardworking_Employee[[#This Row],[Overtime Hours]]&gt;50),"Yes","No"),"Not Found")</f>
        <v>No</v>
      </c>
    </row>
    <row r="598" spans="1:4" x14ac:dyDescent="0.35">
      <c r="A598" s="36" t="str">
        <f>_xlfn.TEXTJOIN(" ",TRUE,Employees_Data[[#This Row],[First Name]],Employees_Data[[#This Row],[Last Name]])</f>
        <v>Mazin Bihtiti</v>
      </c>
      <c r="B598" s="37">
        <f ca="1">DATEDIF(Employees!$F598,TODAY(),"Y")</f>
        <v>8</v>
      </c>
      <c r="C598" s="38">
        <v>7</v>
      </c>
      <c r="D598" s="39" t="str">
        <f ca="1">IFERROR(IF(AND(Hardworking_Employee[[#This Row],[Years]]&gt;=5,Hardworking_Employee[[#This Row],[Overtime Hours]]&gt;50),"Yes","No"),"Not Found")</f>
        <v>No</v>
      </c>
    </row>
    <row r="599" spans="1:4" x14ac:dyDescent="0.35">
      <c r="A599" s="40" t="str">
        <f>_xlfn.TEXTJOIN(" ",TRUE,Employees_Data[[#This Row],[First Name]],Employees_Data[[#This Row],[Last Name]])</f>
        <v>Ridwan Alshulyan</v>
      </c>
      <c r="B599" s="41">
        <f ca="1">DATEDIF(Employees!$F599,TODAY(),"Y")</f>
        <v>9</v>
      </c>
      <c r="C599" s="42">
        <v>8</v>
      </c>
      <c r="D599" s="43" t="str">
        <f ca="1">IFERROR(IF(AND(Hardworking_Employee[[#This Row],[Years]]&gt;=5,Hardworking_Employee[[#This Row],[Overtime Hours]]&gt;50),"Yes","No"),"Not Found")</f>
        <v>No</v>
      </c>
    </row>
    <row r="600" spans="1:4" x14ac:dyDescent="0.35">
      <c r="A600" s="36" t="str">
        <f>_xlfn.TEXTJOIN(" ",TRUE,Employees_Data[[#This Row],[First Name]],Employees_Data[[#This Row],[Last Name]])</f>
        <v>Ali Barghaly</v>
      </c>
      <c r="B600" s="37">
        <f ca="1">DATEDIF(Employees!$F600,TODAY(),"Y")</f>
        <v>9</v>
      </c>
      <c r="C600" s="38">
        <v>6</v>
      </c>
      <c r="D600" s="39" t="str">
        <f ca="1">IFERROR(IF(AND(Hardworking_Employee[[#This Row],[Years]]&gt;=5,Hardworking_Employee[[#This Row],[Overtime Hours]]&gt;50),"Yes","No"),"Not Found")</f>
        <v>No</v>
      </c>
    </row>
    <row r="601" spans="1:4" x14ac:dyDescent="0.35">
      <c r="A601" s="40" t="str">
        <f>_xlfn.TEXTJOIN(" ",TRUE,Employees_Data[[#This Row],[First Name]],Employees_Data[[#This Row],[Last Name]])</f>
        <v>Iad Badran</v>
      </c>
      <c r="B601" s="41">
        <f ca="1">DATEDIF(Employees!$F601,TODAY(),"Y")</f>
        <v>6</v>
      </c>
      <c r="C601" s="42">
        <v>8</v>
      </c>
      <c r="D601" s="43" t="str">
        <f ca="1">IFERROR(IF(AND(Hardworking_Employee[[#This Row],[Years]]&gt;=5,Hardworking_Employee[[#This Row],[Overtime Hours]]&gt;50),"Yes","No"),"Not Found")</f>
        <v>No</v>
      </c>
    </row>
    <row r="602" spans="1:4" x14ac:dyDescent="0.35">
      <c r="A602" s="36" t="str">
        <f>_xlfn.TEXTJOIN(" ",TRUE,Employees_Data[[#This Row],[First Name]],Employees_Data[[#This Row],[Last Name]])</f>
        <v>Abdalrhmin Shwk</v>
      </c>
      <c r="B602" s="37">
        <f ca="1">DATEDIF(Employees!$F602,TODAY(),"Y")</f>
        <v>7</v>
      </c>
      <c r="C602" s="38">
        <v>0</v>
      </c>
      <c r="D602" s="39" t="str">
        <f ca="1">IFERROR(IF(AND(Hardworking_Employee[[#This Row],[Years]]&gt;=5,Hardworking_Employee[[#This Row],[Overtime Hours]]&gt;50),"Yes","No"),"Not Found")</f>
        <v>No</v>
      </c>
    </row>
    <row r="603" spans="1:4" x14ac:dyDescent="0.35">
      <c r="A603" s="40" t="str">
        <f>_xlfn.TEXTJOIN(" ",TRUE,Employees_Data[[#This Row],[First Name]],Employees_Data[[#This Row],[Last Name]])</f>
        <v>Husam Aldiyn</v>
      </c>
      <c r="B603" s="41">
        <f ca="1">DATEDIF(Employees!$F603,TODAY(),"Y")</f>
        <v>7</v>
      </c>
      <c r="C603" s="42">
        <v>3</v>
      </c>
      <c r="D603" s="43" t="str">
        <f ca="1">IFERROR(IF(AND(Hardworking_Employee[[#This Row],[Years]]&gt;=5,Hardworking_Employee[[#This Row],[Overtime Hours]]&gt;50),"Yes","No"),"Not Found")</f>
        <v>No</v>
      </c>
    </row>
    <row r="604" spans="1:4" x14ac:dyDescent="0.35">
      <c r="A604" s="36" t="str">
        <f>_xlfn.TEXTJOIN(" ",TRUE,Employees_Data[[#This Row],[First Name]],Employees_Data[[#This Row],[Last Name]])</f>
        <v>Ahmad Hamuwdatan</v>
      </c>
      <c r="B604" s="37">
        <f ca="1">DATEDIF(Employees!$F604,TODAY(),"Y")</f>
        <v>10</v>
      </c>
      <c r="C604" s="38">
        <v>2</v>
      </c>
      <c r="D604" s="39" t="str">
        <f ca="1">IFERROR(IF(AND(Hardworking_Employee[[#This Row],[Years]]&gt;=5,Hardworking_Employee[[#This Row],[Overtime Hours]]&gt;50),"Yes","No"),"Not Found")</f>
        <v>No</v>
      </c>
    </row>
    <row r="605" spans="1:4" x14ac:dyDescent="0.35">
      <c r="A605" s="40" t="str">
        <f>_xlfn.TEXTJOIN(" ",TRUE,Employees_Data[[#This Row],[First Name]],Employees_Data[[#This Row],[Last Name]])</f>
        <v>Ahmad Laylana</v>
      </c>
      <c r="B605" s="41">
        <f ca="1">DATEDIF(Employees!$F605,TODAY(),"Y")</f>
        <v>9</v>
      </c>
      <c r="C605" s="42">
        <v>6</v>
      </c>
      <c r="D605" s="43" t="str">
        <f ca="1">IFERROR(IF(AND(Hardworking_Employee[[#This Row],[Years]]&gt;=5,Hardworking_Employee[[#This Row],[Overtime Hours]]&gt;50),"Yes","No"),"Not Found")</f>
        <v>No</v>
      </c>
    </row>
    <row r="606" spans="1:4" x14ac:dyDescent="0.35">
      <c r="A606" s="36" t="str">
        <f>_xlfn.TEXTJOIN(" ",TRUE,Employees_Data[[#This Row],[First Name]],Employees_Data[[#This Row],[Last Name]])</f>
        <v>Shuruq Aljuju</v>
      </c>
      <c r="B606" s="37">
        <f ca="1">DATEDIF(Employees!$F606,TODAY(),"Y")</f>
        <v>6</v>
      </c>
      <c r="C606" s="38">
        <v>3</v>
      </c>
      <c r="D606" s="39" t="str">
        <f ca="1">IFERROR(IF(AND(Hardworking_Employee[[#This Row],[Years]]&gt;=5,Hardworking_Employee[[#This Row],[Overtime Hours]]&gt;50),"Yes","No"),"Not Found")</f>
        <v>No</v>
      </c>
    </row>
    <row r="607" spans="1:4" x14ac:dyDescent="0.35">
      <c r="A607" s="40" t="str">
        <f>_xlfn.TEXTJOIN(" ",TRUE,Employees_Data[[#This Row],[First Name]],Employees_Data[[#This Row],[Last Name]])</f>
        <v>Muhamad Alshahrur</v>
      </c>
      <c r="B607" s="41">
        <f ca="1">DATEDIF(Employees!$F607,TODAY(),"Y")</f>
        <v>9</v>
      </c>
      <c r="C607" s="42">
        <v>1</v>
      </c>
      <c r="D607" s="43" t="str">
        <f ca="1">IFERROR(IF(AND(Hardworking_Employee[[#This Row],[Years]]&gt;=5,Hardworking_Employee[[#This Row],[Overtime Hours]]&gt;50),"Yes","No"),"Not Found")</f>
        <v>No</v>
      </c>
    </row>
    <row r="608" spans="1:4" x14ac:dyDescent="0.35">
      <c r="A608" s="36" t="str">
        <f>_xlfn.TEXTJOIN(" ",TRUE,Employees_Data[[#This Row],[First Name]],Employees_Data[[#This Row],[Last Name]])</f>
        <v>Rafif Khalf</v>
      </c>
      <c r="B608" s="37">
        <f ca="1">DATEDIF(Employees!$F608,TODAY(),"Y")</f>
        <v>7</v>
      </c>
      <c r="C608" s="38">
        <v>8</v>
      </c>
      <c r="D608" s="39" t="str">
        <f ca="1">IFERROR(IF(AND(Hardworking_Employee[[#This Row],[Years]]&gt;=5,Hardworking_Employee[[#This Row],[Overtime Hours]]&gt;50),"Yes","No"),"Not Found")</f>
        <v>No</v>
      </c>
    </row>
    <row r="609" spans="1:4" x14ac:dyDescent="0.35">
      <c r="A609" s="40" t="str">
        <f>_xlfn.TEXTJOIN(" ",TRUE,Employees_Data[[#This Row],[First Name]],Employees_Data[[#This Row],[Last Name]])</f>
        <v>Muhamad Alkhatib</v>
      </c>
      <c r="B609" s="41">
        <f ca="1">DATEDIF(Employees!$F609,TODAY(),"Y")</f>
        <v>6</v>
      </c>
      <c r="C609" s="42">
        <v>6</v>
      </c>
      <c r="D609" s="43" t="str">
        <f ca="1">IFERROR(IF(AND(Hardworking_Employee[[#This Row],[Years]]&gt;=5,Hardworking_Employee[[#This Row],[Overtime Hours]]&gt;50),"Yes","No"),"Not Found")</f>
        <v>No</v>
      </c>
    </row>
    <row r="610" spans="1:4" x14ac:dyDescent="0.35">
      <c r="A610" s="36" t="str">
        <f>_xlfn.TEXTJOIN(" ",TRUE,Employees_Data[[#This Row],[First Name]],Employees_Data[[#This Row],[Last Name]])</f>
        <v>Muhamad Albarnawi</v>
      </c>
      <c r="B610" s="37">
        <f ca="1">DATEDIF(Employees!$F610,TODAY(),"Y")</f>
        <v>10</v>
      </c>
      <c r="C610" s="38">
        <v>10</v>
      </c>
      <c r="D610" s="39" t="str">
        <f ca="1">IFERROR(IF(AND(Hardworking_Employee[[#This Row],[Years]]&gt;=5,Hardworking_Employee[[#This Row],[Overtime Hours]]&gt;50),"Yes","No"),"Not Found")</f>
        <v>No</v>
      </c>
    </row>
    <row r="611" spans="1:4" x14ac:dyDescent="0.35">
      <c r="A611" s="40" t="str">
        <f>_xlfn.TEXTJOIN(" ",TRUE,Employees_Data[[#This Row],[First Name]],Employees_Data[[#This Row],[Last Name]])</f>
        <v>Ali Almiqdad</v>
      </c>
      <c r="B611" s="41">
        <f ca="1">DATEDIF(Employees!$F611,TODAY(),"Y")</f>
        <v>8</v>
      </c>
      <c r="C611" s="42">
        <v>7</v>
      </c>
      <c r="D611" s="43" t="str">
        <f ca="1">IFERROR(IF(AND(Hardworking_Employee[[#This Row],[Years]]&gt;=5,Hardworking_Employee[[#This Row],[Overtime Hours]]&gt;50),"Yes","No"),"Not Found")</f>
        <v>No</v>
      </c>
    </row>
    <row r="612" spans="1:4" x14ac:dyDescent="0.35">
      <c r="A612" s="36" t="str">
        <f>_xlfn.TEXTJOIN(" ",TRUE,Employees_Data[[#This Row],[First Name]],Employees_Data[[#This Row],[Last Name]])</f>
        <v>Ranya Faris</v>
      </c>
      <c r="B612" s="37">
        <f ca="1">DATEDIF(Employees!$F612,TODAY(),"Y")</f>
        <v>9</v>
      </c>
      <c r="C612" s="38">
        <v>6</v>
      </c>
      <c r="D612" s="39" t="str">
        <f ca="1">IFERROR(IF(AND(Hardworking_Employee[[#This Row],[Years]]&gt;=5,Hardworking_Employee[[#This Row],[Overtime Hours]]&gt;50),"Yes","No"),"Not Found")</f>
        <v>No</v>
      </c>
    </row>
    <row r="613" spans="1:4" x14ac:dyDescent="0.35">
      <c r="A613" s="40" t="str">
        <f>_xlfn.TEXTJOIN(" ",TRUE,Employees_Data[[#This Row],[First Name]],Employees_Data[[#This Row],[Last Name]])</f>
        <v>Ali Alshaykh</v>
      </c>
      <c r="B613" s="41">
        <f ca="1">DATEDIF(Employees!$F613,TODAY(),"Y")</f>
        <v>8</v>
      </c>
      <c r="C613" s="42">
        <v>7</v>
      </c>
      <c r="D613" s="43" t="str">
        <f ca="1">IFERROR(IF(AND(Hardworking_Employee[[#This Row],[Years]]&gt;=5,Hardworking_Employee[[#This Row],[Overtime Hours]]&gt;50),"Yes","No"),"Not Found")</f>
        <v>No</v>
      </c>
    </row>
    <row r="614" spans="1:4" x14ac:dyDescent="0.35">
      <c r="A614" s="36" t="str">
        <f>_xlfn.TEXTJOIN(" ",TRUE,Employees_Data[[#This Row],[First Name]],Employees_Data[[#This Row],[Last Name]])</f>
        <v>Iin Kafa</v>
      </c>
      <c r="B614" s="37">
        <f ca="1">DATEDIF(Employees!$F614,TODAY(),"Y")</f>
        <v>9</v>
      </c>
      <c r="C614" s="38">
        <v>4</v>
      </c>
      <c r="D614" s="39" t="str">
        <f ca="1">IFERROR(IF(AND(Hardworking_Employee[[#This Row],[Years]]&gt;=5,Hardworking_Employee[[#This Row],[Overtime Hours]]&gt;50),"Yes","No"),"Not Found")</f>
        <v>No</v>
      </c>
    </row>
    <row r="615" spans="1:4" x14ac:dyDescent="0.35">
      <c r="A615" s="40" t="str">
        <f>_xlfn.TEXTJOIN(" ",TRUE,Employees_Data[[#This Row],[First Name]],Employees_Data[[#This Row],[Last Name]])</f>
        <v>Muhamad Almaghribi</v>
      </c>
      <c r="B615" s="41">
        <f ca="1">DATEDIF(Employees!$F615,TODAY(),"Y")</f>
        <v>7</v>
      </c>
      <c r="C615" s="42">
        <v>6</v>
      </c>
      <c r="D615" s="43" t="str">
        <f ca="1">IFERROR(IF(AND(Hardworking_Employee[[#This Row],[Years]]&gt;=5,Hardworking_Employee[[#This Row],[Overtime Hours]]&gt;50),"Yes","No"),"Not Found")</f>
        <v>No</v>
      </c>
    </row>
    <row r="616" spans="1:4" x14ac:dyDescent="0.35">
      <c r="A616" s="36" t="str">
        <f>_xlfn.TEXTJOIN(" ",TRUE,Employees_Data[[#This Row],[First Name]],Employees_Data[[#This Row],[Last Name]])</f>
        <v>Sami Aldrwysh</v>
      </c>
      <c r="B616" s="37">
        <f ca="1">DATEDIF(Employees!$F616,TODAY(),"Y")</f>
        <v>9</v>
      </c>
      <c r="C616" s="38">
        <v>4</v>
      </c>
      <c r="D616" s="39" t="str">
        <f ca="1">IFERROR(IF(AND(Hardworking_Employee[[#This Row],[Years]]&gt;=5,Hardworking_Employee[[#This Row],[Overtime Hours]]&gt;50),"Yes","No"),"Not Found")</f>
        <v>No</v>
      </c>
    </row>
    <row r="617" spans="1:4" x14ac:dyDescent="0.35">
      <c r="A617" s="40" t="str">
        <f>_xlfn.TEXTJOIN(" ",TRUE,Employees_Data[[#This Row],[First Name]],Employees_Data[[#This Row],[Last Name]])</f>
        <v>Samah Alkhatib</v>
      </c>
      <c r="B617" s="41">
        <f ca="1">DATEDIF(Employees!$F617,TODAY(),"Y")</f>
        <v>8</v>
      </c>
      <c r="C617" s="42">
        <v>8</v>
      </c>
      <c r="D617" s="43" t="str">
        <f ca="1">IFERROR(IF(AND(Hardworking_Employee[[#This Row],[Years]]&gt;=5,Hardworking_Employee[[#This Row],[Overtime Hours]]&gt;50),"Yes","No"),"Not Found")</f>
        <v>No</v>
      </c>
    </row>
    <row r="618" spans="1:4" x14ac:dyDescent="0.35">
      <c r="A618" s="36" t="str">
        <f>_xlfn.TEXTJOIN(" ",TRUE,Employees_Data[[#This Row],[First Name]],Employees_Data[[#This Row],[Last Name]])</f>
        <v>Eala Hatim</v>
      </c>
      <c r="B618" s="37">
        <f ca="1">DATEDIF(Employees!$F618,TODAY(),"Y")</f>
        <v>7</v>
      </c>
      <c r="C618" s="38">
        <v>1</v>
      </c>
      <c r="D618" s="39" t="str">
        <f ca="1">IFERROR(IF(AND(Hardworking_Employee[[#This Row],[Years]]&gt;=5,Hardworking_Employee[[#This Row],[Overtime Hours]]&gt;50),"Yes","No"),"Not Found")</f>
        <v>No</v>
      </c>
    </row>
    <row r="619" spans="1:4" x14ac:dyDescent="0.35">
      <c r="A619" s="40" t="str">
        <f>_xlfn.TEXTJOIN(" ",TRUE,Employees_Data[[#This Row],[First Name]],Employees_Data[[#This Row],[Last Name]])</f>
        <v>Dalia Nahlawi</v>
      </c>
      <c r="B619" s="41">
        <f ca="1">DATEDIF(Employees!$F619,TODAY(),"Y")</f>
        <v>8</v>
      </c>
      <c r="C619" s="42">
        <v>3</v>
      </c>
      <c r="D619" s="43" t="str">
        <f ca="1">IFERROR(IF(AND(Hardworking_Employee[[#This Row],[Years]]&gt;=5,Hardworking_Employee[[#This Row],[Overtime Hours]]&gt;50),"Yes","No"),"Not Found")</f>
        <v>No</v>
      </c>
    </row>
    <row r="620" spans="1:4" x14ac:dyDescent="0.35">
      <c r="A620" s="36" t="str">
        <f>_xlfn.TEXTJOIN(" ",TRUE,Employees_Data[[#This Row],[First Name]],Employees_Data[[#This Row],[Last Name]])</f>
        <v>Rabye' Alzrqawy</v>
      </c>
      <c r="B620" s="37">
        <f ca="1">DATEDIF(Employees!$F620,TODAY(),"Y")</f>
        <v>7</v>
      </c>
      <c r="C620" s="38">
        <v>0</v>
      </c>
      <c r="D620" s="39" t="str">
        <f ca="1">IFERROR(IF(AND(Hardworking_Employee[[#This Row],[Years]]&gt;=5,Hardworking_Employee[[#This Row],[Overtime Hours]]&gt;50),"Yes","No"),"Not Found")</f>
        <v>No</v>
      </c>
    </row>
    <row r="621" spans="1:4" x14ac:dyDescent="0.35">
      <c r="A621" s="40" t="str">
        <f>_xlfn.TEXTJOIN(" ",TRUE,Employees_Data[[#This Row],[First Name]],Employees_Data[[#This Row],[Last Name]])</f>
        <v>Kholoud Huquq</v>
      </c>
      <c r="B621" s="41">
        <f ca="1">DATEDIF(Employees!$F621,TODAY(),"Y")</f>
        <v>7</v>
      </c>
      <c r="C621" s="42">
        <v>7</v>
      </c>
      <c r="D621" s="43" t="str">
        <f ca="1">IFERROR(IF(AND(Hardworking_Employee[[#This Row],[Years]]&gt;=5,Hardworking_Employee[[#This Row],[Overtime Hours]]&gt;50),"Yes","No"),"Not Found")</f>
        <v>No</v>
      </c>
    </row>
    <row r="622" spans="1:4" x14ac:dyDescent="0.35">
      <c r="A622" s="36" t="str">
        <f>_xlfn.TEXTJOIN(" ",TRUE,Employees_Data[[#This Row],[First Name]],Employees_Data[[#This Row],[Last Name]])</f>
        <v>Ibrahim Alqatish</v>
      </c>
      <c r="B622" s="37">
        <f ca="1">DATEDIF(Employees!$F622,TODAY(),"Y")</f>
        <v>7</v>
      </c>
      <c r="C622" s="38">
        <v>1</v>
      </c>
      <c r="D622" s="39" t="str">
        <f ca="1">IFERROR(IF(AND(Hardworking_Employee[[#This Row],[Years]]&gt;=5,Hardworking_Employee[[#This Row],[Overtime Hours]]&gt;50),"Yes","No"),"Not Found")</f>
        <v>No</v>
      </c>
    </row>
    <row r="623" spans="1:4" x14ac:dyDescent="0.35">
      <c r="A623" s="40" t="str">
        <f>_xlfn.TEXTJOIN(" ",TRUE,Employees_Data[[#This Row],[First Name]],Employees_Data[[#This Row],[Last Name]])</f>
        <v>Salih Altawil</v>
      </c>
      <c r="B623" s="41">
        <f ca="1">DATEDIF(Employees!$F623,TODAY(),"Y")</f>
        <v>7</v>
      </c>
      <c r="C623" s="42">
        <v>10</v>
      </c>
      <c r="D623" s="43" t="str">
        <f ca="1">IFERROR(IF(AND(Hardworking_Employee[[#This Row],[Years]]&gt;=5,Hardworking_Employee[[#This Row],[Overtime Hours]]&gt;50),"Yes","No"),"Not Found")</f>
        <v>No</v>
      </c>
    </row>
    <row r="624" spans="1:4" x14ac:dyDescent="0.35">
      <c r="A624" s="36" t="str">
        <f>_xlfn.TEXTJOIN(" ",TRUE,Employees_Data[[#This Row],[First Name]],Employees_Data[[#This Row],[Last Name]])</f>
        <v>Sami Alsyd Ahmad</v>
      </c>
      <c r="B624" s="37">
        <f ca="1">DATEDIF(Employees!$F624,TODAY(),"Y")</f>
        <v>7</v>
      </c>
      <c r="C624" s="38">
        <v>50</v>
      </c>
      <c r="D624" s="39" t="str">
        <f ca="1">IFERROR(IF(AND(Hardworking_Employee[[#This Row],[Years]]&gt;=5,Hardworking_Employee[[#This Row],[Overtime Hours]]&gt;50),"Yes","No"),"Not Found")</f>
        <v>No</v>
      </c>
    </row>
    <row r="625" spans="1:4" x14ac:dyDescent="0.35">
      <c r="A625" s="40" t="str">
        <f>_xlfn.TEXTJOIN(" ",TRUE,Employees_Data[[#This Row],[First Name]],Employees_Data[[#This Row],[Last Name]])</f>
        <v>Zahir Aleitar</v>
      </c>
      <c r="B625" s="41">
        <f ca="1">DATEDIF(Employees!$F625,TODAY(),"Y")</f>
        <v>8</v>
      </c>
      <c r="C625" s="42">
        <v>1</v>
      </c>
      <c r="D625" s="43" t="str">
        <f ca="1">IFERROR(IF(AND(Hardworking_Employee[[#This Row],[Years]]&gt;=5,Hardworking_Employee[[#This Row],[Overtime Hours]]&gt;50),"Yes","No"),"Not Found")</f>
        <v>No</v>
      </c>
    </row>
    <row r="626" spans="1:4" x14ac:dyDescent="0.35">
      <c r="A626" s="36" t="str">
        <f>_xlfn.TEXTJOIN(" ",TRUE,Employees_Data[[#This Row],[First Name]],Employees_Data[[#This Row],[Last Name]])</f>
        <v>Fatir Alealiu</v>
      </c>
      <c r="B626" s="37">
        <f ca="1">DATEDIF(Employees!$F626,TODAY(),"Y")</f>
        <v>7</v>
      </c>
      <c r="C626" s="38">
        <v>4</v>
      </c>
      <c r="D626" s="39" t="str">
        <f ca="1">IFERROR(IF(AND(Hardworking_Employee[[#This Row],[Years]]&gt;=5,Hardworking_Employee[[#This Row],[Overtime Hours]]&gt;50),"Yes","No"),"Not Found")</f>
        <v>No</v>
      </c>
    </row>
    <row r="627" spans="1:4" x14ac:dyDescent="0.35">
      <c r="A627" s="40" t="str">
        <f>_xlfn.TEXTJOIN(" ",TRUE,Employees_Data[[#This Row],[First Name]],Employees_Data[[#This Row],[Last Name]])</f>
        <v>Samir Alealiu</v>
      </c>
      <c r="B627" s="41">
        <f ca="1">DATEDIF(Employees!$F627,TODAY(),"Y")</f>
        <v>7</v>
      </c>
      <c r="C627" s="42">
        <v>14</v>
      </c>
      <c r="D627" s="43" t="str">
        <f ca="1">IFERROR(IF(AND(Hardworking_Employee[[#This Row],[Years]]&gt;=5,Hardworking_Employee[[#This Row],[Overtime Hours]]&gt;50),"Yes","No"),"Not Found")</f>
        <v>No</v>
      </c>
    </row>
    <row r="628" spans="1:4" x14ac:dyDescent="0.35">
      <c r="A628" s="36" t="str">
        <f>_xlfn.TEXTJOIN(" ",TRUE,Employees_Data[[#This Row],[First Name]],Employees_Data[[#This Row],[Last Name]])</f>
        <v>Muhamad Sulayman</v>
      </c>
      <c r="B628" s="37">
        <f ca="1">DATEDIF(Employees!$F628,TODAY(),"Y")</f>
        <v>8</v>
      </c>
      <c r="C628" s="38">
        <v>5</v>
      </c>
      <c r="D628" s="39" t="str">
        <f ca="1">IFERROR(IF(AND(Hardworking_Employee[[#This Row],[Years]]&gt;=5,Hardworking_Employee[[#This Row],[Overtime Hours]]&gt;50),"Yes","No"),"Not Found")</f>
        <v>No</v>
      </c>
    </row>
    <row r="629" spans="1:4" x14ac:dyDescent="0.35">
      <c r="A629" s="40" t="str">
        <f>_xlfn.TEXTJOIN(" ",TRUE,Employees_Data[[#This Row],[First Name]],Employees_Data[[#This Row],[Last Name]])</f>
        <v>Muhamad Suqabani</v>
      </c>
      <c r="B629" s="41">
        <f ca="1">DATEDIF(Employees!$F629,TODAY(),"Y")</f>
        <v>5</v>
      </c>
      <c r="C629" s="42">
        <v>2</v>
      </c>
      <c r="D629" s="43" t="str">
        <f ca="1">IFERROR(IF(AND(Hardworking_Employee[[#This Row],[Years]]&gt;=5,Hardworking_Employee[[#This Row],[Overtime Hours]]&gt;50),"Yes","No"),"Not Found")</f>
        <v>No</v>
      </c>
    </row>
    <row r="630" spans="1:4" x14ac:dyDescent="0.35">
      <c r="A630" s="36" t="str">
        <f>_xlfn.TEXTJOIN(" ",TRUE,Employees_Data[[#This Row],[First Name]],Employees_Data[[#This Row],[Last Name]])</f>
        <v>Muhamad Aldubbas</v>
      </c>
      <c r="B630" s="37">
        <f ca="1">DATEDIF(Employees!$F630,TODAY(),"Y")</f>
        <v>7</v>
      </c>
      <c r="C630" s="38">
        <v>7</v>
      </c>
      <c r="D630" s="39" t="str">
        <f ca="1">IFERROR(IF(AND(Hardworking_Employee[[#This Row],[Years]]&gt;=5,Hardworking_Employee[[#This Row],[Overtime Hours]]&gt;50),"Yes","No"),"Not Found")</f>
        <v>No</v>
      </c>
    </row>
    <row r="631" spans="1:4" x14ac:dyDescent="0.35">
      <c r="A631" s="40" t="str">
        <f>_xlfn.TEXTJOIN(" ",TRUE,Employees_Data[[#This Row],[First Name]],Employees_Data[[#This Row],[Last Name]])</f>
        <v>Hamzaa Astitih</v>
      </c>
      <c r="B631" s="41">
        <f ca="1">DATEDIF(Employees!$F631,TODAY(),"Y")</f>
        <v>6</v>
      </c>
      <c r="C631" s="42">
        <v>7</v>
      </c>
      <c r="D631" s="43" t="str">
        <f ca="1">IFERROR(IF(AND(Hardworking_Employee[[#This Row],[Years]]&gt;=5,Hardworking_Employee[[#This Row],[Overtime Hours]]&gt;50),"Yes","No"),"Not Found")</f>
        <v>No</v>
      </c>
    </row>
    <row r="632" spans="1:4" x14ac:dyDescent="0.35">
      <c r="A632" s="36" t="str">
        <f>_xlfn.TEXTJOIN(" ",TRUE,Employees_Data[[#This Row],[First Name]],Employees_Data[[#This Row],[Last Name]])</f>
        <v>Sulayman Zinu</v>
      </c>
      <c r="B632" s="37">
        <f ca="1">DATEDIF(Employees!$F632,TODAY(),"Y")</f>
        <v>8</v>
      </c>
      <c r="C632" s="38">
        <v>5</v>
      </c>
      <c r="D632" s="39" t="str">
        <f ca="1">IFERROR(IF(AND(Hardworking_Employee[[#This Row],[Years]]&gt;=5,Hardworking_Employee[[#This Row],[Overtime Hours]]&gt;50),"Yes","No"),"Not Found")</f>
        <v>No</v>
      </c>
    </row>
    <row r="633" spans="1:4" x14ac:dyDescent="0.35">
      <c r="A633" s="40" t="str">
        <f>_xlfn.TEXTJOIN(" ",TRUE,Employees_Data[[#This Row],[First Name]],Employees_Data[[#This Row],[Last Name]])</f>
        <v>Alaa Alrifaei</v>
      </c>
      <c r="B633" s="41">
        <f ca="1">DATEDIF(Employees!$F633,TODAY(),"Y")</f>
        <v>6</v>
      </c>
      <c r="C633" s="42">
        <v>2</v>
      </c>
      <c r="D633" s="43" t="str">
        <f ca="1">IFERROR(IF(AND(Hardworking_Employee[[#This Row],[Years]]&gt;=5,Hardworking_Employee[[#This Row],[Overtime Hours]]&gt;50),"Yes","No"),"Not Found")</f>
        <v>No</v>
      </c>
    </row>
    <row r="634" spans="1:4" x14ac:dyDescent="0.35">
      <c r="A634" s="36" t="str">
        <f>_xlfn.TEXTJOIN(" ",TRUE,Employees_Data[[#This Row],[First Name]],Employees_Data[[#This Row],[Last Name]])</f>
        <v>Rasha Alrifaei</v>
      </c>
      <c r="B634" s="37">
        <f ca="1">DATEDIF(Employees!$F634,TODAY(),"Y")</f>
        <v>7</v>
      </c>
      <c r="C634" s="38">
        <v>9</v>
      </c>
      <c r="D634" s="39" t="str">
        <f ca="1">IFERROR(IF(AND(Hardworking_Employee[[#This Row],[Years]]&gt;=5,Hardworking_Employee[[#This Row],[Overtime Hours]]&gt;50),"Yes","No"),"Not Found")</f>
        <v>No</v>
      </c>
    </row>
    <row r="635" spans="1:4" x14ac:dyDescent="0.35">
      <c r="A635" s="40" t="str">
        <f>_xlfn.TEXTJOIN(" ",TRUE,Employees_Data[[#This Row],[First Name]],Employees_Data[[#This Row],[Last Name]])</f>
        <v>Bayan Darbika</v>
      </c>
      <c r="B635" s="41">
        <f ca="1">DATEDIF(Employees!$F635,TODAY(),"Y")</f>
        <v>7</v>
      </c>
      <c r="C635" s="42">
        <v>5</v>
      </c>
      <c r="D635" s="43" t="str">
        <f ca="1">IFERROR(IF(AND(Hardworking_Employee[[#This Row],[Years]]&gt;=5,Hardworking_Employee[[#This Row],[Overtime Hours]]&gt;50),"Yes","No"),"Not Found")</f>
        <v>No</v>
      </c>
    </row>
    <row r="636" spans="1:4" x14ac:dyDescent="0.35">
      <c r="A636" s="36" t="str">
        <f>_xlfn.TEXTJOIN(" ",TRUE,Employees_Data[[#This Row],[First Name]],Employees_Data[[#This Row],[Last Name]])</f>
        <v>Iin Almunzilijiu</v>
      </c>
      <c r="B636" s="37">
        <f ca="1">DATEDIF(Employees!$F636,TODAY(),"Y")</f>
        <v>10</v>
      </c>
      <c r="C636" s="38">
        <v>8</v>
      </c>
      <c r="D636" s="39" t="str">
        <f ca="1">IFERROR(IF(AND(Hardworking_Employee[[#This Row],[Years]]&gt;=5,Hardworking_Employee[[#This Row],[Overtime Hours]]&gt;50),"Yes","No"),"Not Found")</f>
        <v>No</v>
      </c>
    </row>
    <row r="637" spans="1:4" x14ac:dyDescent="0.35">
      <c r="A637" s="40" t="str">
        <f>_xlfn.TEXTJOIN(" ",TRUE,Employees_Data[[#This Row],[First Name]],Employees_Data[[#This Row],[Last Name]])</f>
        <v>Abd Alwahhab Aldhiyab</v>
      </c>
      <c r="B637" s="41">
        <f ca="1">DATEDIF(Employees!$F637,TODAY(),"Y")</f>
        <v>7</v>
      </c>
      <c r="C637" s="42">
        <v>2</v>
      </c>
      <c r="D637" s="43" t="str">
        <f ca="1">IFERROR(IF(AND(Hardworking_Employee[[#This Row],[Years]]&gt;=5,Hardworking_Employee[[#This Row],[Overtime Hours]]&gt;50),"Yes","No"),"Not Found")</f>
        <v>No</v>
      </c>
    </row>
    <row r="638" spans="1:4" x14ac:dyDescent="0.35">
      <c r="A638" s="36" t="str">
        <f>_xlfn.TEXTJOIN(" ",TRUE,Employees_Data[[#This Row],[First Name]],Employees_Data[[#This Row],[Last Name]])</f>
        <v>Hanan Salahi</v>
      </c>
      <c r="B638" s="37">
        <f ca="1">DATEDIF(Employees!$F638,TODAY(),"Y")</f>
        <v>5</v>
      </c>
      <c r="C638" s="38">
        <v>0</v>
      </c>
      <c r="D638" s="39" t="str">
        <f ca="1">IFERROR(IF(AND(Hardworking_Employee[[#This Row],[Years]]&gt;=5,Hardworking_Employee[[#This Row],[Overtime Hours]]&gt;50),"Yes","No"),"Not Found")</f>
        <v>No</v>
      </c>
    </row>
    <row r="639" spans="1:4" x14ac:dyDescent="0.35">
      <c r="A639" s="40" t="str">
        <f>_xlfn.TEXTJOIN(" ",TRUE,Employees_Data[[#This Row],[First Name]],Employees_Data[[#This Row],[Last Name]])</f>
        <v>Mari Ayuwb</v>
      </c>
      <c r="B639" s="41">
        <f ca="1">DATEDIF(Employees!$F639,TODAY(),"Y")</f>
        <v>10</v>
      </c>
      <c r="C639" s="42">
        <v>7</v>
      </c>
      <c r="D639" s="43" t="str">
        <f ca="1">IFERROR(IF(AND(Hardworking_Employee[[#This Row],[Years]]&gt;=5,Hardworking_Employee[[#This Row],[Overtime Hours]]&gt;50),"Yes","No"),"Not Found")</f>
        <v>No</v>
      </c>
    </row>
    <row r="640" spans="1:4" x14ac:dyDescent="0.35">
      <c r="A640" s="36" t="str">
        <f>_xlfn.TEXTJOIN(" ",TRUE,Employees_Data[[#This Row],[First Name]],Employees_Data[[#This Row],[Last Name]])</f>
        <v>Omar Shawqi</v>
      </c>
      <c r="B640" s="37">
        <f ca="1">DATEDIF(Employees!$F640,TODAY(),"Y")</f>
        <v>7</v>
      </c>
      <c r="C640" s="38">
        <v>3</v>
      </c>
      <c r="D640" s="39" t="str">
        <f ca="1">IFERROR(IF(AND(Hardworking_Employee[[#This Row],[Years]]&gt;=5,Hardworking_Employee[[#This Row],[Overtime Hours]]&gt;50),"Yes","No"),"Not Found")</f>
        <v>No</v>
      </c>
    </row>
    <row r="641" spans="1:4" x14ac:dyDescent="0.35">
      <c r="A641" s="40" t="str">
        <f>_xlfn.TEXTJOIN(" ",TRUE,Employees_Data[[#This Row],[First Name]],Employees_Data[[#This Row],[Last Name]])</f>
        <v>Tariq Aldhahabi</v>
      </c>
      <c r="B641" s="41">
        <f ca="1">DATEDIF(Employees!$F641,TODAY(),"Y")</f>
        <v>6</v>
      </c>
      <c r="C641" s="42">
        <v>4</v>
      </c>
      <c r="D641" s="43" t="str">
        <f ca="1">IFERROR(IF(AND(Hardworking_Employee[[#This Row],[Years]]&gt;=5,Hardworking_Employee[[#This Row],[Overtime Hours]]&gt;50),"Yes","No"),"Not Found")</f>
        <v>No</v>
      </c>
    </row>
    <row r="642" spans="1:4" x14ac:dyDescent="0.35">
      <c r="A642" s="36" t="str">
        <f>_xlfn.TEXTJOIN(" ",TRUE,Employees_Data[[#This Row],[First Name]],Employees_Data[[#This Row],[Last Name]])</f>
        <v>Rama Asead</v>
      </c>
      <c r="B642" s="37">
        <f ca="1">DATEDIF(Employees!$F642,TODAY(),"Y")</f>
        <v>7</v>
      </c>
      <c r="C642" s="38">
        <v>10</v>
      </c>
      <c r="D642" s="39" t="str">
        <f ca="1">IFERROR(IF(AND(Hardworking_Employee[[#This Row],[Years]]&gt;=5,Hardworking_Employee[[#This Row],[Overtime Hours]]&gt;50),"Yes","No"),"Not Found")</f>
        <v>No</v>
      </c>
    </row>
    <row r="643" spans="1:4" x14ac:dyDescent="0.35">
      <c r="A643" s="40" t="str">
        <f>_xlfn.TEXTJOIN(" ",TRUE,Employees_Data[[#This Row],[First Name]],Employees_Data[[#This Row],[Last Name]])</f>
        <v>Ghayth Eali</v>
      </c>
      <c r="B643" s="41">
        <f ca="1">DATEDIF(Employees!$F643,TODAY(),"Y")</f>
        <v>7</v>
      </c>
      <c r="C643" s="42">
        <v>3</v>
      </c>
      <c r="D643" s="43" t="str">
        <f ca="1">IFERROR(IF(AND(Hardworking_Employee[[#This Row],[Years]]&gt;=5,Hardworking_Employee[[#This Row],[Overtime Hours]]&gt;50),"Yes","No"),"Not Found")</f>
        <v>No</v>
      </c>
    </row>
    <row r="644" spans="1:4" x14ac:dyDescent="0.35">
      <c r="A644" s="36" t="str">
        <f>_xlfn.TEXTJOIN(" ",TRUE,Employees_Data[[#This Row],[First Name]],Employees_Data[[#This Row],[Last Name]])</f>
        <v>Mahir Eabuwd</v>
      </c>
      <c r="B644" s="37">
        <f ca="1">DATEDIF(Employees!$F644,TODAY(),"Y")</f>
        <v>8</v>
      </c>
      <c r="C644" s="38">
        <v>10</v>
      </c>
      <c r="D644" s="39" t="str">
        <f ca="1">IFERROR(IF(AND(Hardworking_Employee[[#This Row],[Years]]&gt;=5,Hardworking_Employee[[#This Row],[Overtime Hours]]&gt;50),"Yes","No"),"Not Found")</f>
        <v>No</v>
      </c>
    </row>
    <row r="645" spans="1:4" x14ac:dyDescent="0.35">
      <c r="A645" s="40" t="str">
        <f>_xlfn.TEXTJOIN(" ",TRUE,Employees_Data[[#This Row],[First Name]],Employees_Data[[#This Row],[Last Name]])</f>
        <v>Muwmin Almujahid</v>
      </c>
      <c r="B645" s="41">
        <f ca="1">DATEDIF(Employees!$F645,TODAY(),"Y")</f>
        <v>6</v>
      </c>
      <c r="C645" s="42">
        <v>8</v>
      </c>
      <c r="D645" s="43" t="str">
        <f ca="1">IFERROR(IF(AND(Hardworking_Employee[[#This Row],[Years]]&gt;=5,Hardworking_Employee[[#This Row],[Overtime Hours]]&gt;50),"Yes","No"),"Not Found")</f>
        <v>No</v>
      </c>
    </row>
    <row r="646" spans="1:4" x14ac:dyDescent="0.35">
      <c r="A646" s="36" t="str">
        <f>_xlfn.TEXTJOIN(" ",TRUE,Employees_Data[[#This Row],[First Name]],Employees_Data[[#This Row],[Last Name]])</f>
        <v>Dima Drwysh</v>
      </c>
      <c r="B646" s="37">
        <f ca="1">DATEDIF(Employees!$F646,TODAY(),"Y")</f>
        <v>6</v>
      </c>
      <c r="C646" s="38">
        <v>10</v>
      </c>
      <c r="D646" s="39" t="str">
        <f ca="1">IFERROR(IF(AND(Hardworking_Employee[[#This Row],[Years]]&gt;=5,Hardworking_Employee[[#This Row],[Overtime Hours]]&gt;50),"Yes","No"),"Not Found")</f>
        <v>No</v>
      </c>
    </row>
    <row r="647" spans="1:4" x14ac:dyDescent="0.35">
      <c r="A647" s="40" t="str">
        <f>_xlfn.TEXTJOIN(" ",TRUE,Employees_Data[[#This Row],[First Name]],Employees_Data[[#This Row],[Last Name]])</f>
        <v>Muhamad Khalid</v>
      </c>
      <c r="B647" s="41">
        <f ca="1">DATEDIF(Employees!$F647,TODAY(),"Y")</f>
        <v>8</v>
      </c>
      <c r="C647" s="42">
        <v>7</v>
      </c>
      <c r="D647" s="43" t="str">
        <f ca="1">IFERROR(IF(AND(Hardworking_Employee[[#This Row],[Years]]&gt;=5,Hardworking_Employee[[#This Row],[Overtime Hours]]&gt;50),"Yes","No"),"Not Found")</f>
        <v>No</v>
      </c>
    </row>
    <row r="648" spans="1:4" x14ac:dyDescent="0.35">
      <c r="A648" s="36" t="str">
        <f>_xlfn.TEXTJOIN(" ",TRUE,Employees_Data[[#This Row],[First Name]],Employees_Data[[#This Row],[Last Name]])</f>
        <v>Diea Filyun</v>
      </c>
      <c r="B648" s="37">
        <f ca="1">DATEDIF(Employees!$F648,TODAY(),"Y")</f>
        <v>6</v>
      </c>
      <c r="C648" s="38">
        <v>100</v>
      </c>
      <c r="D648" s="39" t="str">
        <f ca="1">IFERROR(IF(AND(Hardworking_Employee[[#This Row],[Years]]&gt;=5,Hardworking_Employee[[#This Row],[Overtime Hours]]&gt;50),"Yes","No"),"Not Found")</f>
        <v>Yes</v>
      </c>
    </row>
    <row r="649" spans="1:4" x14ac:dyDescent="0.35">
      <c r="A649" s="40" t="str">
        <f>_xlfn.TEXTJOIN(" ",TRUE,Employees_Data[[#This Row],[First Name]],Employees_Data[[#This Row],[Last Name]])</f>
        <v>Muhamad Tasbihji</v>
      </c>
      <c r="B649" s="41">
        <f ca="1">DATEDIF(Employees!$F649,TODAY(),"Y")</f>
        <v>6</v>
      </c>
      <c r="C649" s="42">
        <v>10</v>
      </c>
      <c r="D649" s="43" t="str">
        <f ca="1">IFERROR(IF(AND(Hardworking_Employee[[#This Row],[Years]]&gt;=5,Hardworking_Employee[[#This Row],[Overtime Hours]]&gt;50),"Yes","No"),"Not Found")</f>
        <v>No</v>
      </c>
    </row>
    <row r="650" spans="1:4" x14ac:dyDescent="0.35">
      <c r="A650" s="36" t="str">
        <f>_xlfn.TEXTJOIN(" ",TRUE,Employees_Data[[#This Row],[First Name]],Employees_Data[[#This Row],[Last Name]])</f>
        <v>Mazin Shumut</v>
      </c>
      <c r="B650" s="37">
        <f ca="1">DATEDIF(Employees!$F650,TODAY(),"Y")</f>
        <v>9</v>
      </c>
      <c r="C650" s="38">
        <v>6</v>
      </c>
      <c r="D650" s="39" t="str">
        <f ca="1">IFERROR(IF(AND(Hardworking_Employee[[#This Row],[Years]]&gt;=5,Hardworking_Employee[[#This Row],[Overtime Hours]]&gt;50),"Yes","No"),"Not Found")</f>
        <v>No</v>
      </c>
    </row>
    <row r="651" spans="1:4" x14ac:dyDescent="0.35">
      <c r="A651" s="40" t="str">
        <f>_xlfn.TEXTJOIN(" ",TRUE,Employees_Data[[#This Row],[First Name]],Employees_Data[[#This Row],[Last Name]])</f>
        <v>Omar Zaqzuq</v>
      </c>
      <c r="B651" s="41">
        <f ca="1">DATEDIF(Employees!$F651,TODAY(),"Y")</f>
        <v>6</v>
      </c>
      <c r="C651" s="42">
        <v>7</v>
      </c>
      <c r="D651" s="43" t="str">
        <f ca="1">IFERROR(IF(AND(Hardworking_Employee[[#This Row],[Years]]&gt;=5,Hardworking_Employee[[#This Row],[Overtime Hours]]&gt;50),"Yes","No"),"Not Found")</f>
        <v>No</v>
      </c>
    </row>
    <row r="652" spans="1:4" x14ac:dyDescent="0.35">
      <c r="A652" s="36" t="str">
        <f>_xlfn.TEXTJOIN(" ",TRUE,Employees_Data[[#This Row],[First Name]],Employees_Data[[#This Row],[Last Name]])</f>
        <v>Yasmin Eamir</v>
      </c>
      <c r="B652" s="37">
        <f ca="1">DATEDIF(Employees!$F652,TODAY(),"Y")</f>
        <v>9</v>
      </c>
      <c r="C652" s="38">
        <v>1</v>
      </c>
      <c r="D652" s="39" t="str">
        <f ca="1">IFERROR(IF(AND(Hardworking_Employee[[#This Row],[Years]]&gt;=5,Hardworking_Employee[[#This Row],[Overtime Hours]]&gt;50),"Yes","No"),"Not Found")</f>
        <v>No</v>
      </c>
    </row>
    <row r="653" spans="1:4" x14ac:dyDescent="0.35">
      <c r="A653" s="40" t="str">
        <f>_xlfn.TEXTJOIN(" ",TRUE,Employees_Data[[#This Row],[First Name]],Employees_Data[[#This Row],[Last Name]])</f>
        <v>Muhamad Haydar</v>
      </c>
      <c r="B653" s="41">
        <f ca="1">DATEDIF(Employees!$F653,TODAY(),"Y")</f>
        <v>5</v>
      </c>
      <c r="C653" s="42">
        <v>6</v>
      </c>
      <c r="D653" s="43" t="str">
        <f ca="1">IFERROR(IF(AND(Hardworking_Employee[[#This Row],[Years]]&gt;=5,Hardworking_Employee[[#This Row],[Overtime Hours]]&gt;50),"Yes","No"),"Not Found")</f>
        <v>No</v>
      </c>
    </row>
    <row r="654" spans="1:4" x14ac:dyDescent="0.35">
      <c r="A654" s="36" t="str">
        <f>_xlfn.TEXTJOIN(" ",TRUE,Employees_Data[[#This Row],[First Name]],Employees_Data[[#This Row],[Last Name]])</f>
        <v>Muhamad Ratib</v>
      </c>
      <c r="B654" s="37">
        <f ca="1">DATEDIF(Employees!$F654,TODAY(),"Y")</f>
        <v>6</v>
      </c>
      <c r="C654" s="38">
        <v>57</v>
      </c>
      <c r="D654" s="39" t="str">
        <f ca="1">IFERROR(IF(AND(Hardworking_Employee[[#This Row],[Years]]&gt;=5,Hardworking_Employee[[#This Row],[Overtime Hours]]&gt;50),"Yes","No"),"Not Found")</f>
        <v>Yes</v>
      </c>
    </row>
    <row r="655" spans="1:4" x14ac:dyDescent="0.35">
      <c r="A655" s="40" t="str">
        <f>_xlfn.TEXTJOIN(" ",TRUE,Employees_Data[[#This Row],[First Name]],Employees_Data[[#This Row],[Last Name]])</f>
        <v>Muayid Siedih</v>
      </c>
      <c r="B655" s="41">
        <f ca="1">DATEDIF(Employees!$F655,TODAY(),"Y")</f>
        <v>7</v>
      </c>
      <c r="C655" s="42">
        <v>10</v>
      </c>
      <c r="D655" s="43" t="str">
        <f ca="1">IFERROR(IF(AND(Hardworking_Employee[[#This Row],[Years]]&gt;=5,Hardworking_Employee[[#This Row],[Overtime Hours]]&gt;50),"Yes","No"),"Not Found")</f>
        <v>No</v>
      </c>
    </row>
    <row r="656" spans="1:4" x14ac:dyDescent="0.35">
      <c r="A656" s="36" t="str">
        <f>_xlfn.TEXTJOIN(" ",TRUE,Employees_Data[[#This Row],[First Name]],Employees_Data[[#This Row],[Last Name]])</f>
        <v>Husam Alhamd</v>
      </c>
      <c r="B656" s="37">
        <f ca="1">DATEDIF(Employees!$F656,TODAY(),"Y")</f>
        <v>9</v>
      </c>
      <c r="C656" s="38">
        <v>10</v>
      </c>
      <c r="D656" s="39" t="str">
        <f ca="1">IFERROR(IF(AND(Hardworking_Employee[[#This Row],[Years]]&gt;=5,Hardworking_Employee[[#This Row],[Overtime Hours]]&gt;50),"Yes","No"),"Not Found")</f>
        <v>No</v>
      </c>
    </row>
    <row r="657" spans="1:4" x14ac:dyDescent="0.35">
      <c r="A657" s="40" t="str">
        <f>_xlfn.TEXTJOIN(" ",TRUE,Employees_Data[[#This Row],[First Name]],Employees_Data[[#This Row],[Last Name]])</f>
        <v>Abdalkrim Fadal</v>
      </c>
      <c r="B657" s="41">
        <f ca="1">DATEDIF(Employees!$F657,TODAY(),"Y")</f>
        <v>6</v>
      </c>
      <c r="C657" s="42">
        <v>7</v>
      </c>
      <c r="D657" s="43" t="str">
        <f ca="1">IFERROR(IF(AND(Hardworking_Employee[[#This Row],[Years]]&gt;=5,Hardworking_Employee[[#This Row],[Overtime Hours]]&gt;50),"Yes","No"),"Not Found")</f>
        <v>No</v>
      </c>
    </row>
    <row r="658" spans="1:4" x14ac:dyDescent="0.35">
      <c r="A658" s="36" t="str">
        <f>_xlfn.TEXTJOIN(" ",TRUE,Employees_Data[[#This Row],[First Name]],Employees_Data[[#This Row],[Last Name]])</f>
        <v>Bayan Eurnus</v>
      </c>
      <c r="B658" s="37">
        <f ca="1">DATEDIF(Employees!$F658,TODAY(),"Y")</f>
        <v>6</v>
      </c>
      <c r="C658" s="38">
        <v>6</v>
      </c>
      <c r="D658" s="39" t="str">
        <f ca="1">IFERROR(IF(AND(Hardworking_Employee[[#This Row],[Years]]&gt;=5,Hardworking_Employee[[#This Row],[Overtime Hours]]&gt;50),"Yes","No"),"Not Found")</f>
        <v>No</v>
      </c>
    </row>
    <row r="659" spans="1:4" x14ac:dyDescent="0.35">
      <c r="A659" s="40" t="str">
        <f>_xlfn.TEXTJOIN(" ",TRUE,Employees_Data[[#This Row],[First Name]],Employees_Data[[#This Row],[Last Name]])</f>
        <v>Abd Almueiyn Eitaya</v>
      </c>
      <c r="B659" s="41">
        <f ca="1">DATEDIF(Employees!$F659,TODAY(),"Y")</f>
        <v>8</v>
      </c>
      <c r="C659" s="42">
        <v>9</v>
      </c>
      <c r="D659" s="43" t="str">
        <f ca="1">IFERROR(IF(AND(Hardworking_Employee[[#This Row],[Years]]&gt;=5,Hardworking_Employee[[#This Row],[Overtime Hours]]&gt;50),"Yes","No"),"Not Found")</f>
        <v>No</v>
      </c>
    </row>
    <row r="660" spans="1:4" x14ac:dyDescent="0.35">
      <c r="A660" s="36" t="str">
        <f>_xlfn.TEXTJOIN(" ",TRUE,Employees_Data[[#This Row],[First Name]],Employees_Data[[#This Row],[Last Name]])</f>
        <v>Sahar Qisam</v>
      </c>
      <c r="B660" s="37">
        <f ca="1">DATEDIF(Employees!$F660,TODAY(),"Y")</f>
        <v>8</v>
      </c>
      <c r="C660" s="38">
        <v>8</v>
      </c>
      <c r="D660" s="39" t="str">
        <f ca="1">IFERROR(IF(AND(Hardworking_Employee[[#This Row],[Years]]&gt;=5,Hardworking_Employee[[#This Row],[Overtime Hours]]&gt;50),"Yes","No"),"Not Found")</f>
        <v>No</v>
      </c>
    </row>
    <row r="661" spans="1:4" x14ac:dyDescent="0.35">
      <c r="A661" s="40" t="str">
        <f>_xlfn.TEXTJOIN(" ",TRUE,Employees_Data[[#This Row],[First Name]],Employees_Data[[#This Row],[Last Name]])</f>
        <v>Rafat Musaa</v>
      </c>
      <c r="B661" s="41">
        <f ca="1">DATEDIF(Employees!$F661,TODAY(),"Y")</f>
        <v>7</v>
      </c>
      <c r="C661" s="42">
        <v>9</v>
      </c>
      <c r="D661" s="43" t="str">
        <f ca="1">IFERROR(IF(AND(Hardworking_Employee[[#This Row],[Years]]&gt;=5,Hardworking_Employee[[#This Row],[Overtime Hours]]&gt;50),"Yes","No"),"Not Found")</f>
        <v>No</v>
      </c>
    </row>
    <row r="662" spans="1:4" x14ac:dyDescent="0.35">
      <c r="A662" s="36" t="str">
        <f>_xlfn.TEXTJOIN(" ",TRUE,Employees_Data[[#This Row],[First Name]],Employees_Data[[#This Row],[Last Name]])</f>
        <v>Shafiq Almalih</v>
      </c>
      <c r="B662" s="37">
        <f ca="1">DATEDIF(Employees!$F662,TODAY(),"Y")</f>
        <v>7</v>
      </c>
      <c r="C662" s="38">
        <v>6</v>
      </c>
      <c r="D662" s="39" t="str">
        <f ca="1">IFERROR(IF(AND(Hardworking_Employee[[#This Row],[Years]]&gt;=5,Hardworking_Employee[[#This Row],[Overtime Hours]]&gt;50),"Yes","No"),"Not Found")</f>
        <v>No</v>
      </c>
    </row>
    <row r="663" spans="1:4" x14ac:dyDescent="0.35">
      <c r="A663" s="40" t="str">
        <f>_xlfn.TEXTJOIN(" ",TRUE,Employees_Data[[#This Row],[First Name]],Employees_Data[[#This Row],[Last Name]])</f>
        <v>Raghad Aghasi</v>
      </c>
      <c r="B663" s="41">
        <f ca="1">DATEDIF(Employees!$F663,TODAY(),"Y")</f>
        <v>6</v>
      </c>
      <c r="C663" s="42">
        <v>8</v>
      </c>
      <c r="D663" s="43" t="str">
        <f ca="1">IFERROR(IF(AND(Hardworking_Employee[[#This Row],[Years]]&gt;=5,Hardworking_Employee[[#This Row],[Overtime Hours]]&gt;50),"Yes","No"),"Not Found")</f>
        <v>No</v>
      </c>
    </row>
    <row r="664" spans="1:4" x14ac:dyDescent="0.35">
      <c r="A664" s="36" t="str">
        <f>_xlfn.TEXTJOIN(" ",TRUE,Employees_Data[[#This Row],[First Name]],Employees_Data[[#This Row],[Last Name]])</f>
        <v>Ruba Alhumwi</v>
      </c>
      <c r="B664" s="37">
        <f ca="1">DATEDIF(Employees!$F664,TODAY(),"Y")</f>
        <v>7</v>
      </c>
      <c r="C664" s="38">
        <v>4</v>
      </c>
      <c r="D664" s="39" t="str">
        <f ca="1">IFERROR(IF(AND(Hardworking_Employee[[#This Row],[Years]]&gt;=5,Hardworking_Employee[[#This Row],[Overtime Hours]]&gt;50),"Yes","No"),"Not Found")</f>
        <v>No</v>
      </c>
    </row>
    <row r="665" spans="1:4" x14ac:dyDescent="0.35">
      <c r="A665" s="40" t="str">
        <f>_xlfn.TEXTJOIN(" ",TRUE,Employees_Data[[#This Row],[First Name]],Employees_Data[[#This Row],[Last Name]])</f>
        <v>Bilal Alqalish</v>
      </c>
      <c r="B665" s="41">
        <f ca="1">DATEDIF(Employees!$F665,TODAY(),"Y")</f>
        <v>8</v>
      </c>
      <c r="C665" s="42">
        <v>1</v>
      </c>
      <c r="D665" s="43" t="str">
        <f ca="1">IFERROR(IF(AND(Hardworking_Employee[[#This Row],[Years]]&gt;=5,Hardworking_Employee[[#This Row],[Overtime Hours]]&gt;50),"Yes","No"),"Not Found")</f>
        <v>No</v>
      </c>
    </row>
    <row r="666" spans="1:4" x14ac:dyDescent="0.35">
      <c r="A666" s="36" t="str">
        <f>_xlfn.TEXTJOIN(" ",TRUE,Employees_Data[[#This Row],[First Name]],Employees_Data[[#This Row],[Last Name]])</f>
        <v>Muhamad Almisri</v>
      </c>
      <c r="B666" s="37">
        <f ca="1">DATEDIF(Employees!$F666,TODAY(),"Y")</f>
        <v>5</v>
      </c>
      <c r="C666" s="38">
        <v>7</v>
      </c>
      <c r="D666" s="39" t="str">
        <f ca="1">IFERROR(IF(AND(Hardworking_Employee[[#This Row],[Years]]&gt;=5,Hardworking_Employee[[#This Row],[Overtime Hours]]&gt;50),"Yes","No"),"Not Found")</f>
        <v>No</v>
      </c>
    </row>
    <row r="667" spans="1:4" x14ac:dyDescent="0.35">
      <c r="A667" s="40" t="str">
        <f>_xlfn.TEXTJOIN(" ",TRUE,Employees_Data[[#This Row],[First Name]],Employees_Data[[#This Row],[Last Name]])</f>
        <v>Husayn Hawria</v>
      </c>
      <c r="B667" s="41">
        <f ca="1">DATEDIF(Employees!$F667,TODAY(),"Y")</f>
        <v>6</v>
      </c>
      <c r="C667" s="42">
        <v>2</v>
      </c>
      <c r="D667" s="43" t="str">
        <f ca="1">IFERROR(IF(AND(Hardworking_Employee[[#This Row],[Years]]&gt;=5,Hardworking_Employee[[#This Row],[Overtime Hours]]&gt;50),"Yes","No"),"Not Found")</f>
        <v>No</v>
      </c>
    </row>
    <row r="668" spans="1:4" x14ac:dyDescent="0.35">
      <c r="A668" s="36" t="str">
        <f>_xlfn.TEXTJOIN(" ",TRUE,Employees_Data[[#This Row],[First Name]],Employees_Data[[#This Row],[Last Name]])</f>
        <v>Safa Alshahadat</v>
      </c>
      <c r="B668" s="37">
        <f ca="1">DATEDIF(Employees!$F668,TODAY(),"Y")</f>
        <v>8</v>
      </c>
      <c r="C668" s="38">
        <v>9</v>
      </c>
      <c r="D668" s="39" t="str">
        <f ca="1">IFERROR(IF(AND(Hardworking_Employee[[#This Row],[Years]]&gt;=5,Hardworking_Employee[[#This Row],[Overtime Hours]]&gt;50),"Yes","No"),"Not Found")</f>
        <v>No</v>
      </c>
    </row>
    <row r="669" spans="1:4" x14ac:dyDescent="0.35">
      <c r="A669" s="40" t="str">
        <f>_xlfn.TEXTJOIN(" ",TRUE,Employees_Data[[#This Row],[First Name]],Employees_Data[[#This Row],[Last Name]])</f>
        <v>Ahmad Aldiyk</v>
      </c>
      <c r="B669" s="41">
        <f ca="1">DATEDIF(Employees!$F669,TODAY(),"Y")</f>
        <v>6</v>
      </c>
      <c r="C669" s="42">
        <v>8</v>
      </c>
      <c r="D669" s="43" t="str">
        <f ca="1">IFERROR(IF(AND(Hardworking_Employee[[#This Row],[Years]]&gt;=5,Hardworking_Employee[[#This Row],[Overtime Hours]]&gt;50),"Yes","No"),"Not Found")</f>
        <v>No</v>
      </c>
    </row>
    <row r="670" spans="1:4" x14ac:dyDescent="0.35">
      <c r="A670" s="36" t="str">
        <f>_xlfn.TEXTJOIN(" ",TRUE,Employees_Data[[#This Row],[First Name]],Employees_Data[[#This Row],[Last Name]])</f>
        <v>Hind Almueasaeas</v>
      </c>
      <c r="B670" s="37">
        <f ca="1">DATEDIF(Employees!$F670,TODAY(),"Y")</f>
        <v>7</v>
      </c>
      <c r="C670" s="38">
        <v>7</v>
      </c>
      <c r="D670" s="39" t="str">
        <f ca="1">IFERROR(IF(AND(Hardworking_Employee[[#This Row],[Years]]&gt;=5,Hardworking_Employee[[#This Row],[Overtime Hours]]&gt;50),"Yes","No"),"Not Found")</f>
        <v>No</v>
      </c>
    </row>
    <row r="671" spans="1:4" x14ac:dyDescent="0.35">
      <c r="A671" s="40" t="str">
        <f>_xlfn.TEXTJOIN(" ",TRUE,Employees_Data[[#This Row],[First Name]],Employees_Data[[#This Row],[Last Name]])</f>
        <v>Dania Earmush</v>
      </c>
      <c r="B671" s="41">
        <f ca="1">DATEDIF(Employees!$F671,TODAY(),"Y")</f>
        <v>6</v>
      </c>
      <c r="C671" s="42">
        <v>1</v>
      </c>
      <c r="D671" s="43" t="str">
        <f ca="1">IFERROR(IF(AND(Hardworking_Employee[[#This Row],[Years]]&gt;=5,Hardworking_Employee[[#This Row],[Overtime Hours]]&gt;50),"Yes","No"),"Not Found")</f>
        <v>No</v>
      </c>
    </row>
    <row r="672" spans="1:4" x14ac:dyDescent="0.35">
      <c r="A672" s="36" t="str">
        <f>_xlfn.TEXTJOIN(" ",TRUE,Employees_Data[[#This Row],[First Name]],Employees_Data[[#This Row],[Last Name]])</f>
        <v>Ayly Bahriin</v>
      </c>
      <c r="B672" s="37">
        <f ca="1">DATEDIF(Employees!$F672,TODAY(),"Y")</f>
        <v>9</v>
      </c>
      <c r="C672" s="38">
        <v>10</v>
      </c>
      <c r="D672" s="39" t="str">
        <f ca="1">IFERROR(IF(AND(Hardworking_Employee[[#This Row],[Years]]&gt;=5,Hardworking_Employee[[#This Row],[Overtime Hours]]&gt;50),"Yes","No"),"Not Found")</f>
        <v>No</v>
      </c>
    </row>
    <row r="673" spans="1:4" x14ac:dyDescent="0.35">
      <c r="A673" s="40" t="str">
        <f>_xlfn.TEXTJOIN(" ",TRUE,Employees_Data[[#This Row],[First Name]],Employees_Data[[#This Row],[Last Name]])</f>
        <v>Jihan Nadir</v>
      </c>
      <c r="B673" s="41">
        <f ca="1">DATEDIF(Employees!$F673,TODAY(),"Y")</f>
        <v>7</v>
      </c>
      <c r="C673" s="42">
        <v>4</v>
      </c>
      <c r="D673" s="43" t="str">
        <f ca="1">IFERROR(IF(AND(Hardworking_Employee[[#This Row],[Years]]&gt;=5,Hardworking_Employee[[#This Row],[Overtime Hours]]&gt;50),"Yes","No"),"Not Found")</f>
        <v>No</v>
      </c>
    </row>
    <row r="674" spans="1:4" x14ac:dyDescent="0.35">
      <c r="A674" s="36" t="str">
        <f>_xlfn.TEXTJOIN(" ",TRUE,Employees_Data[[#This Row],[First Name]],Employees_Data[[#This Row],[Last Name]])</f>
        <v>Muhamad Sharif Aldaghly</v>
      </c>
      <c r="B674" s="37">
        <f ca="1">DATEDIF(Employees!$F674,TODAY(),"Y")</f>
        <v>8</v>
      </c>
      <c r="C674" s="38">
        <v>6</v>
      </c>
      <c r="D674" s="39" t="str">
        <f ca="1">IFERROR(IF(AND(Hardworking_Employee[[#This Row],[Years]]&gt;=5,Hardworking_Employee[[#This Row],[Overtime Hours]]&gt;50),"Yes","No"),"Not Found")</f>
        <v>No</v>
      </c>
    </row>
    <row r="675" spans="1:4" x14ac:dyDescent="0.35">
      <c r="A675" s="40" t="str">
        <f>_xlfn.TEXTJOIN(" ",TRUE,Employees_Data[[#This Row],[First Name]],Employees_Data[[#This Row],[Last Name]])</f>
        <v>Emara bwalsibae</v>
      </c>
      <c r="B675" s="41">
        <f ca="1">DATEDIF(Employees!$F675,TODAY(),"Y")</f>
        <v>8</v>
      </c>
      <c r="C675" s="42">
        <v>1</v>
      </c>
      <c r="D675" s="43" t="str">
        <f ca="1">IFERROR(IF(AND(Hardworking_Employee[[#This Row],[Years]]&gt;=5,Hardworking_Employee[[#This Row],[Overtime Hours]]&gt;50),"Yes","No"),"Not Found")</f>
        <v>No</v>
      </c>
    </row>
    <row r="676" spans="1:4" x14ac:dyDescent="0.35">
      <c r="A676" s="36" t="str">
        <f>_xlfn.TEXTJOIN(" ",TRUE,Employees_Data[[#This Row],[First Name]],Employees_Data[[#This Row],[Last Name]])</f>
        <v>Razzan Alhusayni</v>
      </c>
      <c r="B676" s="37">
        <f ca="1">DATEDIF(Employees!$F676,TODAY(),"Y")</f>
        <v>6</v>
      </c>
      <c r="C676" s="38">
        <v>2</v>
      </c>
      <c r="D676" s="39" t="str">
        <f ca="1">IFERROR(IF(AND(Hardworking_Employee[[#This Row],[Years]]&gt;=5,Hardworking_Employee[[#This Row],[Overtime Hours]]&gt;50),"Yes","No"),"Not Found")</f>
        <v>No</v>
      </c>
    </row>
    <row r="677" spans="1:4" x14ac:dyDescent="0.35">
      <c r="A677" s="40" t="str">
        <f>_xlfn.TEXTJOIN(" ",TRUE,Employees_Data[[#This Row],[First Name]],Employees_Data[[#This Row],[Last Name]])</f>
        <v>Ghassan Aljamal</v>
      </c>
      <c r="B677" s="41">
        <f ca="1">DATEDIF(Employees!$F677,TODAY(),"Y")</f>
        <v>8</v>
      </c>
      <c r="C677" s="42">
        <v>20</v>
      </c>
      <c r="D677" s="43" t="str">
        <f ca="1">IFERROR(IF(AND(Hardworking_Employee[[#This Row],[Years]]&gt;=5,Hardworking_Employee[[#This Row],[Overtime Hours]]&gt;50),"Yes","No"),"Not Found")</f>
        <v>No</v>
      </c>
    </row>
    <row r="678" spans="1:4" x14ac:dyDescent="0.35">
      <c r="A678" s="36" t="str">
        <f>_xlfn.TEXTJOIN(" ",TRUE,Employees_Data[[#This Row],[First Name]],Employees_Data[[#This Row],[Last Name]])</f>
        <v>Omar Kahulus</v>
      </c>
      <c r="B678" s="37">
        <f ca="1">DATEDIF(Employees!$F678,TODAY(),"Y")</f>
        <v>8</v>
      </c>
      <c r="C678" s="38">
        <v>5</v>
      </c>
      <c r="D678" s="39" t="str">
        <f ca="1">IFERROR(IF(AND(Hardworking_Employee[[#This Row],[Years]]&gt;=5,Hardworking_Employee[[#This Row],[Overtime Hours]]&gt;50),"Yes","No"),"Not Found")</f>
        <v>No</v>
      </c>
    </row>
    <row r="679" spans="1:4" x14ac:dyDescent="0.35">
      <c r="A679" s="40" t="str">
        <f>_xlfn.TEXTJOIN(" ",TRUE,Employees_Data[[#This Row],[First Name]],Employees_Data[[#This Row],[Last Name]])</f>
        <v>Amjad Nasir</v>
      </c>
      <c r="B679" s="41">
        <f ca="1">DATEDIF(Employees!$F679,TODAY(),"Y")</f>
        <v>7</v>
      </c>
      <c r="C679" s="42">
        <v>2</v>
      </c>
      <c r="D679" s="43" t="str">
        <f ca="1">IFERROR(IF(AND(Hardworking_Employee[[#This Row],[Years]]&gt;=5,Hardworking_Employee[[#This Row],[Overtime Hours]]&gt;50),"Yes","No"),"Not Found")</f>
        <v>No</v>
      </c>
    </row>
    <row r="680" spans="1:4" x14ac:dyDescent="0.35">
      <c r="A680" s="36" t="str">
        <f>_xlfn.TEXTJOIN(" ",TRUE,Employees_Data[[#This Row],[First Name]],Employees_Data[[#This Row],[Last Name]])</f>
        <v>Iman Ghrz Aldiyn</v>
      </c>
      <c r="B680" s="37">
        <f ca="1">DATEDIF(Employees!$F680,TODAY(),"Y")</f>
        <v>7</v>
      </c>
      <c r="C680" s="38">
        <v>14</v>
      </c>
      <c r="D680" s="39" t="str">
        <f ca="1">IFERROR(IF(AND(Hardworking_Employee[[#This Row],[Years]]&gt;=5,Hardworking_Employee[[#This Row],[Overtime Hours]]&gt;50),"Yes","No"),"Not Found")</f>
        <v>No</v>
      </c>
    </row>
    <row r="681" spans="1:4" x14ac:dyDescent="0.35">
      <c r="A681" s="40" t="str">
        <f>_xlfn.TEXTJOIN(" ",TRUE,Employees_Data[[#This Row],[First Name]],Employees_Data[[#This Row],[Last Name]])</f>
        <v>Alysia Alyaghshiu</v>
      </c>
      <c r="B681" s="41">
        <f ca="1">DATEDIF(Employees!$F681,TODAY(),"Y")</f>
        <v>7</v>
      </c>
      <c r="C681" s="42">
        <v>4</v>
      </c>
      <c r="D681" s="43" t="str">
        <f ca="1">IFERROR(IF(AND(Hardworking_Employee[[#This Row],[Years]]&gt;=5,Hardworking_Employee[[#This Row],[Overtime Hours]]&gt;50),"Yes","No"),"Not Found")</f>
        <v>No</v>
      </c>
    </row>
    <row r="682" spans="1:4" x14ac:dyDescent="0.35">
      <c r="A682" s="36" t="str">
        <f>_xlfn.TEXTJOIN(" ",TRUE,Employees_Data[[#This Row],[First Name]],Employees_Data[[#This Row],[Last Name]])</f>
        <v>Ayham Alqadi</v>
      </c>
      <c r="B682" s="37">
        <f ca="1">DATEDIF(Employees!$F682,TODAY(),"Y")</f>
        <v>6</v>
      </c>
      <c r="C682" s="38">
        <v>4</v>
      </c>
      <c r="D682" s="39" t="str">
        <f ca="1">IFERROR(IF(AND(Hardworking_Employee[[#This Row],[Years]]&gt;=5,Hardworking_Employee[[#This Row],[Overtime Hours]]&gt;50),"Yes","No"),"Not Found")</f>
        <v>No</v>
      </c>
    </row>
    <row r="683" spans="1:4" x14ac:dyDescent="0.35">
      <c r="A683" s="40" t="str">
        <f>_xlfn.TEXTJOIN(" ",TRUE,Employees_Data[[#This Row],[First Name]],Employees_Data[[#This Row],[Last Name]])</f>
        <v>Diea Shuelan</v>
      </c>
      <c r="B683" s="41">
        <f ca="1">DATEDIF(Employees!$F683,TODAY(),"Y")</f>
        <v>7</v>
      </c>
      <c r="C683" s="42">
        <v>7</v>
      </c>
      <c r="D683" s="43" t="str">
        <f ca="1">IFERROR(IF(AND(Hardworking_Employee[[#This Row],[Years]]&gt;=5,Hardworking_Employee[[#This Row],[Overtime Hours]]&gt;50),"Yes","No"),"Not Found")</f>
        <v>No</v>
      </c>
    </row>
    <row r="684" spans="1:4" x14ac:dyDescent="0.35">
      <c r="A684" s="36" t="str">
        <f>_xlfn.TEXTJOIN(" ",TRUE,Employees_Data[[#This Row],[First Name]],Employees_Data[[#This Row],[Last Name]])</f>
        <v>Husam Alsaed</v>
      </c>
      <c r="B684" s="37">
        <f ca="1">DATEDIF(Employees!$F684,TODAY(),"Y")</f>
        <v>10</v>
      </c>
      <c r="C684" s="38">
        <v>2</v>
      </c>
      <c r="D684" s="39" t="str">
        <f ca="1">IFERROR(IF(AND(Hardworking_Employee[[#This Row],[Years]]&gt;=5,Hardworking_Employee[[#This Row],[Overtime Hours]]&gt;50),"Yes","No"),"Not Found")</f>
        <v>No</v>
      </c>
    </row>
    <row r="685" spans="1:4" x14ac:dyDescent="0.35">
      <c r="A685" s="40" t="str">
        <f>_xlfn.TEXTJOIN(" ",TRUE,Employees_Data[[#This Row],[First Name]],Employees_Data[[#This Row],[Last Name]])</f>
        <v>Asd Bwfaeur</v>
      </c>
      <c r="B685" s="41">
        <f ca="1">DATEDIF(Employees!$F685,TODAY(),"Y")</f>
        <v>9</v>
      </c>
      <c r="C685" s="42">
        <v>2</v>
      </c>
      <c r="D685" s="43" t="str">
        <f ca="1">IFERROR(IF(AND(Hardworking_Employee[[#This Row],[Years]]&gt;=5,Hardworking_Employee[[#This Row],[Overtime Hours]]&gt;50),"Yes","No"),"Not Found")</f>
        <v>No</v>
      </c>
    </row>
    <row r="686" spans="1:4" x14ac:dyDescent="0.35">
      <c r="A686" s="36" t="str">
        <f>_xlfn.TEXTJOIN(" ",TRUE,Employees_Data[[#This Row],[First Name]],Employees_Data[[#This Row],[Last Name]])</f>
        <v>Sari Hanna</v>
      </c>
      <c r="B686" s="37">
        <f ca="1">DATEDIF(Employees!$F686,TODAY(),"Y")</f>
        <v>6</v>
      </c>
      <c r="C686" s="38">
        <v>1</v>
      </c>
      <c r="D686" s="39" t="str">
        <f ca="1">IFERROR(IF(AND(Hardworking_Employee[[#This Row],[Years]]&gt;=5,Hardworking_Employee[[#This Row],[Overtime Hours]]&gt;50),"Yes","No"),"Not Found")</f>
        <v>No</v>
      </c>
    </row>
    <row r="687" spans="1:4" x14ac:dyDescent="0.35">
      <c r="A687" s="40" t="str">
        <f>_xlfn.TEXTJOIN(" ",TRUE,Employees_Data[[#This Row],[First Name]],Employees_Data[[#This Row],[Last Name]])</f>
        <v>Eubayda Kayd</v>
      </c>
      <c r="B687" s="41">
        <f ca="1">DATEDIF(Employees!$F687,TODAY(),"Y")</f>
        <v>6</v>
      </c>
      <c r="C687" s="42">
        <v>4</v>
      </c>
      <c r="D687" s="43" t="str">
        <f ca="1">IFERROR(IF(AND(Hardworking_Employee[[#This Row],[Years]]&gt;=5,Hardworking_Employee[[#This Row],[Overtime Hours]]&gt;50),"Yes","No"),"Not Found")</f>
        <v>No</v>
      </c>
    </row>
    <row r="688" spans="1:4" x14ac:dyDescent="0.35">
      <c r="A688" s="36" t="str">
        <f>_xlfn.TEXTJOIN(" ",TRUE,Employees_Data[[#This Row],[First Name]],Employees_Data[[#This Row],[Last Name]])</f>
        <v>Khalil Alkalu</v>
      </c>
      <c r="B688" s="37">
        <f ca="1">DATEDIF(Employees!$F688,TODAY(),"Y")</f>
        <v>9</v>
      </c>
      <c r="C688" s="38">
        <v>0</v>
      </c>
      <c r="D688" s="39" t="str">
        <f ca="1">IFERROR(IF(AND(Hardworking_Employee[[#This Row],[Years]]&gt;=5,Hardworking_Employee[[#This Row],[Overtime Hours]]&gt;50),"Yes","No"),"Not Found")</f>
        <v>No</v>
      </c>
    </row>
    <row r="689" spans="1:4" x14ac:dyDescent="0.35">
      <c r="A689" s="40" t="str">
        <f>_xlfn.TEXTJOIN(" ",TRUE,Employees_Data[[#This Row],[First Name]],Employees_Data[[#This Row],[Last Name]])</f>
        <v>Muhamad Shrbjy</v>
      </c>
      <c r="B689" s="41">
        <f ca="1">DATEDIF(Employees!$F689,TODAY(),"Y")</f>
        <v>8</v>
      </c>
      <c r="C689" s="42">
        <v>10</v>
      </c>
      <c r="D689" s="43" t="str">
        <f ca="1">IFERROR(IF(AND(Hardworking_Employee[[#This Row],[Years]]&gt;=5,Hardworking_Employee[[#This Row],[Overtime Hours]]&gt;50),"Yes","No"),"Not Found")</f>
        <v>No</v>
      </c>
    </row>
    <row r="690" spans="1:4" x14ac:dyDescent="0.35">
      <c r="A690" s="44" t="str">
        <f>_xlfn.TEXTJOIN(" ",TRUE,Employees_Data[[#This Row],[First Name]],Employees_Data[[#This Row],[Last Name]])</f>
        <v>Abd Albasit AlAhmar</v>
      </c>
      <c r="B690" s="45">
        <f ca="1">DATEDIF(Employees!$F690,TODAY(),"Y")</f>
        <v>6</v>
      </c>
      <c r="C690" s="46">
        <v>0</v>
      </c>
      <c r="D690" s="47" t="str">
        <f ca="1">IFERROR(IF(AND(Hardworking_Employee[[#This Row],[Years]]&gt;=5,Hardworking_Employee[[#This Row],[Overtime Hours]]&gt;50),"Yes","No"),"Not Found")</f>
        <v>No</v>
      </c>
    </row>
  </sheetData>
  <conditionalFormatting sqref="A2:A690">
    <cfRule type="containsBlanks" dxfId="16" priority="7">
      <formula>LEN(TRIM(A2))=0</formula>
    </cfRule>
  </conditionalFormatting>
  <conditionalFormatting sqref="B2:B690">
    <cfRule type="containsBlanks" dxfId="15" priority="6">
      <formula>LEN(TRIM(B2))=0</formula>
    </cfRule>
  </conditionalFormatting>
  <conditionalFormatting sqref="C2:C690">
    <cfRule type="containsBlanks" dxfId="14" priority="4">
      <formula>LEN(TRIM(C2))=0</formula>
    </cfRule>
  </conditionalFormatting>
  <conditionalFormatting sqref="D1:D690">
    <cfRule type="containsText" dxfId="13" priority="1" operator="containsText" text="No">
      <formula>NOT(ISERROR(SEARCH("No",D1)))</formula>
    </cfRule>
    <cfRule type="containsText" dxfId="12" priority="2" operator="containsText" text="Yes">
      <formula>NOT(ISERROR(SEARCH("Yes",D1)))</formula>
    </cfRule>
  </conditionalFormatting>
  <conditionalFormatting sqref="D2:D690">
    <cfRule type="containsBlanks" dxfId="11" priority="3">
      <formula>LEN(TRIM(D2))=0</formula>
    </cfRule>
  </conditionalFormatting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4982C-467A-4A57-9F6E-5C0B87CDFD60}">
  <dimension ref="A1:D690"/>
  <sheetViews>
    <sheetView workbookViewId="0">
      <selection activeCell="D3" sqref="D3"/>
    </sheetView>
  </sheetViews>
  <sheetFormatPr defaultRowHeight="15.5" x14ac:dyDescent="0.35"/>
  <cols>
    <col min="1" max="1" width="22.33203125" bestFit="1" customWidth="1"/>
    <col min="2" max="2" width="11.6640625" customWidth="1"/>
    <col min="3" max="3" width="14.5" customWidth="1"/>
    <col min="4" max="4" width="22.08203125" bestFit="1" customWidth="1"/>
  </cols>
  <sheetData>
    <row r="1" spans="1:4" x14ac:dyDescent="0.35">
      <c r="A1" s="32" t="s">
        <v>24</v>
      </c>
      <c r="B1" s="34" t="s">
        <v>18</v>
      </c>
      <c r="C1" s="52" t="s">
        <v>19</v>
      </c>
      <c r="D1" s="34" t="s">
        <v>916</v>
      </c>
    </row>
    <row r="2" spans="1:4" x14ac:dyDescent="0.35">
      <c r="A2" s="36" t="str">
        <f>_xlfn.TEXTJOIN(" ",TRUE,Employees_Data[[#This Row],[First Name]],Employees_Data[[#This Row],[Last Name]])</f>
        <v>Ghadir Hmshw</v>
      </c>
      <c r="B2" s="63">
        <v>1</v>
      </c>
      <c r="C2" s="54">
        <v>0</v>
      </c>
      <c r="D2" s="54" t="str">
        <f>IFERROR(IF(OR(Attendance_Warning[[#This Row],[Sick Leaves]]&gt;3,Attendance_Warning[[#This Row],[Unpaid Leaves]]&gt;3),"Warning","OK"),"Not Found")</f>
        <v>OK</v>
      </c>
    </row>
    <row r="3" spans="1:4" x14ac:dyDescent="0.35">
      <c r="A3" s="40" t="str">
        <f>_xlfn.TEXTJOIN(" ",TRUE,Employees_Data[[#This Row],[First Name]],Employees_Data[[#This Row],[Last Name]])</f>
        <v>Omar Hishan</v>
      </c>
      <c r="B3" s="64">
        <v>0</v>
      </c>
      <c r="C3" s="56">
        <v>5</v>
      </c>
      <c r="D3" s="56" t="str">
        <f>IFERROR(IF(OR(Attendance_Warning[[#This Row],[Sick Leaves]]&gt;3,Attendance_Warning[[#This Row],[Unpaid Leaves]]&gt;3),"Warning","OK"),"Not Found")</f>
        <v>Warning</v>
      </c>
    </row>
    <row r="4" spans="1:4" x14ac:dyDescent="0.35">
      <c r="A4" s="36" t="str">
        <f>_xlfn.TEXTJOIN(" ",TRUE,Employees_Data[[#This Row],[First Name]],Employees_Data[[#This Row],[Last Name]])</f>
        <v>Ailya Sharaf</v>
      </c>
      <c r="B4" s="63">
        <v>0</v>
      </c>
      <c r="C4" s="54">
        <v>3</v>
      </c>
      <c r="D4" s="54" t="str">
        <f>IFERROR(IF(OR(Attendance_Warning[[#This Row],[Sick Leaves]]&gt;3,Attendance_Warning[[#This Row],[Unpaid Leaves]]&gt;3),"Warning","OK"),"Not Found")</f>
        <v>OK</v>
      </c>
    </row>
    <row r="5" spans="1:4" x14ac:dyDescent="0.35">
      <c r="A5" s="40" t="str">
        <f>_xlfn.TEXTJOIN(" ",TRUE,Employees_Data[[#This Row],[First Name]],Employees_Data[[#This Row],[Last Name]])</f>
        <v>Lwiy Qbany</v>
      </c>
      <c r="B5" s="64">
        <v>0</v>
      </c>
      <c r="C5" s="56">
        <v>0</v>
      </c>
      <c r="D5" s="56" t="str">
        <f>IFERROR(IF(OR(Attendance_Warning[[#This Row],[Sick Leaves]]&gt;3,Attendance_Warning[[#This Row],[Unpaid Leaves]]&gt;3),"Warning","OK"),"Not Found")</f>
        <v>OK</v>
      </c>
    </row>
    <row r="6" spans="1:4" x14ac:dyDescent="0.35">
      <c r="A6" s="36" t="str">
        <f>_xlfn.TEXTJOIN(" ",TRUE,Employees_Data[[#This Row],[First Name]],Employees_Data[[#This Row],[Last Name]])</f>
        <v>Ahmad Bikri</v>
      </c>
      <c r="B6" s="63">
        <v>0</v>
      </c>
      <c r="C6" s="54">
        <v>5</v>
      </c>
      <c r="D6" s="54" t="str">
        <f>IFERROR(IF(OR(Attendance_Warning[[#This Row],[Sick Leaves]]&gt;3,Attendance_Warning[[#This Row],[Unpaid Leaves]]&gt;3),"Warning","OK"),"Not Found")</f>
        <v>Warning</v>
      </c>
    </row>
    <row r="7" spans="1:4" x14ac:dyDescent="0.35">
      <c r="A7" s="40" t="str">
        <f>_xlfn.TEXTJOIN(" ",TRUE,Employees_Data[[#This Row],[First Name]],Employees_Data[[#This Row],[Last Name]])</f>
        <v>Muhamad Zueitr</v>
      </c>
      <c r="B7" s="64">
        <v>3</v>
      </c>
      <c r="C7" s="56">
        <v>0</v>
      </c>
      <c r="D7" s="56" t="str">
        <f>IFERROR(IF(OR(Attendance_Warning[[#This Row],[Sick Leaves]]&gt;3,Attendance_Warning[[#This Row],[Unpaid Leaves]]&gt;3),"Warning","OK"),"Not Found")</f>
        <v>OK</v>
      </c>
    </row>
    <row r="8" spans="1:4" x14ac:dyDescent="0.35">
      <c r="A8" s="36" t="str">
        <f>_xlfn.TEXTJOIN(" ",TRUE,Employees_Data[[#This Row],[First Name]],Employees_Data[[#This Row],[Last Name]])</f>
        <v>Iin Alhalaliu</v>
      </c>
      <c r="B8" s="63">
        <v>6</v>
      </c>
      <c r="C8" s="54">
        <v>0</v>
      </c>
      <c r="D8" s="54" t="str">
        <f>IFERROR(IF(OR(Attendance_Warning[[#This Row],[Sick Leaves]]&gt;3,Attendance_Warning[[#This Row],[Unpaid Leaves]]&gt;3),"Warning","OK"),"Not Found")</f>
        <v>Warning</v>
      </c>
    </row>
    <row r="9" spans="1:4" x14ac:dyDescent="0.35">
      <c r="A9" s="40" t="str">
        <f>_xlfn.TEXTJOIN(" ",TRUE,Employees_Data[[#This Row],[First Name]],Employees_Data[[#This Row],[Last Name]])</f>
        <v>Muhamad Alaya</v>
      </c>
      <c r="B9" s="64">
        <v>0</v>
      </c>
      <c r="C9" s="56">
        <v>0</v>
      </c>
      <c r="D9" s="56" t="str">
        <f>IFERROR(IF(OR(Attendance_Warning[[#This Row],[Sick Leaves]]&gt;3,Attendance_Warning[[#This Row],[Unpaid Leaves]]&gt;3),"Warning","OK"),"Not Found")</f>
        <v>OK</v>
      </c>
    </row>
    <row r="10" spans="1:4" x14ac:dyDescent="0.35">
      <c r="A10" s="36" t="str">
        <f>_xlfn.TEXTJOIN(" ",TRUE,Employees_Data[[#This Row],[First Name]],Employees_Data[[#This Row],[Last Name]])</f>
        <v>Susin Almilat</v>
      </c>
      <c r="B10" s="63">
        <v>0</v>
      </c>
      <c r="C10" s="54">
        <v>0</v>
      </c>
      <c r="D10" s="54" t="str">
        <f>IFERROR(IF(OR(Attendance_Warning[[#This Row],[Sick Leaves]]&gt;3,Attendance_Warning[[#This Row],[Unpaid Leaves]]&gt;3),"Warning","OK"),"Not Found")</f>
        <v>OK</v>
      </c>
    </row>
    <row r="11" spans="1:4" x14ac:dyDescent="0.35">
      <c r="A11" s="40" t="str">
        <f>_xlfn.TEXTJOIN(" ",TRUE,Employees_Data[[#This Row],[First Name]],Employees_Data[[#This Row],[Last Name]])</f>
        <v>Muhamad Alrifaei</v>
      </c>
      <c r="B11" s="64">
        <v>1</v>
      </c>
      <c r="C11" s="56">
        <v>0</v>
      </c>
      <c r="D11" s="56" t="str">
        <f>IFERROR(IF(OR(Attendance_Warning[[#This Row],[Sick Leaves]]&gt;3,Attendance_Warning[[#This Row],[Unpaid Leaves]]&gt;3),"Warning","OK"),"Not Found")</f>
        <v>OK</v>
      </c>
    </row>
    <row r="12" spans="1:4" x14ac:dyDescent="0.35">
      <c r="A12" s="36" t="str">
        <f>_xlfn.TEXTJOIN(" ",TRUE,Employees_Data[[#This Row],[First Name]],Employees_Data[[#This Row],[Last Name]])</f>
        <v>Muhamad Alqadah</v>
      </c>
      <c r="B12" s="63">
        <v>5</v>
      </c>
      <c r="C12" s="54">
        <v>0</v>
      </c>
      <c r="D12" s="54" t="str">
        <f>IFERROR(IF(OR(Attendance_Warning[[#This Row],[Sick Leaves]]&gt;3,Attendance_Warning[[#This Row],[Unpaid Leaves]]&gt;3),"Warning","OK"),"Not Found")</f>
        <v>Warning</v>
      </c>
    </row>
    <row r="13" spans="1:4" x14ac:dyDescent="0.35">
      <c r="A13" s="40" t="str">
        <f>_xlfn.TEXTJOIN(" ",TRUE,Employees_Data[[#This Row],[First Name]],Employees_Data[[#This Row],[Last Name]])</f>
        <v>Muhamad Iad</v>
      </c>
      <c r="B13" s="64">
        <v>2</v>
      </c>
      <c r="C13" s="56">
        <v>0</v>
      </c>
      <c r="D13" s="56" t="str">
        <f>IFERROR(IF(OR(Attendance_Warning[[#This Row],[Sick Leaves]]&gt;3,Attendance_Warning[[#This Row],[Unpaid Leaves]]&gt;3),"Warning","OK"),"Not Found")</f>
        <v>OK</v>
      </c>
    </row>
    <row r="14" spans="1:4" x14ac:dyDescent="0.35">
      <c r="A14" s="36" t="str">
        <f>_xlfn.TEXTJOIN(" ",TRUE,Employees_Data[[#This Row],[First Name]],Employees_Data[[#This Row],[Last Name]])</f>
        <v>Razaan Nasif</v>
      </c>
      <c r="B14" s="63">
        <v>6</v>
      </c>
      <c r="C14" s="54">
        <v>0</v>
      </c>
      <c r="D14" s="54" t="str">
        <f>IFERROR(IF(OR(Attendance_Warning[[#This Row],[Sick Leaves]]&gt;3,Attendance_Warning[[#This Row],[Unpaid Leaves]]&gt;3),"Warning","OK"),"Not Found")</f>
        <v>Warning</v>
      </c>
    </row>
    <row r="15" spans="1:4" x14ac:dyDescent="0.35">
      <c r="A15" s="40" t="str">
        <f>_xlfn.TEXTJOIN(" ",TRUE,Employees_Data[[#This Row],[First Name]],Employees_Data[[#This Row],[Last Name]])</f>
        <v>Iilian Dbs</v>
      </c>
      <c r="B15" s="64">
        <v>1</v>
      </c>
      <c r="C15" s="56">
        <v>0</v>
      </c>
      <c r="D15" s="56" t="str">
        <f>IFERROR(IF(OR(Attendance_Warning[[#This Row],[Sick Leaves]]&gt;3,Attendance_Warning[[#This Row],[Unpaid Leaves]]&gt;3),"Warning","OK"),"Not Found")</f>
        <v>OK</v>
      </c>
    </row>
    <row r="16" spans="1:4" x14ac:dyDescent="0.35">
      <c r="A16" s="36" t="str">
        <f>_xlfn.TEXTJOIN(" ",TRUE,Employees_Data[[#This Row],[First Name]],Employees_Data[[#This Row],[Last Name]])</f>
        <v>Bayan Qdw</v>
      </c>
      <c r="B16" s="63">
        <v>1</v>
      </c>
      <c r="C16" s="54">
        <v>1</v>
      </c>
      <c r="D16" s="54" t="str">
        <f>IFERROR(IF(OR(Attendance_Warning[[#This Row],[Sick Leaves]]&gt;3,Attendance_Warning[[#This Row],[Unpaid Leaves]]&gt;3),"Warning","OK"),"Not Found")</f>
        <v>OK</v>
      </c>
    </row>
    <row r="17" spans="1:4" x14ac:dyDescent="0.35">
      <c r="A17" s="40" t="str">
        <f>_xlfn.TEXTJOIN(" ",TRUE,Employees_Data[[#This Row],[First Name]],Employees_Data[[#This Row],[Last Name]])</f>
        <v>Alaa Muhamad</v>
      </c>
      <c r="B17" s="64">
        <v>0</v>
      </c>
      <c r="C17" s="56">
        <v>0</v>
      </c>
      <c r="D17" s="56" t="str">
        <f>IFERROR(IF(OR(Attendance_Warning[[#This Row],[Sick Leaves]]&gt;3,Attendance_Warning[[#This Row],[Unpaid Leaves]]&gt;3),"Warning","OK"),"Not Found")</f>
        <v>OK</v>
      </c>
    </row>
    <row r="18" spans="1:4" x14ac:dyDescent="0.35">
      <c r="A18" s="36" t="str">
        <f>_xlfn.TEXTJOIN(" ",TRUE,Employees_Data[[#This Row],[First Name]],Employees_Data[[#This Row],[Last Name]])</f>
        <v>Sandra Aljurmqaniu</v>
      </c>
      <c r="B18" s="63">
        <v>0</v>
      </c>
      <c r="C18" s="54">
        <v>0</v>
      </c>
      <c r="D18" s="54" t="str">
        <f>IFERROR(IF(OR(Attendance_Warning[[#This Row],[Sick Leaves]]&gt;3,Attendance_Warning[[#This Row],[Unpaid Leaves]]&gt;3),"Warning","OK"),"Not Found")</f>
        <v>OK</v>
      </c>
    </row>
    <row r="19" spans="1:4" x14ac:dyDescent="0.35">
      <c r="A19" s="40" t="str">
        <f>_xlfn.TEXTJOIN(" ",TRUE,Employees_Data[[#This Row],[First Name]],Employees_Data[[#This Row],[Last Name]])</f>
        <v>Farahad Husayn</v>
      </c>
      <c r="B19" s="64">
        <v>4</v>
      </c>
      <c r="C19" s="56">
        <v>0</v>
      </c>
      <c r="D19" s="56" t="str">
        <f>IFERROR(IF(OR(Attendance_Warning[[#This Row],[Sick Leaves]]&gt;3,Attendance_Warning[[#This Row],[Unpaid Leaves]]&gt;3),"Warning","OK"),"Not Found")</f>
        <v>Warning</v>
      </c>
    </row>
    <row r="20" spans="1:4" x14ac:dyDescent="0.35">
      <c r="A20" s="36" t="str">
        <f>_xlfn.TEXTJOIN(" ",TRUE,Employees_Data[[#This Row],[First Name]],Employees_Data[[#This Row],[Last Name]])</f>
        <v>Ahed Salim</v>
      </c>
      <c r="B20" s="63">
        <v>0</v>
      </c>
      <c r="C20" s="54">
        <v>0</v>
      </c>
      <c r="D20" s="54" t="str">
        <f>IFERROR(IF(OR(Attendance_Warning[[#This Row],[Sick Leaves]]&gt;3,Attendance_Warning[[#This Row],[Unpaid Leaves]]&gt;3),"Warning","OK"),"Not Found")</f>
        <v>OK</v>
      </c>
    </row>
    <row r="21" spans="1:4" x14ac:dyDescent="0.35">
      <c r="A21" s="40" t="str">
        <f>_xlfn.TEXTJOIN(" ",TRUE,Employees_Data[[#This Row],[First Name]],Employees_Data[[#This Row],[Last Name]])</f>
        <v>Ayham Tutwnji</v>
      </c>
      <c r="B21" s="64">
        <v>6</v>
      </c>
      <c r="C21" s="56">
        <v>0</v>
      </c>
      <c r="D21" s="56" t="str">
        <f>IFERROR(IF(OR(Attendance_Warning[[#This Row],[Sick Leaves]]&gt;3,Attendance_Warning[[#This Row],[Unpaid Leaves]]&gt;3),"Warning","OK"),"Not Found")</f>
        <v>Warning</v>
      </c>
    </row>
    <row r="22" spans="1:4" x14ac:dyDescent="0.35">
      <c r="A22" s="36" t="str">
        <f>_xlfn.TEXTJOIN(" ",TRUE,Employees_Data[[#This Row],[First Name]],Employees_Data[[#This Row],[Last Name]])</f>
        <v>Samir Alsafdi</v>
      </c>
      <c r="B22" s="63">
        <v>0</v>
      </c>
      <c r="C22" s="54">
        <v>0</v>
      </c>
      <c r="D22" s="54" t="str">
        <f>IFERROR(IF(OR(Attendance_Warning[[#This Row],[Sick Leaves]]&gt;3,Attendance_Warning[[#This Row],[Unpaid Leaves]]&gt;3),"Warning","OK"),"Not Found")</f>
        <v>OK</v>
      </c>
    </row>
    <row r="23" spans="1:4" x14ac:dyDescent="0.35">
      <c r="A23" s="40" t="str">
        <f>_xlfn.TEXTJOIN(" ",TRUE,Employees_Data[[#This Row],[First Name]],Employees_Data[[#This Row],[Last Name]])</f>
        <v>Bilal Jalal</v>
      </c>
      <c r="B23" s="64">
        <v>4</v>
      </c>
      <c r="C23" s="56">
        <v>0</v>
      </c>
      <c r="D23" s="56" t="str">
        <f>IFERROR(IF(OR(Attendance_Warning[[#This Row],[Sick Leaves]]&gt;3,Attendance_Warning[[#This Row],[Unpaid Leaves]]&gt;3),"Warning","OK"),"Not Found")</f>
        <v>Warning</v>
      </c>
    </row>
    <row r="24" spans="1:4" x14ac:dyDescent="0.35">
      <c r="A24" s="36" t="str">
        <f>_xlfn.TEXTJOIN(" ",TRUE,Employees_Data[[#This Row],[First Name]],Employees_Data[[#This Row],[Last Name]])</f>
        <v>Riad Sahalul</v>
      </c>
      <c r="B24" s="63">
        <v>0</v>
      </c>
      <c r="C24" s="54">
        <v>0</v>
      </c>
      <c r="D24" s="54" t="str">
        <f>IFERROR(IF(OR(Attendance_Warning[[#This Row],[Sick Leaves]]&gt;3,Attendance_Warning[[#This Row],[Unpaid Leaves]]&gt;3),"Warning","OK"),"Not Found")</f>
        <v>OK</v>
      </c>
    </row>
    <row r="25" spans="1:4" x14ac:dyDescent="0.35">
      <c r="A25" s="40" t="str">
        <f>_xlfn.TEXTJOIN(" ",TRUE,Employees_Data[[#This Row],[First Name]],Employees_Data[[#This Row],[Last Name]])</f>
        <v>Ahmad Ahmad</v>
      </c>
      <c r="B25" s="64">
        <v>1</v>
      </c>
      <c r="C25" s="56">
        <v>0</v>
      </c>
      <c r="D25" s="56" t="str">
        <f>IFERROR(IF(OR(Attendance_Warning[[#This Row],[Sick Leaves]]&gt;3,Attendance_Warning[[#This Row],[Unpaid Leaves]]&gt;3),"Warning","OK"),"Not Found")</f>
        <v>OK</v>
      </c>
    </row>
    <row r="26" spans="1:4" x14ac:dyDescent="0.35">
      <c r="A26" s="36" t="str">
        <f>_xlfn.TEXTJOIN(" ",TRUE,Employees_Data[[#This Row],[First Name]],Employees_Data[[#This Row],[Last Name]])</f>
        <v>Muhamad Altarah</v>
      </c>
      <c r="B26" s="63">
        <v>6</v>
      </c>
      <c r="C26" s="54">
        <v>0</v>
      </c>
      <c r="D26" s="54" t="str">
        <f>IFERROR(IF(OR(Attendance_Warning[[#This Row],[Sick Leaves]]&gt;3,Attendance_Warning[[#This Row],[Unpaid Leaves]]&gt;3),"Warning","OK"),"Not Found")</f>
        <v>Warning</v>
      </c>
    </row>
    <row r="27" spans="1:4" x14ac:dyDescent="0.35">
      <c r="A27" s="40" t="str">
        <f>_xlfn.TEXTJOIN(" ",TRUE,Employees_Data[[#This Row],[First Name]],Employees_Data[[#This Row],[Last Name]])</f>
        <v>Lwna Abu</v>
      </c>
      <c r="B27" s="64">
        <v>0</v>
      </c>
      <c r="C27" s="56">
        <v>0</v>
      </c>
      <c r="D27" s="56" t="str">
        <f>IFERROR(IF(OR(Attendance_Warning[[#This Row],[Sick Leaves]]&gt;3,Attendance_Warning[[#This Row],[Unpaid Leaves]]&gt;3),"Warning","OK"),"Not Found")</f>
        <v>OK</v>
      </c>
    </row>
    <row r="28" spans="1:4" x14ac:dyDescent="0.35">
      <c r="A28" s="36" t="str">
        <f>_xlfn.TEXTJOIN(" ",TRUE,Employees_Data[[#This Row],[First Name]],Employees_Data[[#This Row],[Last Name]])</f>
        <v>Jalal Almuluhi</v>
      </c>
      <c r="B28" s="63">
        <v>0</v>
      </c>
      <c r="C28" s="54">
        <v>0</v>
      </c>
      <c r="D28" s="54" t="str">
        <f>IFERROR(IF(OR(Attendance_Warning[[#This Row],[Sick Leaves]]&gt;3,Attendance_Warning[[#This Row],[Unpaid Leaves]]&gt;3),"Warning","OK"),"Not Found")</f>
        <v>OK</v>
      </c>
    </row>
    <row r="29" spans="1:4" x14ac:dyDescent="0.35">
      <c r="A29" s="40" t="str">
        <f>_xlfn.TEXTJOIN(" ",TRUE,Employees_Data[[#This Row],[First Name]],Employees_Data[[#This Row],[Last Name]])</f>
        <v>Rana Mius</v>
      </c>
      <c r="B29" s="64">
        <v>1</v>
      </c>
      <c r="C29" s="56">
        <v>0</v>
      </c>
      <c r="D29" s="56" t="str">
        <f>IFERROR(IF(OR(Attendance_Warning[[#This Row],[Sick Leaves]]&gt;3,Attendance_Warning[[#This Row],[Unpaid Leaves]]&gt;3),"Warning","OK"),"Not Found")</f>
        <v>OK</v>
      </c>
    </row>
    <row r="30" spans="1:4" x14ac:dyDescent="0.35">
      <c r="A30" s="36" t="str">
        <f>_xlfn.TEXTJOIN(" ",TRUE,Employees_Data[[#This Row],[First Name]],Employees_Data[[#This Row],[Last Name]])</f>
        <v>Lina Aljabaan</v>
      </c>
      <c r="B30" s="63">
        <v>0</v>
      </c>
      <c r="C30" s="54">
        <v>1</v>
      </c>
      <c r="D30" s="54" t="str">
        <f>IFERROR(IF(OR(Attendance_Warning[[#This Row],[Sick Leaves]]&gt;3,Attendance_Warning[[#This Row],[Unpaid Leaves]]&gt;3),"Warning","OK"),"Not Found")</f>
        <v>OK</v>
      </c>
    </row>
    <row r="31" spans="1:4" x14ac:dyDescent="0.35">
      <c r="A31" s="40" t="str">
        <f>_xlfn.TEXTJOIN(" ",TRUE,Employees_Data[[#This Row],[First Name]],Employees_Data[[#This Row],[Last Name]])</f>
        <v>Rami Shanan</v>
      </c>
      <c r="B31" s="64">
        <v>0</v>
      </c>
      <c r="C31" s="56">
        <v>0</v>
      </c>
      <c r="D31" s="56" t="str">
        <f>IFERROR(IF(OR(Attendance_Warning[[#This Row],[Sick Leaves]]&gt;3,Attendance_Warning[[#This Row],[Unpaid Leaves]]&gt;3),"Warning","OK"),"Not Found")</f>
        <v>OK</v>
      </c>
    </row>
    <row r="32" spans="1:4" x14ac:dyDescent="0.35">
      <c r="A32" s="36" t="str">
        <f>_xlfn.TEXTJOIN(" ",TRUE,Employees_Data[[#This Row],[First Name]],Employees_Data[[#This Row],[Last Name]])</f>
        <v>Eala Alhaj</v>
      </c>
      <c r="B32" s="63">
        <v>0</v>
      </c>
      <c r="C32" s="54">
        <v>0</v>
      </c>
      <c r="D32" s="54" t="str">
        <f>IFERROR(IF(OR(Attendance_Warning[[#This Row],[Sick Leaves]]&gt;3,Attendance_Warning[[#This Row],[Unpaid Leaves]]&gt;3),"Warning","OK"),"Not Found")</f>
        <v>OK</v>
      </c>
    </row>
    <row r="33" spans="1:4" x14ac:dyDescent="0.35">
      <c r="A33" s="40" t="str">
        <f>_xlfn.TEXTJOIN(" ",TRUE,Employees_Data[[#This Row],[First Name]],Employees_Data[[#This Row],[Last Name]])</f>
        <v>Ghalib Zakianiin</v>
      </c>
      <c r="B33" s="64">
        <v>0</v>
      </c>
      <c r="C33" s="56">
        <v>5</v>
      </c>
      <c r="D33" s="56" t="str">
        <f>IFERROR(IF(OR(Attendance_Warning[[#This Row],[Sick Leaves]]&gt;3,Attendance_Warning[[#This Row],[Unpaid Leaves]]&gt;3),"Warning","OK"),"Not Found")</f>
        <v>Warning</v>
      </c>
    </row>
    <row r="34" spans="1:4" x14ac:dyDescent="0.35">
      <c r="A34" s="36" t="str">
        <f>_xlfn.TEXTJOIN(" ",TRUE,Employees_Data[[#This Row],[First Name]],Employees_Data[[#This Row],[Last Name]])</f>
        <v>Muhamad Eurul</v>
      </c>
      <c r="B34" s="63">
        <v>0</v>
      </c>
      <c r="C34" s="54">
        <v>0</v>
      </c>
      <c r="D34" s="54" t="str">
        <f>IFERROR(IF(OR(Attendance_Warning[[#This Row],[Sick Leaves]]&gt;3,Attendance_Warning[[#This Row],[Unpaid Leaves]]&gt;3),"Warning","OK"),"Not Found")</f>
        <v>OK</v>
      </c>
    </row>
    <row r="35" spans="1:4" x14ac:dyDescent="0.35">
      <c r="A35" s="40" t="str">
        <f>_xlfn.TEXTJOIN(" ",TRUE,Employees_Data[[#This Row],[First Name]],Employees_Data[[#This Row],[Last Name]])</f>
        <v>Eizat Ghanim</v>
      </c>
      <c r="B35" s="64">
        <v>0</v>
      </c>
      <c r="C35" s="56">
        <v>0</v>
      </c>
      <c r="D35" s="56" t="str">
        <f>IFERROR(IF(OR(Attendance_Warning[[#This Row],[Sick Leaves]]&gt;3,Attendance_Warning[[#This Row],[Unpaid Leaves]]&gt;3),"Warning","OK"),"Not Found")</f>
        <v>OK</v>
      </c>
    </row>
    <row r="36" spans="1:4" x14ac:dyDescent="0.35">
      <c r="A36" s="36" t="str">
        <f>_xlfn.TEXTJOIN(" ",TRUE,Employees_Data[[#This Row],[First Name]],Employees_Data[[#This Row],[Last Name]])</f>
        <v>Ahmad Swyd</v>
      </c>
      <c r="B36" s="63">
        <v>1</v>
      </c>
      <c r="C36" s="54">
        <v>0</v>
      </c>
      <c r="D36" s="54" t="str">
        <f>IFERROR(IF(OR(Attendance_Warning[[#This Row],[Sick Leaves]]&gt;3,Attendance_Warning[[#This Row],[Unpaid Leaves]]&gt;3),"Warning","OK"),"Not Found")</f>
        <v>OK</v>
      </c>
    </row>
    <row r="37" spans="1:4" x14ac:dyDescent="0.35">
      <c r="A37" s="40" t="str">
        <f>_xlfn.TEXTJOIN(" ",TRUE,Employees_Data[[#This Row],[First Name]],Employees_Data[[#This Row],[Last Name]])</f>
        <v>Muhamad Aleass</v>
      </c>
      <c r="B37" s="64">
        <v>6</v>
      </c>
      <c r="C37" s="56">
        <v>0</v>
      </c>
      <c r="D37" s="56" t="str">
        <f>IFERROR(IF(OR(Attendance_Warning[[#This Row],[Sick Leaves]]&gt;3,Attendance_Warning[[#This Row],[Unpaid Leaves]]&gt;3),"Warning","OK"),"Not Found")</f>
        <v>Warning</v>
      </c>
    </row>
    <row r="38" spans="1:4" x14ac:dyDescent="0.35">
      <c r="A38" s="36" t="str">
        <f>_xlfn.TEXTJOIN(" ",TRUE,Employees_Data[[#This Row],[First Name]],Employees_Data[[#This Row],[Last Name]])</f>
        <v>Rima AlAsfar</v>
      </c>
      <c r="B38" s="63">
        <v>0</v>
      </c>
      <c r="C38" s="54">
        <v>3</v>
      </c>
      <c r="D38" s="54" t="str">
        <f>IFERROR(IF(OR(Attendance_Warning[[#This Row],[Sick Leaves]]&gt;3,Attendance_Warning[[#This Row],[Unpaid Leaves]]&gt;3),"Warning","OK"),"Not Found")</f>
        <v>OK</v>
      </c>
    </row>
    <row r="39" spans="1:4" x14ac:dyDescent="0.35">
      <c r="A39" s="40" t="str">
        <f>_xlfn.TEXTJOIN(" ",TRUE,Employees_Data[[#This Row],[First Name]],Employees_Data[[#This Row],[Last Name]])</f>
        <v>Zayn Aleabdyn Zaetar</v>
      </c>
      <c r="B39" s="64">
        <v>1</v>
      </c>
      <c r="C39" s="56">
        <v>0</v>
      </c>
      <c r="D39" s="56" t="str">
        <f>IFERROR(IF(OR(Attendance_Warning[[#This Row],[Sick Leaves]]&gt;3,Attendance_Warning[[#This Row],[Unpaid Leaves]]&gt;3),"Warning","OK"),"Not Found")</f>
        <v>OK</v>
      </c>
    </row>
    <row r="40" spans="1:4" x14ac:dyDescent="0.35">
      <c r="A40" s="36" t="str">
        <f>_xlfn.TEXTJOIN(" ",TRUE,Employees_Data[[#This Row],[First Name]],Employees_Data[[#This Row],[Last Name]])</f>
        <v>Hazim Alshshatim</v>
      </c>
      <c r="B40" s="63">
        <v>0</v>
      </c>
      <c r="C40" s="54">
        <v>0</v>
      </c>
      <c r="D40" s="54" t="str">
        <f>IFERROR(IF(OR(Attendance_Warning[[#This Row],[Sick Leaves]]&gt;3,Attendance_Warning[[#This Row],[Unpaid Leaves]]&gt;3),"Warning","OK"),"Not Found")</f>
        <v>OK</v>
      </c>
    </row>
    <row r="41" spans="1:4" x14ac:dyDescent="0.35">
      <c r="A41" s="40" t="str">
        <f>_xlfn.TEXTJOIN(" ",TRUE,Employees_Data[[#This Row],[First Name]],Employees_Data[[#This Row],[Last Name]])</f>
        <v>Dia Alshahf</v>
      </c>
      <c r="B41" s="64">
        <v>0</v>
      </c>
      <c r="C41" s="56">
        <v>0</v>
      </c>
      <c r="D41" s="56" t="str">
        <f>IFERROR(IF(OR(Attendance_Warning[[#This Row],[Sick Leaves]]&gt;3,Attendance_Warning[[#This Row],[Unpaid Leaves]]&gt;3),"Warning","OK"),"Not Found")</f>
        <v>OK</v>
      </c>
    </row>
    <row r="42" spans="1:4" x14ac:dyDescent="0.35">
      <c r="A42" s="36" t="str">
        <f>_xlfn.TEXTJOIN(" ",TRUE,Employees_Data[[#This Row],[First Name]],Employees_Data[[#This Row],[Last Name]])</f>
        <v>Ayham Almusaa</v>
      </c>
      <c r="B42" s="63">
        <v>0</v>
      </c>
      <c r="C42" s="54">
        <v>0</v>
      </c>
      <c r="D42" s="54" t="str">
        <f>IFERROR(IF(OR(Attendance_Warning[[#This Row],[Sick Leaves]]&gt;3,Attendance_Warning[[#This Row],[Unpaid Leaves]]&gt;3),"Warning","OK"),"Not Found")</f>
        <v>OK</v>
      </c>
    </row>
    <row r="43" spans="1:4" x14ac:dyDescent="0.35">
      <c r="A43" s="40" t="str">
        <f>_xlfn.TEXTJOIN(" ",TRUE,Employees_Data[[#This Row],[First Name]],Employees_Data[[#This Row],[Last Name]])</f>
        <v>Abd Allatif Mabrukh</v>
      </c>
      <c r="B43" s="64">
        <v>0</v>
      </c>
      <c r="C43" s="56">
        <v>0</v>
      </c>
      <c r="D43" s="56" t="str">
        <f>IFERROR(IF(OR(Attendance_Warning[[#This Row],[Sick Leaves]]&gt;3,Attendance_Warning[[#This Row],[Unpaid Leaves]]&gt;3),"Warning","OK"),"Not Found")</f>
        <v>OK</v>
      </c>
    </row>
    <row r="44" spans="1:4" x14ac:dyDescent="0.35">
      <c r="A44" s="36" t="str">
        <f>_xlfn.TEXTJOIN(" ",TRUE,Employees_Data[[#This Row],[First Name]],Employees_Data[[#This Row],[Last Name]])</f>
        <v>Salim Abumaeun</v>
      </c>
      <c r="B44" s="63">
        <v>0</v>
      </c>
      <c r="C44" s="54">
        <v>0</v>
      </c>
      <c r="D44" s="54" t="str">
        <f>IFERROR(IF(OR(Attendance_Warning[[#This Row],[Sick Leaves]]&gt;3,Attendance_Warning[[#This Row],[Unpaid Leaves]]&gt;3),"Warning","OK"),"Not Found")</f>
        <v>OK</v>
      </c>
    </row>
    <row r="45" spans="1:4" x14ac:dyDescent="0.35">
      <c r="A45" s="40" t="str">
        <f>_xlfn.TEXTJOIN(" ",TRUE,Employees_Data[[#This Row],[First Name]],Employees_Data[[#This Row],[Last Name]])</f>
        <v>Rafat Hamza</v>
      </c>
      <c r="B45" s="64">
        <v>0</v>
      </c>
      <c r="C45" s="56">
        <v>0</v>
      </c>
      <c r="D45" s="56" t="str">
        <f>IFERROR(IF(OR(Attendance_Warning[[#This Row],[Sick Leaves]]&gt;3,Attendance_Warning[[#This Row],[Unpaid Leaves]]&gt;3),"Warning","OK"),"Not Found")</f>
        <v>OK</v>
      </c>
    </row>
    <row r="46" spans="1:4" x14ac:dyDescent="0.35">
      <c r="A46" s="36" t="str">
        <f>_xlfn.TEXTJOIN(" ",TRUE,Employees_Data[[#This Row],[First Name]],Employees_Data[[#This Row],[Last Name]])</f>
        <v>Ahmad Laylana</v>
      </c>
      <c r="B46" s="63">
        <v>5</v>
      </c>
      <c r="C46" s="54">
        <v>6</v>
      </c>
      <c r="D46" s="54" t="str">
        <f>IFERROR(IF(OR(Attendance_Warning[[#This Row],[Sick Leaves]]&gt;3,Attendance_Warning[[#This Row],[Unpaid Leaves]]&gt;3),"Warning","OK"),"Not Found")</f>
        <v>Warning</v>
      </c>
    </row>
    <row r="47" spans="1:4" x14ac:dyDescent="0.35">
      <c r="A47" s="40" t="str">
        <f>_xlfn.TEXTJOIN(" ",TRUE,Employees_Data[[#This Row],[First Name]],Employees_Data[[#This Row],[Last Name]])</f>
        <v>Lobnaa Khalifih</v>
      </c>
      <c r="B47" s="64">
        <v>0</v>
      </c>
      <c r="C47" s="56">
        <v>0</v>
      </c>
      <c r="D47" s="56" t="str">
        <f>IFERROR(IF(OR(Attendance_Warning[[#This Row],[Sick Leaves]]&gt;3,Attendance_Warning[[#This Row],[Unpaid Leaves]]&gt;3),"Warning","OK"),"Not Found")</f>
        <v>OK</v>
      </c>
    </row>
    <row r="48" spans="1:4" x14ac:dyDescent="0.35">
      <c r="A48" s="36" t="str">
        <f>_xlfn.TEXTJOIN(" ",TRUE,Employees_Data[[#This Row],[First Name]],Employees_Data[[#This Row],[Last Name]])</f>
        <v>Sami Alkhujih</v>
      </c>
      <c r="B48" s="63">
        <v>0</v>
      </c>
      <c r="C48" s="54">
        <v>0</v>
      </c>
      <c r="D48" s="54" t="str">
        <f>IFERROR(IF(OR(Attendance_Warning[[#This Row],[Sick Leaves]]&gt;3,Attendance_Warning[[#This Row],[Unpaid Leaves]]&gt;3),"Warning","OK"),"Not Found")</f>
        <v>OK</v>
      </c>
    </row>
    <row r="49" spans="1:4" x14ac:dyDescent="0.35">
      <c r="A49" s="40" t="str">
        <f>_xlfn.TEXTJOIN(" ",TRUE,Employees_Data[[#This Row],[First Name]],Employees_Data[[#This Row],[Last Name]])</f>
        <v>Salam Alealbi</v>
      </c>
      <c r="B49" s="64">
        <v>1</v>
      </c>
      <c r="C49" s="56">
        <v>0</v>
      </c>
      <c r="D49" s="56" t="str">
        <f>IFERROR(IF(OR(Attendance_Warning[[#This Row],[Sick Leaves]]&gt;3,Attendance_Warning[[#This Row],[Unpaid Leaves]]&gt;3),"Warning","OK"),"Not Found")</f>
        <v>OK</v>
      </c>
    </row>
    <row r="50" spans="1:4" x14ac:dyDescent="0.35">
      <c r="A50" s="36" t="str">
        <f>_xlfn.TEXTJOIN(" ",TRUE,Employees_Data[[#This Row],[First Name]],Employees_Data[[#This Row],[Last Name]])</f>
        <v>Rim Almusaa</v>
      </c>
      <c r="B50" s="63">
        <v>0</v>
      </c>
      <c r="C50" s="54">
        <v>0</v>
      </c>
      <c r="D50" s="54" t="str">
        <f>IFERROR(IF(OR(Attendance_Warning[[#This Row],[Sick Leaves]]&gt;3,Attendance_Warning[[#This Row],[Unpaid Leaves]]&gt;3),"Warning","OK"),"Not Found")</f>
        <v>OK</v>
      </c>
    </row>
    <row r="51" spans="1:4" x14ac:dyDescent="0.35">
      <c r="A51" s="40" t="str">
        <f>_xlfn.TEXTJOIN(" ",TRUE,Employees_Data[[#This Row],[First Name]],Employees_Data[[#This Row],[Last Name]])</f>
        <v>Ghada Aleasimii</v>
      </c>
      <c r="B51" s="64">
        <v>0</v>
      </c>
      <c r="C51" s="56">
        <v>4</v>
      </c>
      <c r="D51" s="56" t="str">
        <f>IFERROR(IF(OR(Attendance_Warning[[#This Row],[Sick Leaves]]&gt;3,Attendance_Warning[[#This Row],[Unpaid Leaves]]&gt;3),"Warning","OK"),"Not Found")</f>
        <v>Warning</v>
      </c>
    </row>
    <row r="52" spans="1:4" x14ac:dyDescent="0.35">
      <c r="A52" s="36" t="str">
        <f>_xlfn.TEXTJOIN(" ",TRUE,Employees_Data[[#This Row],[First Name]],Employees_Data[[#This Row],[Last Name]])</f>
        <v>Abd Alwahhab Muhamad</v>
      </c>
      <c r="B52" s="63">
        <v>3</v>
      </c>
      <c r="C52" s="54">
        <v>0</v>
      </c>
      <c r="D52" s="54" t="str">
        <f>IFERROR(IF(OR(Attendance_Warning[[#This Row],[Sick Leaves]]&gt;3,Attendance_Warning[[#This Row],[Unpaid Leaves]]&gt;3),"Warning","OK"),"Not Found")</f>
        <v>OK</v>
      </c>
    </row>
    <row r="53" spans="1:4" x14ac:dyDescent="0.35">
      <c r="A53" s="40" t="str">
        <f>_xlfn.TEXTJOIN(" ",TRUE,Employees_Data[[#This Row],[First Name]],Employees_Data[[#This Row],[Last Name]])</f>
        <v>Ayman Eubayd</v>
      </c>
      <c r="B53" s="64">
        <v>0</v>
      </c>
      <c r="C53" s="56">
        <v>0</v>
      </c>
      <c r="D53" s="56" t="str">
        <f>IFERROR(IF(OR(Attendance_Warning[[#This Row],[Sick Leaves]]&gt;3,Attendance_Warning[[#This Row],[Unpaid Leaves]]&gt;3),"Warning","OK"),"Not Found")</f>
        <v>OK</v>
      </c>
    </row>
    <row r="54" spans="1:4" x14ac:dyDescent="0.35">
      <c r="A54" s="36" t="str">
        <f>_xlfn.TEXTJOIN(" ",TRUE,Employees_Data[[#This Row],[First Name]],Employees_Data[[#This Row],[Last Name]])</f>
        <v>Faras Karim</v>
      </c>
      <c r="B54" s="63">
        <v>0</v>
      </c>
      <c r="C54" s="54">
        <v>0</v>
      </c>
      <c r="D54" s="54" t="str">
        <f>IFERROR(IF(OR(Attendance_Warning[[#This Row],[Sick Leaves]]&gt;3,Attendance_Warning[[#This Row],[Unpaid Leaves]]&gt;3),"Warning","OK"),"Not Found")</f>
        <v>OK</v>
      </c>
    </row>
    <row r="55" spans="1:4" x14ac:dyDescent="0.35">
      <c r="A55" s="40" t="str">
        <f>_xlfn.TEXTJOIN(" ",TRUE,Employees_Data[[#This Row],[First Name]],Employees_Data[[#This Row],[Last Name]])</f>
        <v>Shadi Salayk</v>
      </c>
      <c r="B55" s="64">
        <v>3</v>
      </c>
      <c r="C55" s="56">
        <v>6</v>
      </c>
      <c r="D55" s="56" t="str">
        <f>IFERROR(IF(OR(Attendance_Warning[[#This Row],[Sick Leaves]]&gt;3,Attendance_Warning[[#This Row],[Unpaid Leaves]]&gt;3),"Warning","OK"),"Not Found")</f>
        <v>Warning</v>
      </c>
    </row>
    <row r="56" spans="1:4" x14ac:dyDescent="0.35">
      <c r="A56" s="36" t="str">
        <f>_xlfn.TEXTJOIN(" ",TRUE,Employees_Data[[#This Row],[First Name]],Employees_Data[[#This Row],[Last Name]])</f>
        <v>Eubay Alttahir</v>
      </c>
      <c r="B56" s="63">
        <v>6</v>
      </c>
      <c r="C56" s="54">
        <v>0</v>
      </c>
      <c r="D56" s="54" t="str">
        <f>IFERROR(IF(OR(Attendance_Warning[[#This Row],[Sick Leaves]]&gt;3,Attendance_Warning[[#This Row],[Unpaid Leaves]]&gt;3),"Warning","OK"),"Not Found")</f>
        <v>Warning</v>
      </c>
    </row>
    <row r="57" spans="1:4" x14ac:dyDescent="0.35">
      <c r="A57" s="40" t="str">
        <f>_xlfn.TEXTJOIN(" ",TRUE,Employees_Data[[#This Row],[First Name]],Employees_Data[[#This Row],[Last Name]])</f>
        <v>Abd Alhadi Alzzahir</v>
      </c>
      <c r="B57" s="64">
        <v>3</v>
      </c>
      <c r="C57" s="56">
        <v>0</v>
      </c>
      <c r="D57" s="56" t="str">
        <f>IFERROR(IF(OR(Attendance_Warning[[#This Row],[Sick Leaves]]&gt;3,Attendance_Warning[[#This Row],[Unpaid Leaves]]&gt;3),"Warning","OK"),"Not Found")</f>
        <v>OK</v>
      </c>
    </row>
    <row r="58" spans="1:4" x14ac:dyDescent="0.35">
      <c r="A58" s="36" t="str">
        <f>_xlfn.TEXTJOIN(" ",TRUE,Employees_Data[[#This Row],[First Name]],Employees_Data[[#This Row],[Last Name]])</f>
        <v>Majdulin Ashbrh</v>
      </c>
      <c r="B58" s="63">
        <v>5</v>
      </c>
      <c r="C58" s="54">
        <v>0</v>
      </c>
      <c r="D58" s="54" t="str">
        <f>IFERROR(IF(OR(Attendance_Warning[[#This Row],[Sick Leaves]]&gt;3,Attendance_Warning[[#This Row],[Unpaid Leaves]]&gt;3),"Warning","OK"),"Not Found")</f>
        <v>Warning</v>
      </c>
    </row>
    <row r="59" spans="1:4" x14ac:dyDescent="0.35">
      <c r="A59" s="40" t="str">
        <f>_xlfn.TEXTJOIN(" ",TRUE,Employees_Data[[#This Row],[First Name]],Employees_Data[[#This Row],[Last Name]])</f>
        <v>Aylyn Dahadal</v>
      </c>
      <c r="B59" s="64">
        <v>0</v>
      </c>
      <c r="C59" s="56">
        <v>0</v>
      </c>
      <c r="D59" s="56" t="str">
        <f>IFERROR(IF(OR(Attendance_Warning[[#This Row],[Sick Leaves]]&gt;3,Attendance_Warning[[#This Row],[Unpaid Leaves]]&gt;3),"Warning","OK"),"Not Found")</f>
        <v>OK</v>
      </c>
    </row>
    <row r="60" spans="1:4" x14ac:dyDescent="0.35">
      <c r="A60" s="36" t="str">
        <f>_xlfn.TEXTJOIN(" ",TRUE,Employees_Data[[#This Row],[First Name]],Employees_Data[[#This Row],[Last Name]])</f>
        <v>Tala Tuish</v>
      </c>
      <c r="B60" s="63">
        <v>0</v>
      </c>
      <c r="C60" s="54">
        <v>0</v>
      </c>
      <c r="D60" s="54" t="str">
        <f>IFERROR(IF(OR(Attendance_Warning[[#This Row],[Sick Leaves]]&gt;3,Attendance_Warning[[#This Row],[Unpaid Leaves]]&gt;3),"Warning","OK"),"Not Found")</f>
        <v>OK</v>
      </c>
    </row>
    <row r="61" spans="1:4" x14ac:dyDescent="0.35">
      <c r="A61" s="40" t="str">
        <f>_xlfn.TEXTJOIN(" ",TRUE,Employees_Data[[#This Row],[First Name]],Employees_Data[[#This Row],[Last Name]])</f>
        <v>Muhamad Qarh</v>
      </c>
      <c r="B61" s="64">
        <v>0</v>
      </c>
      <c r="C61" s="56">
        <v>0</v>
      </c>
      <c r="D61" s="56" t="str">
        <f>IFERROR(IF(OR(Attendance_Warning[[#This Row],[Sick Leaves]]&gt;3,Attendance_Warning[[#This Row],[Unpaid Leaves]]&gt;3),"Warning","OK"),"Not Found")</f>
        <v>OK</v>
      </c>
    </row>
    <row r="62" spans="1:4" x14ac:dyDescent="0.35">
      <c r="A62" s="36" t="str">
        <f>_xlfn.TEXTJOIN(" ",TRUE,Employees_Data[[#This Row],[First Name]],Employees_Data[[#This Row],[Last Name]])</f>
        <v>Eala Almisri</v>
      </c>
      <c r="B62" s="63">
        <v>0</v>
      </c>
      <c r="C62" s="54">
        <v>0</v>
      </c>
      <c r="D62" s="54" t="str">
        <f>IFERROR(IF(OR(Attendance_Warning[[#This Row],[Sick Leaves]]&gt;3,Attendance_Warning[[#This Row],[Unpaid Leaves]]&gt;3),"Warning","OK"),"Not Found")</f>
        <v>OK</v>
      </c>
    </row>
    <row r="63" spans="1:4" x14ac:dyDescent="0.35">
      <c r="A63" s="40" t="str">
        <f>_xlfn.TEXTJOIN(" ",TRUE,Employees_Data[[#This Row],[First Name]],Employees_Data[[#This Row],[Last Name]])</f>
        <v>Muhamad Alzaybq</v>
      </c>
      <c r="B63" s="64">
        <v>5</v>
      </c>
      <c r="C63" s="56">
        <v>0</v>
      </c>
      <c r="D63" s="56" t="str">
        <f>IFERROR(IF(OR(Attendance_Warning[[#This Row],[Sick Leaves]]&gt;3,Attendance_Warning[[#This Row],[Unpaid Leaves]]&gt;3),"Warning","OK"),"Not Found")</f>
        <v>Warning</v>
      </c>
    </row>
    <row r="64" spans="1:4" x14ac:dyDescent="0.35">
      <c r="A64" s="36" t="str">
        <f>_xlfn.TEXTJOIN(" ",TRUE,Employees_Data[[#This Row],[First Name]],Employees_Data[[#This Row],[Last Name]])</f>
        <v>Muhamad Asamy</v>
      </c>
      <c r="B64" s="63">
        <v>6</v>
      </c>
      <c r="C64" s="54">
        <v>4</v>
      </c>
      <c r="D64" s="54" t="str">
        <f>IFERROR(IF(OR(Attendance_Warning[[#This Row],[Sick Leaves]]&gt;3,Attendance_Warning[[#This Row],[Unpaid Leaves]]&gt;3),"Warning","OK"),"Not Found")</f>
        <v>Warning</v>
      </c>
    </row>
    <row r="65" spans="1:4" x14ac:dyDescent="0.35">
      <c r="A65" s="40" t="str">
        <f>_xlfn.TEXTJOIN(" ",TRUE,Employees_Data[[#This Row],[First Name]],Employees_Data[[#This Row],[Last Name]])</f>
        <v>Ahmad Alealbi</v>
      </c>
      <c r="B65" s="64">
        <v>5</v>
      </c>
      <c r="C65" s="56">
        <v>0</v>
      </c>
      <c r="D65" s="56" t="str">
        <f>IFERROR(IF(OR(Attendance_Warning[[#This Row],[Sick Leaves]]&gt;3,Attendance_Warning[[#This Row],[Unpaid Leaves]]&gt;3),"Warning","OK"),"Not Found")</f>
        <v>Warning</v>
      </c>
    </row>
    <row r="66" spans="1:4" x14ac:dyDescent="0.35">
      <c r="A66" s="36" t="str">
        <f>_xlfn.TEXTJOIN(" ",TRUE,Employees_Data[[#This Row],[First Name]],Employees_Data[[#This Row],[Last Name]])</f>
        <v>Ibrahim Almasri</v>
      </c>
      <c r="B66" s="63">
        <v>0</v>
      </c>
      <c r="C66" s="54">
        <v>0</v>
      </c>
      <c r="D66" s="54" t="str">
        <f>IFERROR(IF(OR(Attendance_Warning[[#This Row],[Sick Leaves]]&gt;3,Attendance_Warning[[#This Row],[Unpaid Leaves]]&gt;3),"Warning","OK"),"Not Found")</f>
        <v>OK</v>
      </c>
    </row>
    <row r="67" spans="1:4" x14ac:dyDescent="0.35">
      <c r="A67" s="40" t="str">
        <f>_xlfn.TEXTJOIN(" ",TRUE,Employees_Data[[#This Row],[First Name]],Employees_Data[[#This Row],[Last Name]])</f>
        <v>Hamdah Alkhalifa</v>
      </c>
      <c r="B67" s="64">
        <v>2</v>
      </c>
      <c r="C67" s="56">
        <v>0</v>
      </c>
      <c r="D67" s="56" t="str">
        <f>IFERROR(IF(OR(Attendance_Warning[[#This Row],[Sick Leaves]]&gt;3,Attendance_Warning[[#This Row],[Unpaid Leaves]]&gt;3),"Warning","OK"),"Not Found")</f>
        <v>OK</v>
      </c>
    </row>
    <row r="68" spans="1:4" x14ac:dyDescent="0.35">
      <c r="A68" s="36" t="str">
        <f>_xlfn.TEXTJOIN(" ",TRUE,Employees_Data[[#This Row],[First Name]],Employees_Data[[#This Row],[Last Name]])</f>
        <v>Muhamad Jawish</v>
      </c>
      <c r="B68" s="63">
        <v>4</v>
      </c>
      <c r="C68" s="54">
        <v>3</v>
      </c>
      <c r="D68" s="54" t="str">
        <f>IFERROR(IF(OR(Attendance_Warning[[#This Row],[Sick Leaves]]&gt;3,Attendance_Warning[[#This Row],[Unpaid Leaves]]&gt;3),"Warning","OK"),"Not Found")</f>
        <v>Warning</v>
      </c>
    </row>
    <row r="69" spans="1:4" x14ac:dyDescent="0.35">
      <c r="A69" s="40" t="str">
        <f>_xlfn.TEXTJOIN(" ",TRUE,Employees_Data[[#This Row],[First Name]],Employees_Data[[#This Row],[Last Name]])</f>
        <v>Muwmin Almudhin</v>
      </c>
      <c r="B69" s="64">
        <v>0</v>
      </c>
      <c r="C69" s="56">
        <v>4</v>
      </c>
      <c r="D69" s="56" t="str">
        <f>IFERROR(IF(OR(Attendance_Warning[[#This Row],[Sick Leaves]]&gt;3,Attendance_Warning[[#This Row],[Unpaid Leaves]]&gt;3),"Warning","OK"),"Not Found")</f>
        <v>Warning</v>
      </c>
    </row>
    <row r="70" spans="1:4" x14ac:dyDescent="0.35">
      <c r="A70" s="36" t="str">
        <f>_xlfn.TEXTJOIN(" ",TRUE,Employees_Data[[#This Row],[First Name]],Employees_Data[[#This Row],[Last Name]])</f>
        <v>Ahmad Zayd</v>
      </c>
      <c r="B70" s="63">
        <v>0</v>
      </c>
      <c r="C70" s="54">
        <v>3</v>
      </c>
      <c r="D70" s="54" t="str">
        <f>IFERROR(IF(OR(Attendance_Warning[[#This Row],[Sick Leaves]]&gt;3,Attendance_Warning[[#This Row],[Unpaid Leaves]]&gt;3),"Warning","OK"),"Not Found")</f>
        <v>OK</v>
      </c>
    </row>
    <row r="71" spans="1:4" x14ac:dyDescent="0.35">
      <c r="A71" s="40" t="str">
        <f>_xlfn.TEXTJOIN(" ",TRUE,Employees_Data[[#This Row],[First Name]],Employees_Data[[#This Row],[Last Name]])</f>
        <v>Layzaan Nabulsi</v>
      </c>
      <c r="B71" s="64">
        <v>6</v>
      </c>
      <c r="C71" s="56">
        <v>0</v>
      </c>
      <c r="D71" s="56" t="str">
        <f>IFERROR(IF(OR(Attendance_Warning[[#This Row],[Sick Leaves]]&gt;3,Attendance_Warning[[#This Row],[Unpaid Leaves]]&gt;3),"Warning","OK"),"Not Found")</f>
        <v>Warning</v>
      </c>
    </row>
    <row r="72" spans="1:4" x14ac:dyDescent="0.35">
      <c r="A72" s="36" t="str">
        <f>_xlfn.TEXTJOIN(" ",TRUE,Employees_Data[[#This Row],[First Name]],Employees_Data[[#This Row],[Last Name]])</f>
        <v>Sarih Eammar</v>
      </c>
      <c r="B72" s="63">
        <v>5</v>
      </c>
      <c r="C72" s="54">
        <v>0</v>
      </c>
      <c r="D72" s="54" t="str">
        <f>IFERROR(IF(OR(Attendance_Warning[[#This Row],[Sick Leaves]]&gt;3,Attendance_Warning[[#This Row],[Unpaid Leaves]]&gt;3),"Warning","OK"),"Not Found")</f>
        <v>Warning</v>
      </c>
    </row>
    <row r="73" spans="1:4" x14ac:dyDescent="0.35">
      <c r="A73" s="40" t="str">
        <f>_xlfn.TEXTJOIN(" ",TRUE,Employees_Data[[#This Row],[First Name]],Employees_Data[[#This Row],[Last Name]])</f>
        <v>Karam Hutayniun</v>
      </c>
      <c r="B73" s="64">
        <v>1</v>
      </c>
      <c r="C73" s="56">
        <v>0</v>
      </c>
      <c r="D73" s="56" t="str">
        <f>IFERROR(IF(OR(Attendance_Warning[[#This Row],[Sick Leaves]]&gt;3,Attendance_Warning[[#This Row],[Unpaid Leaves]]&gt;3),"Warning","OK"),"Not Found")</f>
        <v>OK</v>
      </c>
    </row>
    <row r="74" spans="1:4" x14ac:dyDescent="0.35">
      <c r="A74" s="36" t="str">
        <f>_xlfn.TEXTJOIN(" ",TRUE,Employees_Data[[#This Row],[First Name]],Employees_Data[[#This Row],[Last Name]])</f>
        <v>Shahad Shanan</v>
      </c>
      <c r="B74" s="63">
        <v>0</v>
      </c>
      <c r="C74" s="54">
        <v>2</v>
      </c>
      <c r="D74" s="54" t="str">
        <f>IFERROR(IF(OR(Attendance_Warning[[#This Row],[Sick Leaves]]&gt;3,Attendance_Warning[[#This Row],[Unpaid Leaves]]&gt;3),"Warning","OK"),"Not Found")</f>
        <v>OK</v>
      </c>
    </row>
    <row r="75" spans="1:4" x14ac:dyDescent="0.35">
      <c r="A75" s="40" t="str">
        <f>_xlfn.TEXTJOIN(" ",TRUE,Employees_Data[[#This Row],[First Name]],Employees_Data[[#This Row],[Last Name]])</f>
        <v>Salah Ramadan</v>
      </c>
      <c r="B75" s="64">
        <v>5</v>
      </c>
      <c r="C75" s="56">
        <v>1</v>
      </c>
      <c r="D75" s="56" t="str">
        <f>IFERROR(IF(OR(Attendance_Warning[[#This Row],[Sick Leaves]]&gt;3,Attendance_Warning[[#This Row],[Unpaid Leaves]]&gt;3),"Warning","OK"),"Not Found")</f>
        <v>Warning</v>
      </c>
    </row>
    <row r="76" spans="1:4" x14ac:dyDescent="0.35">
      <c r="A76" s="36" t="str">
        <f>_xlfn.TEXTJOIN(" ",TRUE,Employees_Data[[#This Row],[First Name]],Employees_Data[[#This Row],[Last Name]])</f>
        <v>Sami Alkhayrat</v>
      </c>
      <c r="B76" s="63">
        <v>6</v>
      </c>
      <c r="C76" s="54">
        <v>1</v>
      </c>
      <c r="D76" s="54" t="str">
        <f>IFERROR(IF(OR(Attendance_Warning[[#This Row],[Sick Leaves]]&gt;3,Attendance_Warning[[#This Row],[Unpaid Leaves]]&gt;3),"Warning","OK"),"Not Found")</f>
        <v>Warning</v>
      </c>
    </row>
    <row r="77" spans="1:4" x14ac:dyDescent="0.35">
      <c r="A77" s="40" t="str">
        <f>_xlfn.TEXTJOIN(" ",TRUE,Employees_Data[[#This Row],[First Name]],Employees_Data[[#This Row],[Last Name]])</f>
        <v>Khalid Snan</v>
      </c>
      <c r="B77" s="64">
        <v>0</v>
      </c>
      <c r="C77" s="56">
        <v>0</v>
      </c>
      <c r="D77" s="56" t="str">
        <f>IFERROR(IF(OR(Attendance_Warning[[#This Row],[Sick Leaves]]&gt;3,Attendance_Warning[[#This Row],[Unpaid Leaves]]&gt;3),"Warning","OK"),"Not Found")</f>
        <v>OK</v>
      </c>
    </row>
    <row r="78" spans="1:4" x14ac:dyDescent="0.35">
      <c r="A78" s="36" t="str">
        <f>_xlfn.TEXTJOIN(" ",TRUE,Employees_Data[[#This Row],[First Name]],Employees_Data[[#This Row],[Last Name]])</f>
        <v>Salam Alkhatib</v>
      </c>
      <c r="B78" s="63">
        <v>0</v>
      </c>
      <c r="C78" s="54">
        <v>3</v>
      </c>
      <c r="D78" s="54" t="str">
        <f>IFERROR(IF(OR(Attendance_Warning[[#This Row],[Sick Leaves]]&gt;3,Attendance_Warning[[#This Row],[Unpaid Leaves]]&gt;3),"Warning","OK"),"Not Found")</f>
        <v>OK</v>
      </c>
    </row>
    <row r="79" spans="1:4" x14ac:dyDescent="0.35">
      <c r="A79" s="40" t="str">
        <f>_xlfn.TEXTJOIN(" ",TRUE,Employees_Data[[#This Row],[First Name]],Employees_Data[[#This Row],[Last Name]])</f>
        <v>Darar Alshiyraziu</v>
      </c>
      <c r="B79" s="64">
        <v>6</v>
      </c>
      <c r="C79" s="56">
        <v>0</v>
      </c>
      <c r="D79" s="56" t="str">
        <f>IFERROR(IF(OR(Attendance_Warning[[#This Row],[Sick Leaves]]&gt;3,Attendance_Warning[[#This Row],[Unpaid Leaves]]&gt;3),"Warning","OK"),"Not Found")</f>
        <v>Warning</v>
      </c>
    </row>
    <row r="80" spans="1:4" x14ac:dyDescent="0.35">
      <c r="A80" s="36" t="str">
        <f>_xlfn.TEXTJOIN(" ",TRUE,Employees_Data[[#This Row],[First Name]],Employees_Data[[#This Row],[Last Name]])</f>
        <v>Mazin Yusif</v>
      </c>
      <c r="B80" s="63">
        <v>0</v>
      </c>
      <c r="C80" s="54">
        <v>0</v>
      </c>
      <c r="D80" s="54" t="str">
        <f>IFERROR(IF(OR(Attendance_Warning[[#This Row],[Sick Leaves]]&gt;3,Attendance_Warning[[#This Row],[Unpaid Leaves]]&gt;3),"Warning","OK"),"Not Found")</f>
        <v>OK</v>
      </c>
    </row>
    <row r="81" spans="1:4" x14ac:dyDescent="0.35">
      <c r="A81" s="40" t="str">
        <f>_xlfn.TEXTJOIN(" ",TRUE,Employees_Data[[#This Row],[First Name]],Employees_Data[[#This Row],[Last Name]])</f>
        <v>Rasha Naeim</v>
      </c>
      <c r="B81" s="64">
        <v>0</v>
      </c>
      <c r="C81" s="56">
        <v>0</v>
      </c>
      <c r="D81" s="56" t="str">
        <f>IFERROR(IF(OR(Attendance_Warning[[#This Row],[Sick Leaves]]&gt;3,Attendance_Warning[[#This Row],[Unpaid Leaves]]&gt;3),"Warning","OK"),"Not Found")</f>
        <v>OK</v>
      </c>
    </row>
    <row r="82" spans="1:4" x14ac:dyDescent="0.35">
      <c r="A82" s="36" t="str">
        <f>_xlfn.TEXTJOIN(" ",TRUE,Employees_Data[[#This Row],[First Name]],Employees_Data[[#This Row],[Last Name]])</f>
        <v>Eamra Alshueranii</v>
      </c>
      <c r="B82" s="63">
        <v>0</v>
      </c>
      <c r="C82" s="54">
        <v>2</v>
      </c>
      <c r="D82" s="54" t="str">
        <f>IFERROR(IF(OR(Attendance_Warning[[#This Row],[Sick Leaves]]&gt;3,Attendance_Warning[[#This Row],[Unpaid Leaves]]&gt;3),"Warning","OK"),"Not Found")</f>
        <v>OK</v>
      </c>
    </row>
    <row r="83" spans="1:4" x14ac:dyDescent="0.35">
      <c r="A83" s="40" t="str">
        <f>_xlfn.TEXTJOIN(" ",TRUE,Employees_Data[[#This Row],[First Name]],Employees_Data[[#This Row],[Last Name]])</f>
        <v>Amira Akrym</v>
      </c>
      <c r="B83" s="64">
        <v>3</v>
      </c>
      <c r="C83" s="56">
        <v>0</v>
      </c>
      <c r="D83" s="56" t="str">
        <f>IFERROR(IF(OR(Attendance_Warning[[#This Row],[Sick Leaves]]&gt;3,Attendance_Warning[[#This Row],[Unpaid Leaves]]&gt;3),"Warning","OK"),"Not Found")</f>
        <v>OK</v>
      </c>
    </row>
    <row r="84" spans="1:4" x14ac:dyDescent="0.35">
      <c r="A84" s="36" t="str">
        <f>_xlfn.TEXTJOIN(" ",TRUE,Employees_Data[[#This Row],[First Name]],Employees_Data[[#This Row],[Last Name]])</f>
        <v>Muhamad Hamzat</v>
      </c>
      <c r="B84" s="63">
        <v>0</v>
      </c>
      <c r="C84" s="54">
        <v>0</v>
      </c>
      <c r="D84" s="54" t="str">
        <f>IFERROR(IF(OR(Attendance_Warning[[#This Row],[Sick Leaves]]&gt;3,Attendance_Warning[[#This Row],[Unpaid Leaves]]&gt;3),"Warning","OK"),"Not Found")</f>
        <v>OK</v>
      </c>
    </row>
    <row r="85" spans="1:4" x14ac:dyDescent="0.35">
      <c r="A85" s="40" t="str">
        <f>_xlfn.TEXTJOIN(" ",TRUE,Employees_Data[[#This Row],[First Name]],Employees_Data[[#This Row],[Last Name]])</f>
        <v>Muhamad Khayr</v>
      </c>
      <c r="B85" s="64">
        <v>0</v>
      </c>
      <c r="C85" s="56">
        <v>0</v>
      </c>
      <c r="D85" s="56" t="str">
        <f>IFERROR(IF(OR(Attendance_Warning[[#This Row],[Sick Leaves]]&gt;3,Attendance_Warning[[#This Row],[Unpaid Leaves]]&gt;3),"Warning","OK"),"Not Found")</f>
        <v>OK</v>
      </c>
    </row>
    <row r="86" spans="1:4" x14ac:dyDescent="0.35">
      <c r="A86" s="36" t="str">
        <f>_xlfn.TEXTJOIN(" ",TRUE,Employees_Data[[#This Row],[First Name]],Employees_Data[[#This Row],[Last Name]])</f>
        <v>Abd Almalik Nazal</v>
      </c>
      <c r="B86" s="63">
        <v>0</v>
      </c>
      <c r="C86" s="54">
        <v>0</v>
      </c>
      <c r="D86" s="54" t="str">
        <f>IFERROR(IF(OR(Attendance_Warning[[#This Row],[Sick Leaves]]&gt;3,Attendance_Warning[[#This Row],[Unpaid Leaves]]&gt;3),"Warning","OK"),"Not Found")</f>
        <v>OK</v>
      </c>
    </row>
    <row r="87" spans="1:4" x14ac:dyDescent="0.35">
      <c r="A87" s="40" t="str">
        <f>_xlfn.TEXTJOIN(" ",TRUE,Employees_Data[[#This Row],[First Name]],Employees_Data[[#This Row],[Last Name]])</f>
        <v>Rabya Kiwan</v>
      </c>
      <c r="B87" s="64">
        <v>0</v>
      </c>
      <c r="C87" s="56">
        <v>0</v>
      </c>
      <c r="D87" s="56" t="str">
        <f>IFERROR(IF(OR(Attendance_Warning[[#This Row],[Sick Leaves]]&gt;3,Attendance_Warning[[#This Row],[Unpaid Leaves]]&gt;3),"Warning","OK"),"Not Found")</f>
        <v>OK</v>
      </c>
    </row>
    <row r="88" spans="1:4" x14ac:dyDescent="0.35">
      <c r="A88" s="36" t="str">
        <f>_xlfn.TEXTJOIN(" ",TRUE,Employees_Data[[#This Row],[First Name]],Employees_Data[[#This Row],[Last Name]])</f>
        <v>Muhamad Khayr</v>
      </c>
      <c r="B88" s="63">
        <v>0</v>
      </c>
      <c r="C88" s="54">
        <v>4</v>
      </c>
      <c r="D88" s="54" t="str">
        <f>IFERROR(IF(OR(Attendance_Warning[[#This Row],[Sick Leaves]]&gt;3,Attendance_Warning[[#This Row],[Unpaid Leaves]]&gt;3),"Warning","OK"),"Not Found")</f>
        <v>Warning</v>
      </c>
    </row>
    <row r="89" spans="1:4" x14ac:dyDescent="0.35">
      <c r="A89" s="40" t="str">
        <f>_xlfn.TEXTJOIN(" ",TRUE,Employees_Data[[#This Row],[First Name]],Employees_Data[[#This Row],[Last Name]])</f>
        <v>Samah Almaydanii</v>
      </c>
      <c r="B89" s="64">
        <v>0</v>
      </c>
      <c r="C89" s="56">
        <v>0</v>
      </c>
      <c r="D89" s="56" t="str">
        <f>IFERROR(IF(OR(Attendance_Warning[[#This Row],[Sick Leaves]]&gt;3,Attendance_Warning[[#This Row],[Unpaid Leaves]]&gt;3),"Warning","OK"),"Not Found")</f>
        <v>OK</v>
      </c>
    </row>
    <row r="90" spans="1:4" x14ac:dyDescent="0.35">
      <c r="A90" s="36" t="str">
        <f>_xlfn.TEXTJOIN(" ",TRUE,Employees_Data[[#This Row],[First Name]],Employees_Data[[#This Row],[Last Name]])</f>
        <v>Ali Watar</v>
      </c>
      <c r="B90" s="63">
        <v>5</v>
      </c>
      <c r="C90" s="54">
        <v>4</v>
      </c>
      <c r="D90" s="54" t="str">
        <f>IFERROR(IF(OR(Attendance_Warning[[#This Row],[Sick Leaves]]&gt;3,Attendance_Warning[[#This Row],[Unpaid Leaves]]&gt;3),"Warning","OK"),"Not Found")</f>
        <v>Warning</v>
      </c>
    </row>
    <row r="91" spans="1:4" x14ac:dyDescent="0.35">
      <c r="A91" s="40" t="str">
        <f>_xlfn.TEXTJOIN(" ",TRUE,Employees_Data[[#This Row],[First Name]],Employees_Data[[#This Row],[Last Name]])</f>
        <v>Darin Ghunum</v>
      </c>
      <c r="B91" s="64">
        <v>6</v>
      </c>
      <c r="C91" s="56">
        <v>1</v>
      </c>
      <c r="D91" s="56" t="str">
        <f>IFERROR(IF(OR(Attendance_Warning[[#This Row],[Sick Leaves]]&gt;3,Attendance_Warning[[#This Row],[Unpaid Leaves]]&gt;3),"Warning","OK"),"Not Found")</f>
        <v>Warning</v>
      </c>
    </row>
    <row r="92" spans="1:4" x14ac:dyDescent="0.35">
      <c r="A92" s="36" t="str">
        <f>_xlfn.TEXTJOIN(" ",TRUE,Employees_Data[[#This Row],[First Name]],Employees_Data[[#This Row],[Last Name]])</f>
        <v>Faras Alhamal</v>
      </c>
      <c r="B92" s="63">
        <v>6</v>
      </c>
      <c r="C92" s="54">
        <v>1</v>
      </c>
      <c r="D92" s="54" t="str">
        <f>IFERROR(IF(OR(Attendance_Warning[[#This Row],[Sick Leaves]]&gt;3,Attendance_Warning[[#This Row],[Unpaid Leaves]]&gt;3),"Warning","OK"),"Not Found")</f>
        <v>Warning</v>
      </c>
    </row>
    <row r="93" spans="1:4" x14ac:dyDescent="0.35">
      <c r="A93" s="40" t="str">
        <f>_xlfn.TEXTJOIN(" ",TRUE,Employees_Data[[#This Row],[First Name]],Employees_Data[[#This Row],[Last Name]])</f>
        <v>Amal Asamy</v>
      </c>
      <c r="B93" s="64">
        <v>1</v>
      </c>
      <c r="C93" s="56">
        <v>0</v>
      </c>
      <c r="D93" s="56" t="str">
        <f>IFERROR(IF(OR(Attendance_Warning[[#This Row],[Sick Leaves]]&gt;3,Attendance_Warning[[#This Row],[Unpaid Leaves]]&gt;3),"Warning","OK"),"Not Found")</f>
        <v>OK</v>
      </c>
    </row>
    <row r="94" spans="1:4" x14ac:dyDescent="0.35">
      <c r="A94" s="36" t="str">
        <f>_xlfn.TEXTJOIN(" ",TRUE,Employees_Data[[#This Row],[First Name]],Employees_Data[[#This Row],[Last Name]])</f>
        <v>Razan AlAhmad</v>
      </c>
      <c r="B94" s="63">
        <v>4</v>
      </c>
      <c r="C94" s="54">
        <v>0</v>
      </c>
      <c r="D94" s="54" t="str">
        <f>IFERROR(IF(OR(Attendance_Warning[[#This Row],[Sick Leaves]]&gt;3,Attendance_Warning[[#This Row],[Unpaid Leaves]]&gt;3),"Warning","OK"),"Not Found")</f>
        <v>Warning</v>
      </c>
    </row>
    <row r="95" spans="1:4" x14ac:dyDescent="0.35">
      <c r="A95" s="40" t="str">
        <f>_xlfn.TEXTJOIN(" ",TRUE,Employees_Data[[#This Row],[First Name]],Employees_Data[[#This Row],[Last Name]])</f>
        <v>Muhamad Kharasah</v>
      </c>
      <c r="B95" s="64">
        <v>6</v>
      </c>
      <c r="C95" s="56">
        <v>0</v>
      </c>
      <c r="D95" s="56" t="str">
        <f>IFERROR(IF(OR(Attendance_Warning[[#This Row],[Sick Leaves]]&gt;3,Attendance_Warning[[#This Row],[Unpaid Leaves]]&gt;3),"Warning","OK"),"Not Found")</f>
        <v>Warning</v>
      </c>
    </row>
    <row r="96" spans="1:4" x14ac:dyDescent="0.35">
      <c r="A96" s="36" t="str">
        <f>_xlfn.TEXTJOIN(" ",TRUE,Employees_Data[[#This Row],[First Name]],Employees_Data[[#This Row],[Last Name]])</f>
        <v>Tariq Bryghl</v>
      </c>
      <c r="B96" s="63">
        <v>1</v>
      </c>
      <c r="C96" s="54">
        <v>0</v>
      </c>
      <c r="D96" s="54" t="str">
        <f>IFERROR(IF(OR(Attendance_Warning[[#This Row],[Sick Leaves]]&gt;3,Attendance_Warning[[#This Row],[Unpaid Leaves]]&gt;3),"Warning","OK"),"Not Found")</f>
        <v>OK</v>
      </c>
    </row>
    <row r="97" spans="1:4" x14ac:dyDescent="0.35">
      <c r="A97" s="40" t="str">
        <f>_xlfn.TEXTJOIN(" ",TRUE,Employees_Data[[#This Row],[First Name]],Employees_Data[[#This Row],[Last Name]])</f>
        <v>Muhamad Husayn</v>
      </c>
      <c r="B97" s="64">
        <v>0</v>
      </c>
      <c r="C97" s="56">
        <v>5</v>
      </c>
      <c r="D97" s="56" t="str">
        <f>IFERROR(IF(OR(Attendance_Warning[[#This Row],[Sick Leaves]]&gt;3,Attendance_Warning[[#This Row],[Unpaid Leaves]]&gt;3),"Warning","OK"),"Not Found")</f>
        <v>Warning</v>
      </c>
    </row>
    <row r="98" spans="1:4" x14ac:dyDescent="0.35">
      <c r="A98" s="36" t="str">
        <f>_xlfn.TEXTJOIN(" ",TRUE,Employees_Data[[#This Row],[First Name]],Employees_Data[[#This Row],[Last Name]])</f>
        <v>Fadi Aleid</v>
      </c>
      <c r="B98" s="63">
        <v>3</v>
      </c>
      <c r="C98" s="54">
        <v>0</v>
      </c>
      <c r="D98" s="54" t="str">
        <f>IFERROR(IF(OR(Attendance_Warning[[#This Row],[Sick Leaves]]&gt;3,Attendance_Warning[[#This Row],[Unpaid Leaves]]&gt;3),"Warning","OK"),"Not Found")</f>
        <v>OK</v>
      </c>
    </row>
    <row r="99" spans="1:4" x14ac:dyDescent="0.35">
      <c r="A99" s="40" t="str">
        <f>_xlfn.TEXTJOIN(" ",TRUE,Employees_Data[[#This Row],[First Name]],Employees_Data[[#This Row],[Last Name]])</f>
        <v>Tariq Abuzahir</v>
      </c>
      <c r="B99" s="64">
        <v>6</v>
      </c>
      <c r="C99" s="56">
        <v>0</v>
      </c>
      <c r="D99" s="56" t="str">
        <f>IFERROR(IF(OR(Attendance_Warning[[#This Row],[Sick Leaves]]&gt;3,Attendance_Warning[[#This Row],[Unpaid Leaves]]&gt;3),"Warning","OK"),"Not Found")</f>
        <v>Warning</v>
      </c>
    </row>
    <row r="100" spans="1:4" x14ac:dyDescent="0.35">
      <c r="A100" s="36" t="str">
        <f>_xlfn.TEXTJOIN(" ",TRUE,Employees_Data[[#This Row],[First Name]],Employees_Data[[#This Row],[Last Name]])</f>
        <v>Mazin Eubayd</v>
      </c>
      <c r="B100" s="63">
        <v>0</v>
      </c>
      <c r="C100" s="54">
        <v>0</v>
      </c>
      <c r="D100" s="54" t="str">
        <f>IFERROR(IF(OR(Attendance_Warning[[#This Row],[Sick Leaves]]&gt;3,Attendance_Warning[[#This Row],[Unpaid Leaves]]&gt;3),"Warning","OK"),"Not Found")</f>
        <v>OK</v>
      </c>
    </row>
    <row r="101" spans="1:4" x14ac:dyDescent="0.35">
      <c r="A101" s="40" t="str">
        <f>_xlfn.TEXTJOIN(" ",TRUE,Employees_Data[[#This Row],[First Name]],Employees_Data[[#This Row],[Last Name]])</f>
        <v>Lina Aljabr</v>
      </c>
      <c r="B101" s="64">
        <v>0</v>
      </c>
      <c r="C101" s="56">
        <v>0</v>
      </c>
      <c r="D101" s="56" t="str">
        <f>IFERROR(IF(OR(Attendance_Warning[[#This Row],[Sick Leaves]]&gt;3,Attendance_Warning[[#This Row],[Unpaid Leaves]]&gt;3),"Warning","OK"),"Not Found")</f>
        <v>OK</v>
      </c>
    </row>
    <row r="102" spans="1:4" x14ac:dyDescent="0.35">
      <c r="A102" s="36" t="str">
        <f>_xlfn.TEXTJOIN(" ",TRUE,Employees_Data[[#This Row],[First Name]],Employees_Data[[#This Row],[Last Name]])</f>
        <v>Muhamad Ayman</v>
      </c>
      <c r="B102" s="63">
        <v>0</v>
      </c>
      <c r="C102" s="54">
        <v>0</v>
      </c>
      <c r="D102" s="54" t="str">
        <f>IFERROR(IF(OR(Attendance_Warning[[#This Row],[Sick Leaves]]&gt;3,Attendance_Warning[[#This Row],[Unpaid Leaves]]&gt;3),"Warning","OK"),"Not Found")</f>
        <v>OK</v>
      </c>
    </row>
    <row r="103" spans="1:4" x14ac:dyDescent="0.35">
      <c r="A103" s="40" t="str">
        <f>_xlfn.TEXTJOIN(" ",TRUE,Employees_Data[[#This Row],[First Name]],Employees_Data[[#This Row],[Last Name]])</f>
        <v>Ayman Muhamad</v>
      </c>
      <c r="B103" s="64">
        <v>2</v>
      </c>
      <c r="C103" s="56">
        <v>0</v>
      </c>
      <c r="D103" s="56" t="str">
        <f>IFERROR(IF(OR(Attendance_Warning[[#This Row],[Sick Leaves]]&gt;3,Attendance_Warning[[#This Row],[Unpaid Leaves]]&gt;3),"Warning","OK"),"Not Found")</f>
        <v>OK</v>
      </c>
    </row>
    <row r="104" spans="1:4" x14ac:dyDescent="0.35">
      <c r="A104" s="36" t="str">
        <f>_xlfn.TEXTJOIN(" ",TRUE,Employees_Data[[#This Row],[First Name]],Employees_Data[[#This Row],[Last Name]])</f>
        <v>Ahmad Abu Eadlh</v>
      </c>
      <c r="B104" s="63">
        <v>1</v>
      </c>
      <c r="C104" s="54">
        <v>0</v>
      </c>
      <c r="D104" s="54" t="str">
        <f>IFERROR(IF(OR(Attendance_Warning[[#This Row],[Sick Leaves]]&gt;3,Attendance_Warning[[#This Row],[Unpaid Leaves]]&gt;3),"Warning","OK"),"Not Found")</f>
        <v>OK</v>
      </c>
    </row>
    <row r="105" spans="1:4" x14ac:dyDescent="0.35">
      <c r="A105" s="40" t="str">
        <f>_xlfn.TEXTJOIN(" ",TRUE,Employees_Data[[#This Row],[First Name]],Employees_Data[[#This Row],[Last Name]])</f>
        <v>Rami Abu Adhan</v>
      </c>
      <c r="B105" s="64">
        <v>0</v>
      </c>
      <c r="C105" s="56">
        <v>0</v>
      </c>
      <c r="D105" s="56" t="str">
        <f>IFERROR(IF(OR(Attendance_Warning[[#This Row],[Sick Leaves]]&gt;3,Attendance_Warning[[#This Row],[Unpaid Leaves]]&gt;3),"Warning","OK"),"Not Found")</f>
        <v>OK</v>
      </c>
    </row>
    <row r="106" spans="1:4" x14ac:dyDescent="0.35">
      <c r="A106" s="36" t="str">
        <f>_xlfn.TEXTJOIN(" ",TRUE,Employees_Data[[#This Row],[First Name]],Employees_Data[[#This Row],[Last Name]])</f>
        <v>Muhamad Hamzat</v>
      </c>
      <c r="B106" s="63">
        <v>6</v>
      </c>
      <c r="C106" s="54">
        <v>0</v>
      </c>
      <c r="D106" s="54" t="str">
        <f>IFERROR(IF(OR(Attendance_Warning[[#This Row],[Sick Leaves]]&gt;3,Attendance_Warning[[#This Row],[Unpaid Leaves]]&gt;3),"Warning","OK"),"Not Found")</f>
        <v>Warning</v>
      </c>
    </row>
    <row r="107" spans="1:4" x14ac:dyDescent="0.35">
      <c r="A107" s="40" t="str">
        <f>_xlfn.TEXTJOIN(" ",TRUE,Employees_Data[[#This Row],[First Name]],Employees_Data[[#This Row],[Last Name]])</f>
        <v>Ehab Alkhibaz</v>
      </c>
      <c r="B107" s="64">
        <v>0</v>
      </c>
      <c r="C107" s="56">
        <v>0</v>
      </c>
      <c r="D107" s="56" t="str">
        <f>IFERROR(IF(OR(Attendance_Warning[[#This Row],[Sick Leaves]]&gt;3,Attendance_Warning[[#This Row],[Unpaid Leaves]]&gt;3),"Warning","OK"),"Not Found")</f>
        <v>OK</v>
      </c>
    </row>
    <row r="108" spans="1:4" x14ac:dyDescent="0.35">
      <c r="A108" s="36" t="str">
        <f>_xlfn.TEXTJOIN(" ",TRUE,Employees_Data[[#This Row],[First Name]],Employees_Data[[#This Row],[Last Name]])</f>
        <v>Ibrahim Nabulsi</v>
      </c>
      <c r="B108" s="63">
        <v>0</v>
      </c>
      <c r="C108" s="54">
        <v>0</v>
      </c>
      <c r="D108" s="54" t="str">
        <f>IFERROR(IF(OR(Attendance_Warning[[#This Row],[Sick Leaves]]&gt;3,Attendance_Warning[[#This Row],[Unpaid Leaves]]&gt;3),"Warning","OK"),"Not Found")</f>
        <v>OK</v>
      </c>
    </row>
    <row r="109" spans="1:4" x14ac:dyDescent="0.35">
      <c r="A109" s="40" t="str">
        <f>_xlfn.TEXTJOIN(" ",TRUE,Employees_Data[[#This Row],[First Name]],Employees_Data[[#This Row],[Last Name]])</f>
        <v>Ranya Salah Aldiyn</v>
      </c>
      <c r="B109" s="64">
        <v>0</v>
      </c>
      <c r="C109" s="56">
        <v>0</v>
      </c>
      <c r="D109" s="56" t="str">
        <f>IFERROR(IF(OR(Attendance_Warning[[#This Row],[Sick Leaves]]&gt;3,Attendance_Warning[[#This Row],[Unpaid Leaves]]&gt;3),"Warning","OK"),"Not Found")</f>
        <v>OK</v>
      </c>
    </row>
    <row r="110" spans="1:4" x14ac:dyDescent="0.35">
      <c r="A110" s="36" t="str">
        <f>_xlfn.TEXTJOIN(" ",TRUE,Employees_Data[[#This Row],[First Name]],Employees_Data[[#This Row],[Last Name]])</f>
        <v>Juri Zaytun</v>
      </c>
      <c r="B110" s="63">
        <v>3</v>
      </c>
      <c r="C110" s="54">
        <v>0</v>
      </c>
      <c r="D110" s="54" t="str">
        <f>IFERROR(IF(OR(Attendance_Warning[[#This Row],[Sick Leaves]]&gt;3,Attendance_Warning[[#This Row],[Unpaid Leaves]]&gt;3),"Warning","OK"),"Not Found")</f>
        <v>OK</v>
      </c>
    </row>
    <row r="111" spans="1:4" x14ac:dyDescent="0.35">
      <c r="A111" s="40" t="str">
        <f>_xlfn.TEXTJOIN(" ",TRUE,Employees_Data[[#This Row],[First Name]],Employees_Data[[#This Row],[Last Name]])</f>
        <v>Sahar Almuhamad</v>
      </c>
      <c r="B111" s="64">
        <v>0</v>
      </c>
      <c r="C111" s="56">
        <v>4</v>
      </c>
      <c r="D111" s="56" t="str">
        <f>IFERROR(IF(OR(Attendance_Warning[[#This Row],[Sick Leaves]]&gt;3,Attendance_Warning[[#This Row],[Unpaid Leaves]]&gt;3),"Warning","OK"),"Not Found")</f>
        <v>Warning</v>
      </c>
    </row>
    <row r="112" spans="1:4" x14ac:dyDescent="0.35">
      <c r="A112" s="36" t="str">
        <f>_xlfn.TEXTJOIN(" ",TRUE,Employees_Data[[#This Row],[First Name]],Employees_Data[[#This Row],[Last Name]])</f>
        <v>Mari Ayly</v>
      </c>
      <c r="B112" s="63">
        <v>0</v>
      </c>
      <c r="C112" s="54">
        <v>0</v>
      </c>
      <c r="D112" s="54" t="str">
        <f>IFERROR(IF(OR(Attendance_Warning[[#This Row],[Sick Leaves]]&gt;3,Attendance_Warning[[#This Row],[Unpaid Leaves]]&gt;3),"Warning","OK"),"Not Found")</f>
        <v>OK</v>
      </c>
    </row>
    <row r="113" spans="1:4" x14ac:dyDescent="0.35">
      <c r="A113" s="40" t="str">
        <f>_xlfn.TEXTJOIN(" ",TRUE,Employees_Data[[#This Row],[First Name]],Employees_Data[[#This Row],[Last Name]])</f>
        <v>Ali Alhuri</v>
      </c>
      <c r="B113" s="64">
        <v>1</v>
      </c>
      <c r="C113" s="56">
        <v>0</v>
      </c>
      <c r="D113" s="56" t="str">
        <f>IFERROR(IF(OR(Attendance_Warning[[#This Row],[Sick Leaves]]&gt;3,Attendance_Warning[[#This Row],[Unpaid Leaves]]&gt;3),"Warning","OK"),"Not Found")</f>
        <v>OK</v>
      </c>
    </row>
    <row r="114" spans="1:4" x14ac:dyDescent="0.35">
      <c r="A114" s="36" t="str">
        <f>_xlfn.TEXTJOIN(" ",TRUE,Employees_Data[[#This Row],[First Name]],Employees_Data[[#This Row],[Last Name]])</f>
        <v>Dania Almala</v>
      </c>
      <c r="B114" s="63">
        <v>0</v>
      </c>
      <c r="C114" s="54">
        <v>3</v>
      </c>
      <c r="D114" s="54" t="str">
        <f>IFERROR(IF(OR(Attendance_Warning[[#This Row],[Sick Leaves]]&gt;3,Attendance_Warning[[#This Row],[Unpaid Leaves]]&gt;3),"Warning","OK"),"Not Found")</f>
        <v>OK</v>
      </c>
    </row>
    <row r="115" spans="1:4" x14ac:dyDescent="0.35">
      <c r="A115" s="40" t="str">
        <f>_xlfn.TEXTJOIN(" ",TRUE,Employees_Data[[#This Row],[First Name]],Employees_Data[[#This Row],[Last Name]])</f>
        <v>Rym Alsydawi</v>
      </c>
      <c r="B115" s="64">
        <v>6</v>
      </c>
      <c r="C115" s="56">
        <v>0</v>
      </c>
      <c r="D115" s="56" t="str">
        <f>IFERROR(IF(OR(Attendance_Warning[[#This Row],[Sick Leaves]]&gt;3,Attendance_Warning[[#This Row],[Unpaid Leaves]]&gt;3),"Warning","OK"),"Not Found")</f>
        <v>Warning</v>
      </c>
    </row>
    <row r="116" spans="1:4" x14ac:dyDescent="0.35">
      <c r="A116" s="36" t="str">
        <f>_xlfn.TEXTJOIN(" ",TRUE,Employees_Data[[#This Row],[First Name]],Employees_Data[[#This Row],[Last Name]])</f>
        <v>Mahir Alshear</v>
      </c>
      <c r="B116" s="63">
        <v>5</v>
      </c>
      <c r="C116" s="54">
        <v>0</v>
      </c>
      <c r="D116" s="54" t="str">
        <f>IFERROR(IF(OR(Attendance_Warning[[#This Row],[Sick Leaves]]&gt;3,Attendance_Warning[[#This Row],[Unpaid Leaves]]&gt;3),"Warning","OK"),"Not Found")</f>
        <v>Warning</v>
      </c>
    </row>
    <row r="117" spans="1:4" x14ac:dyDescent="0.35">
      <c r="A117" s="40" t="str">
        <f>_xlfn.TEXTJOIN(" ",TRUE,Employees_Data[[#This Row],[First Name]],Employees_Data[[#This Row],[Last Name]])</f>
        <v>Ibrahim Alhamid</v>
      </c>
      <c r="B117" s="64">
        <v>0</v>
      </c>
      <c r="C117" s="56">
        <v>0</v>
      </c>
      <c r="D117" s="56" t="str">
        <f>IFERROR(IF(OR(Attendance_Warning[[#This Row],[Sick Leaves]]&gt;3,Attendance_Warning[[#This Row],[Unpaid Leaves]]&gt;3),"Warning","OK"),"Not Found")</f>
        <v>OK</v>
      </c>
    </row>
    <row r="118" spans="1:4" x14ac:dyDescent="0.35">
      <c r="A118" s="36" t="str">
        <f>_xlfn.TEXTJOIN(" ",TRUE,Employees_Data[[#This Row],[First Name]],Employees_Data[[#This Row],[Last Name]])</f>
        <v>Muhamad Alkhayr</v>
      </c>
      <c r="B118" s="63">
        <v>0</v>
      </c>
      <c r="C118" s="54">
        <v>0</v>
      </c>
      <c r="D118" s="54" t="str">
        <f>IFERROR(IF(OR(Attendance_Warning[[#This Row],[Sick Leaves]]&gt;3,Attendance_Warning[[#This Row],[Unpaid Leaves]]&gt;3),"Warning","OK"),"Not Found")</f>
        <v>OK</v>
      </c>
    </row>
    <row r="119" spans="1:4" x14ac:dyDescent="0.35">
      <c r="A119" s="40" t="str">
        <f>_xlfn.TEXTJOIN(" ",TRUE,Employees_Data[[#This Row],[First Name]],Employees_Data[[#This Row],[Last Name]])</f>
        <v>Muhamad Bashshar</v>
      </c>
      <c r="B119" s="64">
        <v>2</v>
      </c>
      <c r="C119" s="56">
        <v>0</v>
      </c>
      <c r="D119" s="56" t="str">
        <f>IFERROR(IF(OR(Attendance_Warning[[#This Row],[Sick Leaves]]&gt;3,Attendance_Warning[[#This Row],[Unpaid Leaves]]&gt;3),"Warning","OK"),"Not Found")</f>
        <v>OK</v>
      </c>
    </row>
    <row r="120" spans="1:4" x14ac:dyDescent="0.35">
      <c r="A120" s="36" t="str">
        <f>_xlfn.TEXTJOIN(" ",TRUE,Employees_Data[[#This Row],[First Name]],Employees_Data[[#This Row],[Last Name]])</f>
        <v>Muhamad Jhad</v>
      </c>
      <c r="B120" s="63">
        <v>4</v>
      </c>
      <c r="C120" s="54">
        <v>0</v>
      </c>
      <c r="D120" s="54" t="str">
        <f>IFERROR(IF(OR(Attendance_Warning[[#This Row],[Sick Leaves]]&gt;3,Attendance_Warning[[#This Row],[Unpaid Leaves]]&gt;3),"Warning","OK"),"Not Found")</f>
        <v>Warning</v>
      </c>
    </row>
    <row r="121" spans="1:4" x14ac:dyDescent="0.35">
      <c r="A121" s="40" t="str">
        <f>_xlfn.TEXTJOIN(" ",TRUE,Employees_Data[[#This Row],[First Name]],Employees_Data[[#This Row],[Last Name]])</f>
        <v>Limays Ghrz</v>
      </c>
      <c r="B121" s="64">
        <v>5</v>
      </c>
      <c r="C121" s="56">
        <v>0</v>
      </c>
      <c r="D121" s="56" t="str">
        <f>IFERROR(IF(OR(Attendance_Warning[[#This Row],[Sick Leaves]]&gt;3,Attendance_Warning[[#This Row],[Unpaid Leaves]]&gt;3),"Warning","OK"),"Not Found")</f>
        <v>Warning</v>
      </c>
    </row>
    <row r="122" spans="1:4" x14ac:dyDescent="0.35">
      <c r="A122" s="36" t="str">
        <f>_xlfn.TEXTJOIN(" ",TRUE,Employees_Data[[#This Row],[First Name]],Employees_Data[[#This Row],[Last Name]])</f>
        <v>Zaydun Jabir</v>
      </c>
      <c r="B122" s="63">
        <v>0</v>
      </c>
      <c r="C122" s="54">
        <v>3</v>
      </c>
      <c r="D122" s="54" t="str">
        <f>IFERROR(IF(OR(Attendance_Warning[[#This Row],[Sick Leaves]]&gt;3,Attendance_Warning[[#This Row],[Unpaid Leaves]]&gt;3),"Warning","OK"),"Not Found")</f>
        <v>OK</v>
      </c>
    </row>
    <row r="123" spans="1:4" x14ac:dyDescent="0.35">
      <c r="A123" s="40" t="str">
        <f>_xlfn.TEXTJOIN(" ",TRUE,Employees_Data[[#This Row],[First Name]],Employees_Data[[#This Row],[Last Name]])</f>
        <v>Fatima Zaetar</v>
      </c>
      <c r="B123" s="64">
        <v>1</v>
      </c>
      <c r="C123" s="56">
        <v>0</v>
      </c>
      <c r="D123" s="56" t="str">
        <f>IFERROR(IF(OR(Attendance_Warning[[#This Row],[Sick Leaves]]&gt;3,Attendance_Warning[[#This Row],[Unpaid Leaves]]&gt;3),"Warning","OK"),"Not Found")</f>
        <v>OK</v>
      </c>
    </row>
    <row r="124" spans="1:4" x14ac:dyDescent="0.35">
      <c r="A124" s="36" t="str">
        <f>_xlfn.TEXTJOIN(" ",TRUE,Employees_Data[[#This Row],[First Name]],Employees_Data[[#This Row],[Last Name]])</f>
        <v>Tariq Shakir</v>
      </c>
      <c r="B124" s="63">
        <v>0</v>
      </c>
      <c r="C124" s="54">
        <v>0</v>
      </c>
      <c r="D124" s="54" t="str">
        <f>IFERROR(IF(OR(Attendance_Warning[[#This Row],[Sick Leaves]]&gt;3,Attendance_Warning[[#This Row],[Unpaid Leaves]]&gt;3),"Warning","OK"),"Not Found")</f>
        <v>OK</v>
      </c>
    </row>
    <row r="125" spans="1:4" x14ac:dyDescent="0.35">
      <c r="A125" s="40" t="str">
        <f>_xlfn.TEXTJOIN(" ",TRUE,Employees_Data[[#This Row],[First Name]],Employees_Data[[#This Row],[Last Name]])</f>
        <v>Ruyda Alhamadii</v>
      </c>
      <c r="B125" s="64">
        <v>0</v>
      </c>
      <c r="C125" s="56">
        <v>0</v>
      </c>
      <c r="D125" s="56" t="str">
        <f>IFERROR(IF(OR(Attendance_Warning[[#This Row],[Sick Leaves]]&gt;3,Attendance_Warning[[#This Row],[Unpaid Leaves]]&gt;3),"Warning","OK"),"Not Found")</f>
        <v>OK</v>
      </c>
    </row>
    <row r="126" spans="1:4" x14ac:dyDescent="0.35">
      <c r="A126" s="36" t="str">
        <f>_xlfn.TEXTJOIN(" ",TRUE,Employees_Data[[#This Row],[First Name]],Employees_Data[[#This Row],[Last Name]])</f>
        <v>Anwar Almaseud</v>
      </c>
      <c r="B126" s="63">
        <v>0</v>
      </c>
      <c r="C126" s="54">
        <v>0</v>
      </c>
      <c r="D126" s="54" t="str">
        <f>IFERROR(IF(OR(Attendance_Warning[[#This Row],[Sick Leaves]]&gt;3,Attendance_Warning[[#This Row],[Unpaid Leaves]]&gt;3),"Warning","OK"),"Not Found")</f>
        <v>OK</v>
      </c>
    </row>
    <row r="127" spans="1:4" x14ac:dyDescent="0.35">
      <c r="A127" s="40" t="str">
        <f>_xlfn.TEXTJOIN(" ",TRUE,Employees_Data[[#This Row],[First Name]],Employees_Data[[#This Row],[Last Name]])</f>
        <v>Fayaruz Sabih</v>
      </c>
      <c r="B127" s="64">
        <v>2</v>
      </c>
      <c r="C127" s="56">
        <v>3</v>
      </c>
      <c r="D127" s="56" t="str">
        <f>IFERROR(IF(OR(Attendance_Warning[[#This Row],[Sick Leaves]]&gt;3,Attendance_Warning[[#This Row],[Unpaid Leaves]]&gt;3),"Warning","OK"),"Not Found")</f>
        <v>OK</v>
      </c>
    </row>
    <row r="128" spans="1:4" x14ac:dyDescent="0.35">
      <c r="A128" s="36" t="str">
        <f>_xlfn.TEXTJOIN(" ",TRUE,Employees_Data[[#This Row],[First Name]],Employees_Data[[#This Row],[Last Name]])</f>
        <v>Jwny Alrashid</v>
      </c>
      <c r="B128" s="63">
        <v>0</v>
      </c>
      <c r="C128" s="54">
        <v>0</v>
      </c>
      <c r="D128" s="54" t="str">
        <f>IFERROR(IF(OR(Attendance_Warning[[#This Row],[Sick Leaves]]&gt;3,Attendance_Warning[[#This Row],[Unpaid Leaves]]&gt;3),"Warning","OK"),"Not Found")</f>
        <v>OK</v>
      </c>
    </row>
    <row r="129" spans="1:4" x14ac:dyDescent="0.35">
      <c r="A129" s="40" t="str">
        <f>_xlfn.TEXTJOIN(" ",TRUE,Employees_Data[[#This Row],[First Name]],Employees_Data[[#This Row],[Last Name]])</f>
        <v>Karam Kiali</v>
      </c>
      <c r="B129" s="64">
        <v>6</v>
      </c>
      <c r="C129" s="56">
        <v>0</v>
      </c>
      <c r="D129" s="56" t="str">
        <f>IFERROR(IF(OR(Attendance_Warning[[#This Row],[Sick Leaves]]&gt;3,Attendance_Warning[[#This Row],[Unpaid Leaves]]&gt;3),"Warning","OK"),"Not Found")</f>
        <v>Warning</v>
      </c>
    </row>
    <row r="130" spans="1:4" x14ac:dyDescent="0.35">
      <c r="A130" s="36" t="str">
        <f>_xlfn.TEXTJOIN(" ",TRUE,Employees_Data[[#This Row],[First Name]],Employees_Data[[#This Row],[Last Name]])</f>
        <v>Jamal Alhalib</v>
      </c>
      <c r="B130" s="63">
        <v>6</v>
      </c>
      <c r="C130" s="54">
        <v>0</v>
      </c>
      <c r="D130" s="54" t="str">
        <f>IFERROR(IF(OR(Attendance_Warning[[#This Row],[Sick Leaves]]&gt;3,Attendance_Warning[[#This Row],[Unpaid Leaves]]&gt;3),"Warning","OK"),"Not Found")</f>
        <v>Warning</v>
      </c>
    </row>
    <row r="131" spans="1:4" x14ac:dyDescent="0.35">
      <c r="A131" s="40" t="str">
        <f>_xlfn.TEXTJOIN(" ",TRUE,Employees_Data[[#This Row],[First Name]],Employees_Data[[#This Row],[Last Name]])</f>
        <v>Suzan Alsawis</v>
      </c>
      <c r="B131" s="64">
        <v>0</v>
      </c>
      <c r="C131" s="56">
        <v>0</v>
      </c>
      <c r="D131" s="56" t="str">
        <f>IFERROR(IF(OR(Attendance_Warning[[#This Row],[Sick Leaves]]&gt;3,Attendance_Warning[[#This Row],[Unpaid Leaves]]&gt;3),"Warning","OK"),"Not Found")</f>
        <v>OK</v>
      </c>
    </row>
    <row r="132" spans="1:4" x14ac:dyDescent="0.35">
      <c r="A132" s="36" t="str">
        <f>_xlfn.TEXTJOIN(" ",TRUE,Employees_Data[[#This Row],[First Name]],Employees_Data[[#This Row],[Last Name]])</f>
        <v>Alaa Efan</v>
      </c>
      <c r="B132" s="63">
        <v>3</v>
      </c>
      <c r="C132" s="54">
        <v>0</v>
      </c>
      <c r="D132" s="54" t="str">
        <f>IFERROR(IF(OR(Attendance_Warning[[#This Row],[Sick Leaves]]&gt;3,Attendance_Warning[[#This Row],[Unpaid Leaves]]&gt;3),"Warning","OK"),"Not Found")</f>
        <v>OK</v>
      </c>
    </row>
    <row r="133" spans="1:4" x14ac:dyDescent="0.35">
      <c r="A133" s="40" t="str">
        <f>_xlfn.TEXTJOIN(" ",TRUE,Employees_Data[[#This Row],[First Name]],Employees_Data[[#This Row],[Last Name]])</f>
        <v>Jihad Aldarawasha</v>
      </c>
      <c r="B133" s="64">
        <v>0</v>
      </c>
      <c r="C133" s="56">
        <v>0</v>
      </c>
      <c r="D133" s="56" t="str">
        <f>IFERROR(IF(OR(Attendance_Warning[[#This Row],[Sick Leaves]]&gt;3,Attendance_Warning[[#This Row],[Unpaid Leaves]]&gt;3),"Warning","OK"),"Not Found")</f>
        <v>OK</v>
      </c>
    </row>
    <row r="134" spans="1:4" x14ac:dyDescent="0.35">
      <c r="A134" s="36" t="str">
        <f>_xlfn.TEXTJOIN(" ",TRUE,Employees_Data[[#This Row],[First Name]],Employees_Data[[#This Row],[Last Name]])</f>
        <v>Muhamad Khalid</v>
      </c>
      <c r="B134" s="63">
        <v>0</v>
      </c>
      <c r="C134" s="54">
        <v>0</v>
      </c>
      <c r="D134" s="54" t="str">
        <f>IFERROR(IF(OR(Attendance_Warning[[#This Row],[Sick Leaves]]&gt;3,Attendance_Warning[[#This Row],[Unpaid Leaves]]&gt;3),"Warning","OK"),"Not Found")</f>
        <v>OK</v>
      </c>
    </row>
    <row r="135" spans="1:4" x14ac:dyDescent="0.35">
      <c r="A135" s="40" t="str">
        <f>_xlfn.TEXTJOIN(" ",TRUE,Employees_Data[[#This Row],[First Name]],Employees_Data[[#This Row],[Last Name]])</f>
        <v>Haithim Hujah</v>
      </c>
      <c r="B135" s="64">
        <v>0</v>
      </c>
      <c r="C135" s="56">
        <v>0</v>
      </c>
      <c r="D135" s="56" t="str">
        <f>IFERROR(IF(OR(Attendance_Warning[[#This Row],[Sick Leaves]]&gt;3,Attendance_Warning[[#This Row],[Unpaid Leaves]]&gt;3),"Warning","OK"),"Not Found")</f>
        <v>OK</v>
      </c>
    </row>
    <row r="136" spans="1:4" x14ac:dyDescent="0.35">
      <c r="A136" s="36" t="str">
        <f>_xlfn.TEXTJOIN(" ",TRUE,Employees_Data[[#This Row],[First Name]],Employees_Data[[#This Row],[Last Name]])</f>
        <v>Duhana Alakhris</v>
      </c>
      <c r="B136" s="63">
        <v>0</v>
      </c>
      <c r="C136" s="54">
        <v>0</v>
      </c>
      <c r="D136" s="54" t="str">
        <f>IFERROR(IF(OR(Attendance_Warning[[#This Row],[Sick Leaves]]&gt;3,Attendance_Warning[[#This Row],[Unpaid Leaves]]&gt;3),"Warning","OK"),"Not Found")</f>
        <v>OK</v>
      </c>
    </row>
    <row r="137" spans="1:4" x14ac:dyDescent="0.35">
      <c r="A137" s="40" t="str">
        <f>_xlfn.TEXTJOIN(" ",TRUE,Employees_Data[[#This Row],[First Name]],Employees_Data[[#This Row],[Last Name]])</f>
        <v>Eazalidin Almala</v>
      </c>
      <c r="B137" s="64">
        <v>4</v>
      </c>
      <c r="C137" s="56">
        <v>1</v>
      </c>
      <c r="D137" s="56" t="str">
        <f>IFERROR(IF(OR(Attendance_Warning[[#This Row],[Sick Leaves]]&gt;3,Attendance_Warning[[#This Row],[Unpaid Leaves]]&gt;3),"Warning","OK"),"Not Found")</f>
        <v>Warning</v>
      </c>
    </row>
    <row r="138" spans="1:4" x14ac:dyDescent="0.35">
      <c r="A138" s="36" t="str">
        <f>_xlfn.TEXTJOIN(" ",TRUE,Employees_Data[[#This Row],[First Name]],Employees_Data[[#This Row],[Last Name]])</f>
        <v>Habib Klizli</v>
      </c>
      <c r="B138" s="63">
        <v>0</v>
      </c>
      <c r="C138" s="54">
        <v>0</v>
      </c>
      <c r="D138" s="54" t="str">
        <f>IFERROR(IF(OR(Attendance_Warning[[#This Row],[Sick Leaves]]&gt;3,Attendance_Warning[[#This Row],[Unpaid Leaves]]&gt;3),"Warning","OK"),"Not Found")</f>
        <v>OK</v>
      </c>
    </row>
    <row r="139" spans="1:4" x14ac:dyDescent="0.35">
      <c r="A139" s="40" t="str">
        <f>_xlfn.TEXTJOIN(" ",TRUE,Employees_Data[[#This Row],[First Name]],Employees_Data[[#This Row],[Last Name]])</f>
        <v>Rasha Bajubuj</v>
      </c>
      <c r="B139" s="64">
        <v>5</v>
      </c>
      <c r="C139" s="56">
        <v>2</v>
      </c>
      <c r="D139" s="56" t="str">
        <f>IFERROR(IF(OR(Attendance_Warning[[#This Row],[Sick Leaves]]&gt;3,Attendance_Warning[[#This Row],[Unpaid Leaves]]&gt;3),"Warning","OK"),"Not Found")</f>
        <v>Warning</v>
      </c>
    </row>
    <row r="140" spans="1:4" x14ac:dyDescent="0.35">
      <c r="A140" s="36" t="str">
        <f>_xlfn.TEXTJOIN(" ",TRUE,Employees_Data[[#This Row],[First Name]],Employees_Data[[#This Row],[Last Name]])</f>
        <v>Mahir Albaghdadi</v>
      </c>
      <c r="B140" s="63">
        <v>0</v>
      </c>
      <c r="C140" s="54">
        <v>0</v>
      </c>
      <c r="D140" s="54" t="str">
        <f>IFERROR(IF(OR(Attendance_Warning[[#This Row],[Sick Leaves]]&gt;3,Attendance_Warning[[#This Row],[Unpaid Leaves]]&gt;3),"Warning","OK"),"Not Found")</f>
        <v>OK</v>
      </c>
    </row>
    <row r="141" spans="1:4" x14ac:dyDescent="0.35">
      <c r="A141" s="40" t="str">
        <f>_xlfn.TEXTJOIN(" ",TRUE,Employees_Data[[#This Row],[First Name]],Employees_Data[[#This Row],[Last Name]])</f>
        <v>Alaa Almunzilijiu</v>
      </c>
      <c r="B141" s="64">
        <v>0</v>
      </c>
      <c r="C141" s="56">
        <v>0</v>
      </c>
      <c r="D141" s="56" t="str">
        <f>IFERROR(IF(OR(Attendance_Warning[[#This Row],[Sick Leaves]]&gt;3,Attendance_Warning[[#This Row],[Unpaid Leaves]]&gt;3),"Warning","OK"),"Not Found")</f>
        <v>OK</v>
      </c>
    </row>
    <row r="142" spans="1:4" x14ac:dyDescent="0.35">
      <c r="A142" s="36" t="str">
        <f>_xlfn.TEXTJOIN(" ",TRUE,Employees_Data[[#This Row],[First Name]],Employees_Data[[#This Row],[Last Name]])</f>
        <v>Labanaa Qaziyha</v>
      </c>
      <c r="B142" s="63">
        <v>3</v>
      </c>
      <c r="C142" s="54">
        <v>0</v>
      </c>
      <c r="D142" s="54" t="str">
        <f>IFERROR(IF(OR(Attendance_Warning[[#This Row],[Sick Leaves]]&gt;3,Attendance_Warning[[#This Row],[Unpaid Leaves]]&gt;3),"Warning","OK"),"Not Found")</f>
        <v>OK</v>
      </c>
    </row>
    <row r="143" spans="1:4" x14ac:dyDescent="0.35">
      <c r="A143" s="40" t="str">
        <f>_xlfn.TEXTJOIN(" ",TRUE,Employees_Data[[#This Row],[First Name]],Employees_Data[[#This Row],[Last Name]])</f>
        <v>Fatnh Abu</v>
      </c>
      <c r="B143" s="64">
        <v>5</v>
      </c>
      <c r="C143" s="56">
        <v>0</v>
      </c>
      <c r="D143" s="56" t="str">
        <f>IFERROR(IF(OR(Attendance_Warning[[#This Row],[Sick Leaves]]&gt;3,Attendance_Warning[[#This Row],[Unpaid Leaves]]&gt;3),"Warning","OK"),"Not Found")</f>
        <v>Warning</v>
      </c>
    </row>
    <row r="144" spans="1:4" x14ac:dyDescent="0.35">
      <c r="A144" s="36" t="str">
        <f>_xlfn.TEXTJOIN(" ",TRUE,Employees_Data[[#This Row],[First Name]],Employees_Data[[#This Row],[Last Name]])</f>
        <v>Iilyas Dahadal</v>
      </c>
      <c r="B144" s="63">
        <v>0</v>
      </c>
      <c r="C144" s="54">
        <v>0</v>
      </c>
      <c r="D144" s="54" t="str">
        <f>IFERROR(IF(OR(Attendance_Warning[[#This Row],[Sick Leaves]]&gt;3,Attendance_Warning[[#This Row],[Unpaid Leaves]]&gt;3),"Warning","OK"),"Not Found")</f>
        <v>OK</v>
      </c>
    </row>
    <row r="145" spans="1:4" x14ac:dyDescent="0.35">
      <c r="A145" s="40" t="str">
        <f>_xlfn.TEXTJOIN(" ",TRUE,Employees_Data[[#This Row],[First Name]],Employees_Data[[#This Row],[Last Name]])</f>
        <v>Rim Huaydi</v>
      </c>
      <c r="B145" s="64">
        <v>6</v>
      </c>
      <c r="C145" s="56">
        <v>2</v>
      </c>
      <c r="D145" s="56" t="str">
        <f>IFERROR(IF(OR(Attendance_Warning[[#This Row],[Sick Leaves]]&gt;3,Attendance_Warning[[#This Row],[Unpaid Leaves]]&gt;3),"Warning","OK"),"Not Found")</f>
        <v>Warning</v>
      </c>
    </row>
    <row r="146" spans="1:4" x14ac:dyDescent="0.35">
      <c r="A146" s="36" t="str">
        <f>_xlfn.TEXTJOIN(" ",TRUE,Employees_Data[[#This Row],[First Name]],Employees_Data[[#This Row],[Last Name]])</f>
        <v>Ahmad Muhamad</v>
      </c>
      <c r="B146" s="63">
        <v>0</v>
      </c>
      <c r="C146" s="54">
        <v>0</v>
      </c>
      <c r="D146" s="54" t="str">
        <f>IFERROR(IF(OR(Attendance_Warning[[#This Row],[Sick Leaves]]&gt;3,Attendance_Warning[[#This Row],[Unpaid Leaves]]&gt;3),"Warning","OK"),"Not Found")</f>
        <v>OK</v>
      </c>
    </row>
    <row r="147" spans="1:4" x14ac:dyDescent="0.35">
      <c r="A147" s="40" t="str">
        <f>_xlfn.TEXTJOIN(" ",TRUE,Employees_Data[[#This Row],[First Name]],Employees_Data[[#This Row],[Last Name]])</f>
        <v>Abd Alruhmin Almahrus</v>
      </c>
      <c r="B147" s="64">
        <v>4</v>
      </c>
      <c r="C147" s="56">
        <v>0</v>
      </c>
      <c r="D147" s="56" t="str">
        <f>IFERROR(IF(OR(Attendance_Warning[[#This Row],[Sick Leaves]]&gt;3,Attendance_Warning[[#This Row],[Unpaid Leaves]]&gt;3),"Warning","OK"),"Not Found")</f>
        <v>Warning</v>
      </c>
    </row>
    <row r="148" spans="1:4" x14ac:dyDescent="0.35">
      <c r="A148" s="36" t="str">
        <f>_xlfn.TEXTJOIN(" ",TRUE,Employees_Data[[#This Row],[First Name]],Employees_Data[[#This Row],[Last Name]])</f>
        <v>Biaism Tyzry</v>
      </c>
      <c r="B148" s="63">
        <v>0</v>
      </c>
      <c r="C148" s="54">
        <v>0</v>
      </c>
      <c r="D148" s="54" t="str">
        <f>IFERROR(IF(OR(Attendance_Warning[[#This Row],[Sick Leaves]]&gt;3,Attendance_Warning[[#This Row],[Unpaid Leaves]]&gt;3),"Warning","OK"),"Not Found")</f>
        <v>OK</v>
      </c>
    </row>
    <row r="149" spans="1:4" x14ac:dyDescent="0.35">
      <c r="A149" s="40" t="str">
        <f>_xlfn.TEXTJOIN(" ",TRUE,Employees_Data[[#This Row],[First Name]],Employees_Data[[#This Row],[Last Name]])</f>
        <v>Omar Milatu</v>
      </c>
      <c r="B149" s="64">
        <v>6</v>
      </c>
      <c r="C149" s="56">
        <v>0</v>
      </c>
      <c r="D149" s="56" t="str">
        <f>IFERROR(IF(OR(Attendance_Warning[[#This Row],[Sick Leaves]]&gt;3,Attendance_Warning[[#This Row],[Unpaid Leaves]]&gt;3),"Warning","OK"),"Not Found")</f>
        <v>Warning</v>
      </c>
    </row>
    <row r="150" spans="1:4" x14ac:dyDescent="0.35">
      <c r="A150" s="36" t="str">
        <f>_xlfn.TEXTJOIN(" ",TRUE,Employees_Data[[#This Row],[First Name]],Employees_Data[[#This Row],[Last Name]])</f>
        <v>Alyida Nieamah</v>
      </c>
      <c r="B150" s="63">
        <v>0</v>
      </c>
      <c r="C150" s="54">
        <v>0</v>
      </c>
      <c r="D150" s="54" t="str">
        <f>IFERROR(IF(OR(Attendance_Warning[[#This Row],[Sick Leaves]]&gt;3,Attendance_Warning[[#This Row],[Unpaid Leaves]]&gt;3),"Warning","OK"),"Not Found")</f>
        <v>OK</v>
      </c>
    </row>
    <row r="151" spans="1:4" x14ac:dyDescent="0.35">
      <c r="A151" s="40" t="str">
        <f>_xlfn.TEXTJOIN(" ",TRUE,Employees_Data[[#This Row],[First Name]],Employees_Data[[#This Row],[Last Name]])</f>
        <v>Kamal Hajl</v>
      </c>
      <c r="B151" s="64">
        <v>6</v>
      </c>
      <c r="C151" s="56">
        <v>0</v>
      </c>
      <c r="D151" s="56" t="str">
        <f>IFERROR(IF(OR(Attendance_Warning[[#This Row],[Sick Leaves]]&gt;3,Attendance_Warning[[#This Row],[Unpaid Leaves]]&gt;3),"Warning","OK"),"Not Found")</f>
        <v>Warning</v>
      </c>
    </row>
    <row r="152" spans="1:4" x14ac:dyDescent="0.35">
      <c r="A152" s="36" t="str">
        <f>_xlfn.TEXTJOIN(" ",TRUE,Employees_Data[[#This Row],[First Name]],Employees_Data[[#This Row],[Last Name]])</f>
        <v>Amjad Naghnagh</v>
      </c>
      <c r="B152" s="63">
        <v>2</v>
      </c>
      <c r="C152" s="54">
        <v>1</v>
      </c>
      <c r="D152" s="54" t="str">
        <f>IFERROR(IF(OR(Attendance_Warning[[#This Row],[Sick Leaves]]&gt;3,Attendance_Warning[[#This Row],[Unpaid Leaves]]&gt;3),"Warning","OK"),"Not Found")</f>
        <v>OK</v>
      </c>
    </row>
    <row r="153" spans="1:4" x14ac:dyDescent="0.35">
      <c r="A153" s="40" t="str">
        <f>_xlfn.TEXTJOIN(" ",TRUE,Employees_Data[[#This Row],[First Name]],Employees_Data[[#This Row],[Last Name]])</f>
        <v>Iin Qisi</v>
      </c>
      <c r="B153" s="64">
        <v>0</v>
      </c>
      <c r="C153" s="56">
        <v>0</v>
      </c>
      <c r="D153" s="56" t="str">
        <f>IFERROR(IF(OR(Attendance_Warning[[#This Row],[Sick Leaves]]&gt;3,Attendance_Warning[[#This Row],[Unpaid Leaves]]&gt;3),"Warning","OK"),"Not Found")</f>
        <v>OK</v>
      </c>
    </row>
    <row r="154" spans="1:4" x14ac:dyDescent="0.35">
      <c r="A154" s="36" t="str">
        <f>_xlfn.TEXTJOIN(" ",TRUE,Employees_Data[[#This Row],[First Name]],Employees_Data[[#This Row],[Last Name]])</f>
        <v>Basmah Alhabis</v>
      </c>
      <c r="B154" s="63">
        <v>0</v>
      </c>
      <c r="C154" s="54">
        <v>0</v>
      </c>
      <c r="D154" s="54" t="str">
        <f>IFERROR(IF(OR(Attendance_Warning[[#This Row],[Sick Leaves]]&gt;3,Attendance_Warning[[#This Row],[Unpaid Leaves]]&gt;3),"Warning","OK"),"Not Found")</f>
        <v>OK</v>
      </c>
    </row>
    <row r="155" spans="1:4" x14ac:dyDescent="0.35">
      <c r="A155" s="40" t="str">
        <f>_xlfn.TEXTJOIN(" ",TRUE,Employees_Data[[#This Row],[First Name]],Employees_Data[[#This Row],[Last Name]])</f>
        <v>Eala Dahbur</v>
      </c>
      <c r="B155" s="64">
        <v>1</v>
      </c>
      <c r="C155" s="56">
        <v>0</v>
      </c>
      <c r="D155" s="56" t="str">
        <f>IFERROR(IF(OR(Attendance_Warning[[#This Row],[Sick Leaves]]&gt;3,Attendance_Warning[[#This Row],[Unpaid Leaves]]&gt;3),"Warning","OK"),"Not Found")</f>
        <v>OK</v>
      </c>
    </row>
    <row r="156" spans="1:4" x14ac:dyDescent="0.35">
      <c r="A156" s="36" t="str">
        <f>_xlfn.TEXTJOIN(" ",TRUE,Employees_Data[[#This Row],[First Name]],Employees_Data[[#This Row],[Last Name]])</f>
        <v>Rwbyna Iibrahim</v>
      </c>
      <c r="B156" s="63">
        <v>0</v>
      </c>
      <c r="C156" s="54">
        <v>0</v>
      </c>
      <c r="D156" s="54" t="str">
        <f>IFERROR(IF(OR(Attendance_Warning[[#This Row],[Sick Leaves]]&gt;3,Attendance_Warning[[#This Row],[Unpaid Leaves]]&gt;3),"Warning","OK"),"Not Found")</f>
        <v>OK</v>
      </c>
    </row>
    <row r="157" spans="1:4" x14ac:dyDescent="0.35">
      <c r="A157" s="40" t="str">
        <f>_xlfn.TEXTJOIN(" ",TRUE,Employees_Data[[#This Row],[First Name]],Employees_Data[[#This Row],[Last Name]])</f>
        <v>Tariq Salim</v>
      </c>
      <c r="B157" s="64">
        <v>0</v>
      </c>
      <c r="C157" s="56">
        <v>2</v>
      </c>
      <c r="D157" s="56" t="str">
        <f>IFERROR(IF(OR(Attendance_Warning[[#This Row],[Sick Leaves]]&gt;3,Attendance_Warning[[#This Row],[Unpaid Leaves]]&gt;3),"Warning","OK"),"Not Found")</f>
        <v>OK</v>
      </c>
    </row>
    <row r="158" spans="1:4" x14ac:dyDescent="0.35">
      <c r="A158" s="36" t="str">
        <f>_xlfn.TEXTJOIN(" ",TRUE,Employees_Data[[#This Row],[First Name]],Employees_Data[[#This Row],[Last Name]])</f>
        <v>Basimah Sybea</v>
      </c>
      <c r="B158" s="63">
        <v>0</v>
      </c>
      <c r="C158" s="54">
        <v>0</v>
      </c>
      <c r="D158" s="54" t="str">
        <f>IFERROR(IF(OR(Attendance_Warning[[#This Row],[Sick Leaves]]&gt;3,Attendance_Warning[[#This Row],[Unpaid Leaves]]&gt;3),"Warning","OK"),"Not Found")</f>
        <v>OK</v>
      </c>
    </row>
    <row r="159" spans="1:4" x14ac:dyDescent="0.35">
      <c r="A159" s="40" t="str">
        <f>_xlfn.TEXTJOIN(" ",TRUE,Employees_Data[[#This Row],[First Name]],Employees_Data[[#This Row],[Last Name]])</f>
        <v>Zunar Eali</v>
      </c>
      <c r="B159" s="64">
        <v>0</v>
      </c>
      <c r="C159" s="56">
        <v>0</v>
      </c>
      <c r="D159" s="56" t="str">
        <f>IFERROR(IF(OR(Attendance_Warning[[#This Row],[Sick Leaves]]&gt;3,Attendance_Warning[[#This Row],[Unpaid Leaves]]&gt;3),"Warning","OK"),"Not Found")</f>
        <v>OK</v>
      </c>
    </row>
    <row r="160" spans="1:4" x14ac:dyDescent="0.35">
      <c r="A160" s="36" t="str">
        <f>_xlfn.TEXTJOIN(" ",TRUE,Employees_Data[[#This Row],[First Name]],Employees_Data[[#This Row],[Last Name]])</f>
        <v>Rim Mia</v>
      </c>
      <c r="B160" s="63">
        <v>5</v>
      </c>
      <c r="C160" s="54">
        <v>0</v>
      </c>
      <c r="D160" s="54" t="str">
        <f>IFERROR(IF(OR(Attendance_Warning[[#This Row],[Sick Leaves]]&gt;3,Attendance_Warning[[#This Row],[Unpaid Leaves]]&gt;3),"Warning","OK"),"Not Found")</f>
        <v>Warning</v>
      </c>
    </row>
    <row r="161" spans="1:4" x14ac:dyDescent="0.35">
      <c r="A161" s="40" t="str">
        <f>_xlfn.TEXTJOIN(" ",TRUE,Employees_Data[[#This Row],[First Name]],Employees_Data[[#This Row],[Last Name]])</f>
        <v>Lana Alhabash</v>
      </c>
      <c r="B161" s="64">
        <v>6</v>
      </c>
      <c r="C161" s="56">
        <v>0</v>
      </c>
      <c r="D161" s="56" t="str">
        <f>IFERROR(IF(OR(Attendance_Warning[[#This Row],[Sick Leaves]]&gt;3,Attendance_Warning[[#This Row],[Unpaid Leaves]]&gt;3),"Warning","OK"),"Not Found")</f>
        <v>Warning</v>
      </c>
    </row>
    <row r="162" spans="1:4" x14ac:dyDescent="0.35">
      <c r="A162" s="36" t="str">
        <f>_xlfn.TEXTJOIN(" ",TRUE,Employees_Data[[#This Row],[First Name]],Employees_Data[[#This Row],[Last Name]])</f>
        <v>Muhamad Alshghry</v>
      </c>
      <c r="B162" s="63">
        <v>6</v>
      </c>
      <c r="C162" s="54">
        <v>0</v>
      </c>
      <c r="D162" s="54" t="str">
        <f>IFERROR(IF(OR(Attendance_Warning[[#This Row],[Sick Leaves]]&gt;3,Attendance_Warning[[#This Row],[Unpaid Leaves]]&gt;3),"Warning","OK"),"Not Found")</f>
        <v>Warning</v>
      </c>
    </row>
    <row r="163" spans="1:4" x14ac:dyDescent="0.35">
      <c r="A163" s="40" t="str">
        <f>_xlfn.TEXTJOIN(" ",TRUE,Employees_Data[[#This Row],[First Name]],Employees_Data[[#This Row],[Last Name]])</f>
        <v>Ghazal Hisan</v>
      </c>
      <c r="B163" s="64">
        <v>1</v>
      </c>
      <c r="C163" s="56">
        <v>6</v>
      </c>
      <c r="D163" s="56" t="str">
        <f>IFERROR(IF(OR(Attendance_Warning[[#This Row],[Sick Leaves]]&gt;3,Attendance_Warning[[#This Row],[Unpaid Leaves]]&gt;3),"Warning","OK"),"Not Found")</f>
        <v>Warning</v>
      </c>
    </row>
    <row r="164" spans="1:4" x14ac:dyDescent="0.35">
      <c r="A164" s="36" t="str">
        <f>_xlfn.TEXTJOIN(" ",TRUE,Employees_Data[[#This Row],[First Name]],Employees_Data[[#This Row],[Last Name]])</f>
        <v>Khalil Alzaebii</v>
      </c>
      <c r="B164" s="63">
        <v>1</v>
      </c>
      <c r="C164" s="54">
        <v>0</v>
      </c>
      <c r="D164" s="54" t="str">
        <f>IFERROR(IF(OR(Attendance_Warning[[#This Row],[Sick Leaves]]&gt;3,Attendance_Warning[[#This Row],[Unpaid Leaves]]&gt;3),"Warning","OK"),"Not Found")</f>
        <v>OK</v>
      </c>
    </row>
    <row r="165" spans="1:4" x14ac:dyDescent="0.35">
      <c r="A165" s="40" t="str">
        <f>_xlfn.TEXTJOIN(" ",TRUE,Employees_Data[[#This Row],[First Name]],Employees_Data[[#This Row],[Last Name]])</f>
        <v>Samir Shalish</v>
      </c>
      <c r="B165" s="64">
        <v>1</v>
      </c>
      <c r="C165" s="56">
        <v>0</v>
      </c>
      <c r="D165" s="56" t="str">
        <f>IFERROR(IF(OR(Attendance_Warning[[#This Row],[Sick Leaves]]&gt;3,Attendance_Warning[[#This Row],[Unpaid Leaves]]&gt;3),"Warning","OK"),"Not Found")</f>
        <v>OK</v>
      </c>
    </row>
    <row r="166" spans="1:4" x14ac:dyDescent="0.35">
      <c r="A166" s="36" t="str">
        <f>_xlfn.TEXTJOIN(" ",TRUE,Employees_Data[[#This Row],[First Name]],Employees_Data[[#This Row],[Last Name]])</f>
        <v>Abdalmjid Ahmad</v>
      </c>
      <c r="B166" s="63">
        <v>0</v>
      </c>
      <c r="C166" s="54">
        <v>0</v>
      </c>
      <c r="D166" s="54" t="str">
        <f>IFERROR(IF(OR(Attendance_Warning[[#This Row],[Sick Leaves]]&gt;3,Attendance_Warning[[#This Row],[Unpaid Leaves]]&gt;3),"Warning","OK"),"Not Found")</f>
        <v>OK</v>
      </c>
    </row>
    <row r="167" spans="1:4" x14ac:dyDescent="0.35">
      <c r="A167" s="40" t="str">
        <f>_xlfn.TEXTJOIN(" ",TRUE,Employees_Data[[#This Row],[First Name]],Employees_Data[[#This Row],[Last Name]])</f>
        <v>Emar Abil</v>
      </c>
      <c r="B167" s="64">
        <v>1</v>
      </c>
      <c r="C167" s="56">
        <v>0</v>
      </c>
      <c r="D167" s="56" t="str">
        <f>IFERROR(IF(OR(Attendance_Warning[[#This Row],[Sick Leaves]]&gt;3,Attendance_Warning[[#This Row],[Unpaid Leaves]]&gt;3),"Warning","OK"),"Not Found")</f>
        <v>OK</v>
      </c>
    </row>
    <row r="168" spans="1:4" x14ac:dyDescent="0.35">
      <c r="A168" s="36" t="str">
        <f>_xlfn.TEXTJOIN(" ",TRUE,Employees_Data[[#This Row],[First Name]],Employees_Data[[#This Row],[Last Name]])</f>
        <v>Lamia Warur</v>
      </c>
      <c r="B168" s="63">
        <v>4</v>
      </c>
      <c r="C168" s="54">
        <v>6</v>
      </c>
      <c r="D168" s="54" t="str">
        <f>IFERROR(IF(OR(Attendance_Warning[[#This Row],[Sick Leaves]]&gt;3,Attendance_Warning[[#This Row],[Unpaid Leaves]]&gt;3),"Warning","OK"),"Not Found")</f>
        <v>Warning</v>
      </c>
    </row>
    <row r="169" spans="1:4" x14ac:dyDescent="0.35">
      <c r="A169" s="40" t="str">
        <f>_xlfn.TEXTJOIN(" ",TRUE,Employees_Data[[#This Row],[First Name]],Employees_Data[[#This Row],[Last Name]])</f>
        <v>Fyfian Abu</v>
      </c>
      <c r="B169" s="64">
        <v>1</v>
      </c>
      <c r="C169" s="56">
        <v>0</v>
      </c>
      <c r="D169" s="56" t="str">
        <f>IFERROR(IF(OR(Attendance_Warning[[#This Row],[Sick Leaves]]&gt;3,Attendance_Warning[[#This Row],[Unpaid Leaves]]&gt;3),"Warning","OK"),"Not Found")</f>
        <v>OK</v>
      </c>
    </row>
    <row r="170" spans="1:4" x14ac:dyDescent="0.35">
      <c r="A170" s="36" t="str">
        <f>_xlfn.TEXTJOIN(" ",TRUE,Employees_Data[[#This Row],[First Name]],Employees_Data[[#This Row],[Last Name]])</f>
        <v>Majd Yasin</v>
      </c>
      <c r="B170" s="63">
        <v>4</v>
      </c>
      <c r="C170" s="54">
        <v>0</v>
      </c>
      <c r="D170" s="54" t="str">
        <f>IFERROR(IF(OR(Attendance_Warning[[#This Row],[Sick Leaves]]&gt;3,Attendance_Warning[[#This Row],[Unpaid Leaves]]&gt;3),"Warning","OK"),"Not Found")</f>
        <v>Warning</v>
      </c>
    </row>
    <row r="171" spans="1:4" x14ac:dyDescent="0.35">
      <c r="A171" s="40" t="str">
        <f>_xlfn.TEXTJOIN(" ",TRUE,Employees_Data[[#This Row],[First Name]],Employees_Data[[#This Row],[Last Name]])</f>
        <v>Alaa Almisri</v>
      </c>
      <c r="B171" s="64">
        <v>6</v>
      </c>
      <c r="C171" s="56">
        <v>5</v>
      </c>
      <c r="D171" s="56" t="str">
        <f>IFERROR(IF(OR(Attendance_Warning[[#This Row],[Sick Leaves]]&gt;3,Attendance_Warning[[#This Row],[Unpaid Leaves]]&gt;3),"Warning","OK"),"Not Found")</f>
        <v>Warning</v>
      </c>
    </row>
    <row r="172" spans="1:4" x14ac:dyDescent="0.35">
      <c r="A172" s="36" t="str">
        <f>_xlfn.TEXTJOIN(" ",TRUE,Employees_Data[[#This Row],[First Name]],Employees_Data[[#This Row],[Last Name]])</f>
        <v>Muhamad Amir</v>
      </c>
      <c r="B172" s="63">
        <v>4</v>
      </c>
      <c r="C172" s="54">
        <v>5</v>
      </c>
      <c r="D172" s="54" t="str">
        <f>IFERROR(IF(OR(Attendance_Warning[[#This Row],[Sick Leaves]]&gt;3,Attendance_Warning[[#This Row],[Unpaid Leaves]]&gt;3),"Warning","OK"),"Not Found")</f>
        <v>Warning</v>
      </c>
    </row>
    <row r="173" spans="1:4" x14ac:dyDescent="0.35">
      <c r="A173" s="40" t="str">
        <f>_xlfn.TEXTJOIN(" ",TRUE,Employees_Data[[#This Row],[First Name]],Employees_Data[[#This Row],[Last Name]])</f>
        <v>Lilas Balatah</v>
      </c>
      <c r="B173" s="64">
        <v>0</v>
      </c>
      <c r="C173" s="56">
        <v>0</v>
      </c>
      <c r="D173" s="56" t="str">
        <f>IFERROR(IF(OR(Attendance_Warning[[#This Row],[Sick Leaves]]&gt;3,Attendance_Warning[[#This Row],[Unpaid Leaves]]&gt;3),"Warning","OK"),"Not Found")</f>
        <v>OK</v>
      </c>
    </row>
    <row r="174" spans="1:4" x14ac:dyDescent="0.35">
      <c r="A174" s="36" t="str">
        <f>_xlfn.TEXTJOIN(" ",TRUE,Employees_Data[[#This Row],[First Name]],Employees_Data[[#This Row],[Last Name]])</f>
        <v>Ruaa Mukiin</v>
      </c>
      <c r="B174" s="63">
        <v>0</v>
      </c>
      <c r="C174" s="54">
        <v>0</v>
      </c>
      <c r="D174" s="54" t="str">
        <f>IFERROR(IF(OR(Attendance_Warning[[#This Row],[Sick Leaves]]&gt;3,Attendance_Warning[[#This Row],[Unpaid Leaves]]&gt;3),"Warning","OK"),"Not Found")</f>
        <v>OK</v>
      </c>
    </row>
    <row r="175" spans="1:4" x14ac:dyDescent="0.35">
      <c r="A175" s="40" t="str">
        <f>_xlfn.TEXTJOIN(" ",TRUE,Employees_Data[[#This Row],[First Name]],Employees_Data[[#This Row],[Last Name]])</f>
        <v>Rana Shaeban</v>
      </c>
      <c r="B175" s="64">
        <v>5</v>
      </c>
      <c r="C175" s="56">
        <v>0</v>
      </c>
      <c r="D175" s="56" t="str">
        <f>IFERROR(IF(OR(Attendance_Warning[[#This Row],[Sick Leaves]]&gt;3,Attendance_Warning[[#This Row],[Unpaid Leaves]]&gt;3),"Warning","OK"),"Not Found")</f>
        <v>Warning</v>
      </c>
    </row>
    <row r="176" spans="1:4" x14ac:dyDescent="0.35">
      <c r="A176" s="36" t="str">
        <f>_xlfn.TEXTJOIN(" ",TRUE,Employees_Data[[#This Row],[First Name]],Employees_Data[[#This Row],[Last Name]])</f>
        <v>Muwmin Ewad</v>
      </c>
      <c r="B176" s="63">
        <v>0</v>
      </c>
      <c r="C176" s="54">
        <v>0</v>
      </c>
      <c r="D176" s="54" t="str">
        <f>IFERROR(IF(OR(Attendance_Warning[[#This Row],[Sick Leaves]]&gt;3,Attendance_Warning[[#This Row],[Unpaid Leaves]]&gt;3),"Warning","OK"),"Not Found")</f>
        <v>OK</v>
      </c>
    </row>
    <row r="177" spans="1:4" x14ac:dyDescent="0.35">
      <c r="A177" s="40" t="str">
        <f>_xlfn.TEXTJOIN(" ",TRUE,Employees_Data[[#This Row],[First Name]],Employees_Data[[#This Row],[Last Name]])</f>
        <v>Rahaf Alaleppoy</v>
      </c>
      <c r="B177" s="64">
        <v>6</v>
      </c>
      <c r="C177" s="56">
        <v>0</v>
      </c>
      <c r="D177" s="56" t="str">
        <f>IFERROR(IF(OR(Attendance_Warning[[#This Row],[Sick Leaves]]&gt;3,Attendance_Warning[[#This Row],[Unpaid Leaves]]&gt;3),"Warning","OK"),"Not Found")</f>
        <v>Warning</v>
      </c>
    </row>
    <row r="178" spans="1:4" x14ac:dyDescent="0.35">
      <c r="A178" s="36" t="str">
        <f>_xlfn.TEXTJOIN(" ",TRUE,Employees_Data[[#This Row],[First Name]],Employees_Data[[#This Row],[Last Name]])</f>
        <v>Samiah Alsaedi</v>
      </c>
      <c r="B178" s="63">
        <v>0</v>
      </c>
      <c r="C178" s="54">
        <v>0</v>
      </c>
      <c r="D178" s="54" t="str">
        <f>IFERROR(IF(OR(Attendance_Warning[[#This Row],[Sick Leaves]]&gt;3,Attendance_Warning[[#This Row],[Unpaid Leaves]]&gt;3),"Warning","OK"),"Not Found")</f>
        <v>OK</v>
      </c>
    </row>
    <row r="179" spans="1:4" x14ac:dyDescent="0.35">
      <c r="A179" s="40" t="str">
        <f>_xlfn.TEXTJOIN(" ",TRUE,Employees_Data[[#This Row],[First Name]],Employees_Data[[#This Row],[Last Name]])</f>
        <v>Rim Hamdu</v>
      </c>
      <c r="B179" s="64">
        <v>0</v>
      </c>
      <c r="C179" s="56">
        <v>0</v>
      </c>
      <c r="D179" s="56" t="str">
        <f>IFERROR(IF(OR(Attendance_Warning[[#This Row],[Sick Leaves]]&gt;3,Attendance_Warning[[#This Row],[Unpaid Leaves]]&gt;3),"Warning","OK"),"Not Found")</f>
        <v>OK</v>
      </c>
    </row>
    <row r="180" spans="1:4" x14ac:dyDescent="0.35">
      <c r="A180" s="36" t="str">
        <f>_xlfn.TEXTJOIN(" ",TRUE,Employees_Data[[#This Row],[First Name]],Employees_Data[[#This Row],[Last Name]])</f>
        <v>Aishah Alquatliu</v>
      </c>
      <c r="B180" s="63">
        <v>0</v>
      </c>
      <c r="C180" s="54">
        <v>1</v>
      </c>
      <c r="D180" s="54" t="str">
        <f>IFERROR(IF(OR(Attendance_Warning[[#This Row],[Sick Leaves]]&gt;3,Attendance_Warning[[#This Row],[Unpaid Leaves]]&gt;3),"Warning","OK"),"Not Found")</f>
        <v>OK</v>
      </c>
    </row>
    <row r="181" spans="1:4" x14ac:dyDescent="0.35">
      <c r="A181" s="40" t="str">
        <f>_xlfn.TEXTJOIN(" ",TRUE,Employees_Data[[#This Row],[First Name]],Employees_Data[[#This Row],[Last Name]])</f>
        <v>Dany Albaba</v>
      </c>
      <c r="B181" s="64">
        <v>6</v>
      </c>
      <c r="C181" s="56">
        <v>0</v>
      </c>
      <c r="D181" s="56" t="str">
        <f>IFERROR(IF(OR(Attendance_Warning[[#This Row],[Sick Leaves]]&gt;3,Attendance_Warning[[#This Row],[Unpaid Leaves]]&gt;3),"Warning","OK"),"Not Found")</f>
        <v>Warning</v>
      </c>
    </row>
    <row r="182" spans="1:4" x14ac:dyDescent="0.35">
      <c r="A182" s="36" t="str">
        <f>_xlfn.TEXTJOIN(" ",TRUE,Employees_Data[[#This Row],[First Name]],Employees_Data[[#This Row],[Last Name]])</f>
        <v>Muhamad Rinkusi</v>
      </c>
      <c r="B182" s="63">
        <v>0</v>
      </c>
      <c r="C182" s="54">
        <v>5</v>
      </c>
      <c r="D182" s="54" t="str">
        <f>IFERROR(IF(OR(Attendance_Warning[[#This Row],[Sick Leaves]]&gt;3,Attendance_Warning[[#This Row],[Unpaid Leaves]]&gt;3),"Warning","OK"),"Not Found")</f>
        <v>Warning</v>
      </c>
    </row>
    <row r="183" spans="1:4" x14ac:dyDescent="0.35">
      <c r="A183" s="40" t="str">
        <f>_xlfn.TEXTJOIN(" ",TRUE,Employees_Data[[#This Row],[First Name]],Employees_Data[[#This Row],[Last Name]])</f>
        <v>Isam Jadid</v>
      </c>
      <c r="B183" s="64">
        <v>0</v>
      </c>
      <c r="C183" s="56">
        <v>0</v>
      </c>
      <c r="D183" s="56" t="str">
        <f>IFERROR(IF(OR(Attendance_Warning[[#This Row],[Sick Leaves]]&gt;3,Attendance_Warning[[#This Row],[Unpaid Leaves]]&gt;3),"Warning","OK"),"Not Found")</f>
        <v>OK</v>
      </c>
    </row>
    <row r="184" spans="1:4" x14ac:dyDescent="0.35">
      <c r="A184" s="36" t="str">
        <f>_xlfn.TEXTJOIN(" ",TRUE,Employees_Data[[#This Row],[First Name]],Employees_Data[[#This Row],[Last Name]])</f>
        <v>Bushraa Drwysh</v>
      </c>
      <c r="B184" s="63">
        <v>3</v>
      </c>
      <c r="C184" s="54">
        <v>0</v>
      </c>
      <c r="D184" s="54" t="str">
        <f>IFERROR(IF(OR(Attendance_Warning[[#This Row],[Sick Leaves]]&gt;3,Attendance_Warning[[#This Row],[Unpaid Leaves]]&gt;3),"Warning","OK"),"Not Found")</f>
        <v>OK</v>
      </c>
    </row>
    <row r="185" spans="1:4" x14ac:dyDescent="0.35">
      <c r="A185" s="40" t="str">
        <f>_xlfn.TEXTJOIN(" ",TRUE,Employees_Data[[#This Row],[First Name]],Employees_Data[[#This Row],[Last Name]])</f>
        <v>Zakarian Rashwani</v>
      </c>
      <c r="B185" s="64">
        <v>6</v>
      </c>
      <c r="C185" s="56">
        <v>0</v>
      </c>
      <c r="D185" s="56" t="str">
        <f>IFERROR(IF(OR(Attendance_Warning[[#This Row],[Sick Leaves]]&gt;3,Attendance_Warning[[#This Row],[Unpaid Leaves]]&gt;3),"Warning","OK"),"Not Found")</f>
        <v>Warning</v>
      </c>
    </row>
    <row r="186" spans="1:4" x14ac:dyDescent="0.35">
      <c r="A186" s="36" t="str">
        <f>_xlfn.TEXTJOIN(" ",TRUE,Employees_Data[[#This Row],[First Name]],Employees_Data[[#This Row],[Last Name]])</f>
        <v>Fadi Alqadi</v>
      </c>
      <c r="B186" s="63">
        <v>6</v>
      </c>
      <c r="C186" s="54">
        <v>0</v>
      </c>
      <c r="D186" s="54" t="str">
        <f>IFERROR(IF(OR(Attendance_Warning[[#This Row],[Sick Leaves]]&gt;3,Attendance_Warning[[#This Row],[Unpaid Leaves]]&gt;3),"Warning","OK"),"Not Found")</f>
        <v>Warning</v>
      </c>
    </row>
    <row r="187" spans="1:4" x14ac:dyDescent="0.35">
      <c r="A187" s="40" t="str">
        <f>_xlfn.TEXTJOIN(" ",TRUE,Employees_Data[[#This Row],[First Name]],Employees_Data[[#This Row],[Last Name]])</f>
        <v>Diea Almarstani</v>
      </c>
      <c r="B187" s="64">
        <v>5</v>
      </c>
      <c r="C187" s="56">
        <v>0</v>
      </c>
      <c r="D187" s="56" t="str">
        <f>IFERROR(IF(OR(Attendance_Warning[[#This Row],[Sick Leaves]]&gt;3,Attendance_Warning[[#This Row],[Unpaid Leaves]]&gt;3),"Warning","OK"),"Not Found")</f>
        <v>Warning</v>
      </c>
    </row>
    <row r="188" spans="1:4" x14ac:dyDescent="0.35">
      <c r="A188" s="36" t="str">
        <f>_xlfn.TEXTJOIN(" ",TRUE,Employees_Data[[#This Row],[First Name]],Employees_Data[[#This Row],[Last Name]])</f>
        <v>Muhamad Siedih</v>
      </c>
      <c r="B188" s="63">
        <v>4</v>
      </c>
      <c r="C188" s="54">
        <v>6</v>
      </c>
      <c r="D188" s="54" t="str">
        <f>IFERROR(IF(OR(Attendance_Warning[[#This Row],[Sick Leaves]]&gt;3,Attendance_Warning[[#This Row],[Unpaid Leaves]]&gt;3),"Warning","OK"),"Not Found")</f>
        <v>Warning</v>
      </c>
    </row>
    <row r="189" spans="1:4" x14ac:dyDescent="0.35">
      <c r="A189" s="40" t="str">
        <f>_xlfn.TEXTJOIN(" ",TRUE,Employees_Data[[#This Row],[First Name]],Employees_Data[[#This Row],[Last Name]])</f>
        <v>Bisam Almisri</v>
      </c>
      <c r="B189" s="64">
        <v>0</v>
      </c>
      <c r="C189" s="56">
        <v>0</v>
      </c>
      <c r="D189" s="56" t="str">
        <f>IFERROR(IF(OR(Attendance_Warning[[#This Row],[Sick Leaves]]&gt;3,Attendance_Warning[[#This Row],[Unpaid Leaves]]&gt;3),"Warning","OK"),"Not Found")</f>
        <v>OK</v>
      </c>
    </row>
    <row r="190" spans="1:4" x14ac:dyDescent="0.35">
      <c r="A190" s="36" t="str">
        <f>_xlfn.TEXTJOIN(" ",TRUE,Employees_Data[[#This Row],[First Name]],Employees_Data[[#This Row],[Last Name]])</f>
        <v>Muhamad Alkhatib</v>
      </c>
      <c r="B190" s="63">
        <v>2</v>
      </c>
      <c r="C190" s="54">
        <v>5</v>
      </c>
      <c r="D190" s="54" t="str">
        <f>IFERROR(IF(OR(Attendance_Warning[[#This Row],[Sick Leaves]]&gt;3,Attendance_Warning[[#This Row],[Unpaid Leaves]]&gt;3),"Warning","OK"),"Not Found")</f>
        <v>Warning</v>
      </c>
    </row>
    <row r="191" spans="1:4" x14ac:dyDescent="0.35">
      <c r="A191" s="40" t="str">
        <f>_xlfn.TEXTJOIN(" ",TRUE,Employees_Data[[#This Row],[First Name]],Employees_Data[[#This Row],[Last Name]])</f>
        <v>Muhamad Rghid</v>
      </c>
      <c r="B191" s="64">
        <v>0</v>
      </c>
      <c r="C191" s="56">
        <v>0</v>
      </c>
      <c r="D191" s="56" t="str">
        <f>IFERROR(IF(OR(Attendance_Warning[[#This Row],[Sick Leaves]]&gt;3,Attendance_Warning[[#This Row],[Unpaid Leaves]]&gt;3),"Warning","OK"),"Not Found")</f>
        <v>OK</v>
      </c>
    </row>
    <row r="192" spans="1:4" x14ac:dyDescent="0.35">
      <c r="A192" s="36" t="str">
        <f>_xlfn.TEXTJOIN(" ",TRUE,Employees_Data[[#This Row],[First Name]],Employees_Data[[#This Row],[Last Name]])</f>
        <v>Omar Shakir</v>
      </c>
      <c r="B192" s="63">
        <v>6</v>
      </c>
      <c r="C192" s="54">
        <v>0</v>
      </c>
      <c r="D192" s="54" t="str">
        <f>IFERROR(IF(OR(Attendance_Warning[[#This Row],[Sick Leaves]]&gt;3,Attendance_Warning[[#This Row],[Unpaid Leaves]]&gt;3),"Warning","OK"),"Not Found")</f>
        <v>Warning</v>
      </c>
    </row>
    <row r="193" spans="1:4" x14ac:dyDescent="0.35">
      <c r="A193" s="40" t="str">
        <f>_xlfn.TEXTJOIN(" ",TRUE,Employees_Data[[#This Row],[First Name]],Employees_Data[[#This Row],[Last Name]])</f>
        <v>Aryj Hamada</v>
      </c>
      <c r="B193" s="64">
        <v>0</v>
      </c>
      <c r="C193" s="56">
        <v>0</v>
      </c>
      <c r="D193" s="56" t="str">
        <f>IFERROR(IF(OR(Attendance_Warning[[#This Row],[Sick Leaves]]&gt;3,Attendance_Warning[[#This Row],[Unpaid Leaves]]&gt;3),"Warning","OK"),"Not Found")</f>
        <v>OK</v>
      </c>
    </row>
    <row r="194" spans="1:4" x14ac:dyDescent="0.35">
      <c r="A194" s="36" t="str">
        <f>_xlfn.TEXTJOIN(" ",TRUE,Employees_Data[[#This Row],[First Name]],Employees_Data[[#This Row],[Last Name]])</f>
        <v>Madlin Saeid</v>
      </c>
      <c r="B194" s="63">
        <v>0</v>
      </c>
      <c r="C194" s="54">
        <v>0</v>
      </c>
      <c r="D194" s="54" t="str">
        <f>IFERROR(IF(OR(Attendance_Warning[[#This Row],[Sick Leaves]]&gt;3,Attendance_Warning[[#This Row],[Unpaid Leaves]]&gt;3),"Warning","OK"),"Not Found")</f>
        <v>OK</v>
      </c>
    </row>
    <row r="195" spans="1:4" x14ac:dyDescent="0.35">
      <c r="A195" s="40" t="str">
        <f>_xlfn.TEXTJOIN(" ",TRUE,Employees_Data[[#This Row],[First Name]],Employees_Data[[#This Row],[Last Name]])</f>
        <v>Rybal Sabagh</v>
      </c>
      <c r="B195" s="64">
        <v>0</v>
      </c>
      <c r="C195" s="56">
        <v>0</v>
      </c>
      <c r="D195" s="56" t="str">
        <f>IFERROR(IF(OR(Attendance_Warning[[#This Row],[Sick Leaves]]&gt;3,Attendance_Warning[[#This Row],[Unpaid Leaves]]&gt;3),"Warning","OK"),"Not Found")</f>
        <v>OK</v>
      </c>
    </row>
    <row r="196" spans="1:4" x14ac:dyDescent="0.35">
      <c r="A196" s="36" t="str">
        <f>_xlfn.TEXTJOIN(" ",TRUE,Employees_Data[[#This Row],[First Name]],Employees_Data[[#This Row],[Last Name]])</f>
        <v>Samar Alqutb</v>
      </c>
      <c r="B196" s="63">
        <v>4</v>
      </c>
      <c r="C196" s="54">
        <v>6</v>
      </c>
      <c r="D196" s="54" t="str">
        <f>IFERROR(IF(OR(Attendance_Warning[[#This Row],[Sick Leaves]]&gt;3,Attendance_Warning[[#This Row],[Unpaid Leaves]]&gt;3),"Warning","OK"),"Not Found")</f>
        <v>Warning</v>
      </c>
    </row>
    <row r="197" spans="1:4" x14ac:dyDescent="0.35">
      <c r="A197" s="40" t="str">
        <f>_xlfn.TEXTJOIN(" ",TRUE,Employees_Data[[#This Row],[First Name]],Employees_Data[[#This Row],[Last Name]])</f>
        <v>Eala Murad</v>
      </c>
      <c r="B197" s="64">
        <v>0</v>
      </c>
      <c r="C197" s="56">
        <v>0</v>
      </c>
      <c r="D197" s="56" t="str">
        <f>IFERROR(IF(OR(Attendance_Warning[[#This Row],[Sick Leaves]]&gt;3,Attendance_Warning[[#This Row],[Unpaid Leaves]]&gt;3),"Warning","OK"),"Not Found")</f>
        <v>OK</v>
      </c>
    </row>
    <row r="198" spans="1:4" x14ac:dyDescent="0.35">
      <c r="A198" s="36" t="str">
        <f>_xlfn.TEXTJOIN(" ",TRUE,Employees_Data[[#This Row],[First Name]],Employees_Data[[#This Row],[Last Name]])</f>
        <v>Ahmad Salih</v>
      </c>
      <c r="B198" s="63">
        <v>6</v>
      </c>
      <c r="C198" s="54">
        <v>0</v>
      </c>
      <c r="D198" s="54" t="str">
        <f>IFERROR(IF(OR(Attendance_Warning[[#This Row],[Sick Leaves]]&gt;3,Attendance_Warning[[#This Row],[Unpaid Leaves]]&gt;3),"Warning","OK"),"Not Found")</f>
        <v>Warning</v>
      </c>
    </row>
    <row r="199" spans="1:4" x14ac:dyDescent="0.35">
      <c r="A199" s="40" t="str">
        <f>_xlfn.TEXTJOIN(" ",TRUE,Employees_Data[[#This Row],[First Name]],Employees_Data[[#This Row],[Last Name]])</f>
        <v>Ibrahim Alhamid</v>
      </c>
      <c r="B199" s="64">
        <v>1</v>
      </c>
      <c r="C199" s="56">
        <v>0</v>
      </c>
      <c r="D199" s="56" t="str">
        <f>IFERROR(IF(OR(Attendance_Warning[[#This Row],[Sick Leaves]]&gt;3,Attendance_Warning[[#This Row],[Unpaid Leaves]]&gt;3),"Warning","OK"),"Not Found")</f>
        <v>OK</v>
      </c>
    </row>
    <row r="200" spans="1:4" x14ac:dyDescent="0.35">
      <c r="A200" s="36" t="str">
        <f>_xlfn.TEXTJOIN(" ",TRUE,Employees_Data[[#This Row],[First Name]],Employees_Data[[#This Row],[Last Name]])</f>
        <v>Muhamad Alziyat</v>
      </c>
      <c r="B200" s="63">
        <v>5</v>
      </c>
      <c r="C200" s="54">
        <v>0</v>
      </c>
      <c r="D200" s="54" t="str">
        <f>IFERROR(IF(OR(Attendance_Warning[[#This Row],[Sick Leaves]]&gt;3,Attendance_Warning[[#This Row],[Unpaid Leaves]]&gt;3),"Warning","OK"),"Not Found")</f>
        <v>Warning</v>
      </c>
    </row>
    <row r="201" spans="1:4" x14ac:dyDescent="0.35">
      <c r="A201" s="40" t="str">
        <f>_xlfn.TEXTJOIN(" ",TRUE,Employees_Data[[#This Row],[First Name]],Employees_Data[[#This Row],[Last Name]])</f>
        <v>Ali Nhl</v>
      </c>
      <c r="B201" s="64">
        <v>1</v>
      </c>
      <c r="C201" s="56">
        <v>5</v>
      </c>
      <c r="D201" s="56" t="str">
        <f>IFERROR(IF(OR(Attendance_Warning[[#This Row],[Sick Leaves]]&gt;3,Attendance_Warning[[#This Row],[Unpaid Leaves]]&gt;3),"Warning","OK"),"Not Found")</f>
        <v>Warning</v>
      </c>
    </row>
    <row r="202" spans="1:4" x14ac:dyDescent="0.35">
      <c r="A202" s="36" t="str">
        <f>_xlfn.TEXTJOIN(" ",TRUE,Employees_Data[[#This Row],[First Name]],Employees_Data[[#This Row],[Last Name]])</f>
        <v>Saed Alsiyah</v>
      </c>
      <c r="B202" s="63">
        <v>0</v>
      </c>
      <c r="C202" s="54">
        <v>0</v>
      </c>
      <c r="D202" s="54" t="str">
        <f>IFERROR(IF(OR(Attendance_Warning[[#This Row],[Sick Leaves]]&gt;3,Attendance_Warning[[#This Row],[Unpaid Leaves]]&gt;3),"Warning","OK"),"Not Found")</f>
        <v>OK</v>
      </c>
    </row>
    <row r="203" spans="1:4" x14ac:dyDescent="0.35">
      <c r="A203" s="40" t="str">
        <f>_xlfn.TEXTJOIN(" ",TRUE,Employees_Data[[#This Row],[First Name]],Employees_Data[[#This Row],[Last Name]])</f>
        <v>Majdy Rafaea</v>
      </c>
      <c r="B203" s="64">
        <v>2</v>
      </c>
      <c r="C203" s="56">
        <v>0</v>
      </c>
      <c r="D203" s="56" t="str">
        <f>IFERROR(IF(OR(Attendance_Warning[[#This Row],[Sick Leaves]]&gt;3,Attendance_Warning[[#This Row],[Unpaid Leaves]]&gt;3),"Warning","OK"),"Not Found")</f>
        <v>OK</v>
      </c>
    </row>
    <row r="204" spans="1:4" x14ac:dyDescent="0.35">
      <c r="A204" s="36" t="str">
        <f>_xlfn.TEXTJOIN(" ",TRUE,Employees_Data[[#This Row],[First Name]],Employees_Data[[#This Row],[Last Name]])</f>
        <v>Ihsan Eazu</v>
      </c>
      <c r="B204" s="63">
        <v>5</v>
      </c>
      <c r="C204" s="54">
        <v>4</v>
      </c>
      <c r="D204" s="54" t="str">
        <f>IFERROR(IF(OR(Attendance_Warning[[#This Row],[Sick Leaves]]&gt;3,Attendance_Warning[[#This Row],[Unpaid Leaves]]&gt;3),"Warning","OK"),"Not Found")</f>
        <v>Warning</v>
      </c>
    </row>
    <row r="205" spans="1:4" x14ac:dyDescent="0.35">
      <c r="A205" s="40" t="str">
        <f>_xlfn.TEXTJOIN(" ",TRUE,Employees_Data[[#This Row],[First Name]],Employees_Data[[#This Row],[Last Name]])</f>
        <v>Iad Alshaykh</v>
      </c>
      <c r="B205" s="64">
        <v>0</v>
      </c>
      <c r="C205" s="56">
        <v>0</v>
      </c>
      <c r="D205" s="56" t="str">
        <f>IFERROR(IF(OR(Attendance_Warning[[#This Row],[Sick Leaves]]&gt;3,Attendance_Warning[[#This Row],[Unpaid Leaves]]&gt;3),"Warning","OK"),"Not Found")</f>
        <v>OK</v>
      </c>
    </row>
    <row r="206" spans="1:4" x14ac:dyDescent="0.35">
      <c r="A206" s="36" t="str">
        <f>_xlfn.TEXTJOIN(" ",TRUE,Employees_Data[[#This Row],[First Name]],Employees_Data[[#This Row],[Last Name]])</f>
        <v>Bara Alrrashid</v>
      </c>
      <c r="B206" s="63">
        <v>4</v>
      </c>
      <c r="C206" s="54">
        <v>0</v>
      </c>
      <c r="D206" s="54" t="str">
        <f>IFERROR(IF(OR(Attendance_Warning[[#This Row],[Sick Leaves]]&gt;3,Attendance_Warning[[#This Row],[Unpaid Leaves]]&gt;3),"Warning","OK"),"Not Found")</f>
        <v>Warning</v>
      </c>
    </row>
    <row r="207" spans="1:4" x14ac:dyDescent="0.35">
      <c r="A207" s="40" t="str">
        <f>_xlfn.TEXTJOIN(" ",TRUE,Employees_Data[[#This Row],[First Name]],Employees_Data[[#This Row],[Last Name]])</f>
        <v>Fadi Nuna</v>
      </c>
      <c r="B207" s="64">
        <v>6</v>
      </c>
      <c r="C207" s="56">
        <v>0</v>
      </c>
      <c r="D207" s="56" t="str">
        <f>IFERROR(IF(OR(Attendance_Warning[[#This Row],[Sick Leaves]]&gt;3,Attendance_Warning[[#This Row],[Unpaid Leaves]]&gt;3),"Warning","OK"),"Not Found")</f>
        <v>Warning</v>
      </c>
    </row>
    <row r="208" spans="1:4" x14ac:dyDescent="0.35">
      <c r="A208" s="36" t="str">
        <f>_xlfn.TEXTJOIN(" ",TRUE,Employees_Data[[#This Row],[First Name]],Employees_Data[[#This Row],[Last Name]])</f>
        <v>Muhamad Salah</v>
      </c>
      <c r="B208" s="63">
        <v>6</v>
      </c>
      <c r="C208" s="54">
        <v>0</v>
      </c>
      <c r="D208" s="54" t="str">
        <f>IFERROR(IF(OR(Attendance_Warning[[#This Row],[Sick Leaves]]&gt;3,Attendance_Warning[[#This Row],[Unpaid Leaves]]&gt;3),"Warning","OK"),"Not Found")</f>
        <v>Warning</v>
      </c>
    </row>
    <row r="209" spans="1:4" x14ac:dyDescent="0.35">
      <c r="A209" s="40" t="str">
        <f>_xlfn.TEXTJOIN(" ",TRUE,Employees_Data[[#This Row],[First Name]],Employees_Data[[#This Row],[Last Name]])</f>
        <v>Bima Mustafaa</v>
      </c>
      <c r="B209" s="64">
        <v>0</v>
      </c>
      <c r="C209" s="56">
        <v>0</v>
      </c>
      <c r="D209" s="56" t="str">
        <f>IFERROR(IF(OR(Attendance_Warning[[#This Row],[Sick Leaves]]&gt;3,Attendance_Warning[[#This Row],[Unpaid Leaves]]&gt;3),"Warning","OK"),"Not Found")</f>
        <v>OK</v>
      </c>
    </row>
    <row r="210" spans="1:4" x14ac:dyDescent="0.35">
      <c r="A210" s="36" t="str">
        <f>_xlfn.TEXTJOIN(" ",TRUE,Employees_Data[[#This Row],[First Name]],Employees_Data[[#This Row],[Last Name]])</f>
        <v>Husam Abu Shwmr</v>
      </c>
      <c r="B210" s="63">
        <v>0</v>
      </c>
      <c r="C210" s="54">
        <v>0</v>
      </c>
      <c r="D210" s="54" t="str">
        <f>IFERROR(IF(OR(Attendance_Warning[[#This Row],[Sick Leaves]]&gt;3,Attendance_Warning[[#This Row],[Unpaid Leaves]]&gt;3),"Warning","OK"),"Not Found")</f>
        <v>OK</v>
      </c>
    </row>
    <row r="211" spans="1:4" x14ac:dyDescent="0.35">
      <c r="A211" s="40" t="str">
        <f>_xlfn.TEXTJOIN(" ",TRUE,Employees_Data[[#This Row],[First Name]],Employees_Data[[#This Row],[Last Name]])</f>
        <v>Abdalrahmin Turkmany</v>
      </c>
      <c r="B211" s="64">
        <v>0</v>
      </c>
      <c r="C211" s="56">
        <v>0</v>
      </c>
      <c r="D211" s="56" t="str">
        <f>IFERROR(IF(OR(Attendance_Warning[[#This Row],[Sick Leaves]]&gt;3,Attendance_Warning[[#This Row],[Unpaid Leaves]]&gt;3),"Warning","OK"),"Not Found")</f>
        <v>OK</v>
      </c>
    </row>
    <row r="212" spans="1:4" x14ac:dyDescent="0.35">
      <c r="A212" s="36" t="str">
        <f>_xlfn.TEXTJOIN(" ",TRUE,Employees_Data[[#This Row],[First Name]],Employees_Data[[#This Row],[Last Name]])</f>
        <v>Majdulyn Alhakim</v>
      </c>
      <c r="B212" s="63">
        <v>0</v>
      </c>
      <c r="C212" s="54">
        <v>0</v>
      </c>
      <c r="D212" s="54" t="str">
        <f>IFERROR(IF(OR(Attendance_Warning[[#This Row],[Sick Leaves]]&gt;3,Attendance_Warning[[#This Row],[Unpaid Leaves]]&gt;3),"Warning","OK"),"Not Found")</f>
        <v>OK</v>
      </c>
    </row>
    <row r="213" spans="1:4" x14ac:dyDescent="0.35">
      <c r="A213" s="40" t="str">
        <f>_xlfn.TEXTJOIN(" ",TRUE,Employees_Data[[#This Row],[First Name]],Employees_Data[[#This Row],[Last Name]])</f>
        <v>Ahmad Abu Jaysh</v>
      </c>
      <c r="B213" s="64">
        <v>2</v>
      </c>
      <c r="C213" s="56">
        <v>0</v>
      </c>
      <c r="D213" s="56" t="str">
        <f>IFERROR(IF(OR(Attendance_Warning[[#This Row],[Sick Leaves]]&gt;3,Attendance_Warning[[#This Row],[Unpaid Leaves]]&gt;3),"Warning","OK"),"Not Found")</f>
        <v>OK</v>
      </c>
    </row>
    <row r="214" spans="1:4" x14ac:dyDescent="0.35">
      <c r="A214" s="36" t="str">
        <f>_xlfn.TEXTJOIN(" ",TRUE,Employees_Data[[#This Row],[First Name]],Employees_Data[[#This Row],[Last Name]])</f>
        <v>Majid Aleusud</v>
      </c>
      <c r="B214" s="63">
        <v>1</v>
      </c>
      <c r="C214" s="54">
        <v>0</v>
      </c>
      <c r="D214" s="54" t="str">
        <f>IFERROR(IF(OR(Attendance_Warning[[#This Row],[Sick Leaves]]&gt;3,Attendance_Warning[[#This Row],[Unpaid Leaves]]&gt;3),"Warning","OK"),"Not Found")</f>
        <v>OK</v>
      </c>
    </row>
    <row r="215" spans="1:4" x14ac:dyDescent="0.35">
      <c r="A215" s="40" t="str">
        <f>_xlfn.TEXTJOIN(" ",TRUE,Employees_Data[[#This Row],[First Name]],Employees_Data[[#This Row],[Last Name]])</f>
        <v>Bashshar Shakhashiru</v>
      </c>
      <c r="B215" s="64">
        <v>0</v>
      </c>
      <c r="C215" s="56">
        <v>0</v>
      </c>
      <c r="D215" s="56" t="str">
        <f>IFERROR(IF(OR(Attendance_Warning[[#This Row],[Sick Leaves]]&gt;3,Attendance_Warning[[#This Row],[Unpaid Leaves]]&gt;3),"Warning","OK"),"Not Found")</f>
        <v>OK</v>
      </c>
    </row>
    <row r="216" spans="1:4" x14ac:dyDescent="0.35">
      <c r="A216" s="36" t="str">
        <f>_xlfn.TEXTJOIN(" ",TRUE,Employees_Data[[#This Row],[First Name]],Employees_Data[[#This Row],[Last Name]])</f>
        <v>Malik Alshaykh</v>
      </c>
      <c r="B216" s="63">
        <v>0</v>
      </c>
      <c r="C216" s="54">
        <v>5</v>
      </c>
      <c r="D216" s="54" t="str">
        <f>IFERROR(IF(OR(Attendance_Warning[[#This Row],[Sick Leaves]]&gt;3,Attendance_Warning[[#This Row],[Unpaid Leaves]]&gt;3),"Warning","OK"),"Not Found")</f>
        <v>Warning</v>
      </c>
    </row>
    <row r="217" spans="1:4" x14ac:dyDescent="0.35">
      <c r="A217" s="40" t="str">
        <f>_xlfn.TEXTJOIN(" ",TRUE,Employees_Data[[#This Row],[First Name]],Employees_Data[[#This Row],[Last Name]])</f>
        <v>Omar Zarzur</v>
      </c>
      <c r="B217" s="64">
        <v>1</v>
      </c>
      <c r="C217" s="56">
        <v>0</v>
      </c>
      <c r="D217" s="56" t="str">
        <f>IFERROR(IF(OR(Attendance_Warning[[#This Row],[Sick Leaves]]&gt;3,Attendance_Warning[[#This Row],[Unpaid Leaves]]&gt;3),"Warning","OK"),"Not Found")</f>
        <v>OK</v>
      </c>
    </row>
    <row r="218" spans="1:4" x14ac:dyDescent="0.35">
      <c r="A218" s="36" t="str">
        <f>_xlfn.TEXTJOIN(" ",TRUE,Employees_Data[[#This Row],[First Name]],Employees_Data[[#This Row],[Last Name]])</f>
        <v>Hasan Iismaeil</v>
      </c>
      <c r="B218" s="63">
        <v>6</v>
      </c>
      <c r="C218" s="54">
        <v>0</v>
      </c>
      <c r="D218" s="54" t="str">
        <f>IFERROR(IF(OR(Attendance_Warning[[#This Row],[Sick Leaves]]&gt;3,Attendance_Warning[[#This Row],[Unpaid Leaves]]&gt;3),"Warning","OK"),"Not Found")</f>
        <v>Warning</v>
      </c>
    </row>
    <row r="219" spans="1:4" x14ac:dyDescent="0.35">
      <c r="A219" s="40" t="str">
        <f>_xlfn.TEXTJOIN(" ",TRUE,Employees_Data[[#This Row],[First Name]],Employees_Data[[#This Row],[Last Name]])</f>
        <v>Husayn Abu Nasir</v>
      </c>
      <c r="B219" s="64">
        <v>0</v>
      </c>
      <c r="C219" s="56">
        <v>0</v>
      </c>
      <c r="D219" s="56" t="str">
        <f>IFERROR(IF(OR(Attendance_Warning[[#This Row],[Sick Leaves]]&gt;3,Attendance_Warning[[#This Row],[Unpaid Leaves]]&gt;3),"Warning","OK"),"Not Found")</f>
        <v>OK</v>
      </c>
    </row>
    <row r="220" spans="1:4" x14ac:dyDescent="0.35">
      <c r="A220" s="36" t="str">
        <f>_xlfn.TEXTJOIN(" ",TRUE,Employees_Data[[#This Row],[First Name]],Employees_Data[[#This Row],[Last Name]])</f>
        <v>Mazin Earabi</v>
      </c>
      <c r="B220" s="63">
        <v>0</v>
      </c>
      <c r="C220" s="54">
        <v>0</v>
      </c>
      <c r="D220" s="54" t="str">
        <f>IFERROR(IF(OR(Attendance_Warning[[#This Row],[Sick Leaves]]&gt;3,Attendance_Warning[[#This Row],[Unpaid Leaves]]&gt;3),"Warning","OK"),"Not Found")</f>
        <v>OK</v>
      </c>
    </row>
    <row r="221" spans="1:4" x14ac:dyDescent="0.35">
      <c r="A221" s="40" t="str">
        <f>_xlfn.TEXTJOIN(" ",TRUE,Employees_Data[[#This Row],[First Name]],Employees_Data[[#This Row],[Last Name]])</f>
        <v>Zahir Eisaa</v>
      </c>
      <c r="B221" s="64">
        <v>6</v>
      </c>
      <c r="C221" s="56">
        <v>0</v>
      </c>
      <c r="D221" s="56" t="str">
        <f>IFERROR(IF(OR(Attendance_Warning[[#This Row],[Sick Leaves]]&gt;3,Attendance_Warning[[#This Row],[Unpaid Leaves]]&gt;3),"Warning","OK"),"Not Found")</f>
        <v>Warning</v>
      </c>
    </row>
    <row r="222" spans="1:4" x14ac:dyDescent="0.35">
      <c r="A222" s="36" t="str">
        <f>_xlfn.TEXTJOIN(" ",TRUE,Employees_Data[[#This Row],[First Name]],Employees_Data[[#This Row],[Last Name]])</f>
        <v>Lama Sabiq</v>
      </c>
      <c r="B222" s="63">
        <v>0</v>
      </c>
      <c r="C222" s="54">
        <v>3</v>
      </c>
      <c r="D222" s="54" t="str">
        <f>IFERROR(IF(OR(Attendance_Warning[[#This Row],[Sick Leaves]]&gt;3,Attendance_Warning[[#This Row],[Unpaid Leaves]]&gt;3),"Warning","OK"),"Not Found")</f>
        <v>OK</v>
      </c>
    </row>
    <row r="223" spans="1:4" x14ac:dyDescent="0.35">
      <c r="A223" s="40" t="str">
        <f>_xlfn.TEXTJOIN(" ",TRUE,Employees_Data[[#This Row],[First Name]],Employees_Data[[#This Row],[Last Name]])</f>
        <v>Tariq Dw</v>
      </c>
      <c r="B223" s="64">
        <v>0</v>
      </c>
      <c r="C223" s="56">
        <v>0</v>
      </c>
      <c r="D223" s="56" t="str">
        <f>IFERROR(IF(OR(Attendance_Warning[[#This Row],[Sick Leaves]]&gt;3,Attendance_Warning[[#This Row],[Unpaid Leaves]]&gt;3),"Warning","OK"),"Not Found")</f>
        <v>OK</v>
      </c>
    </row>
    <row r="224" spans="1:4" x14ac:dyDescent="0.35">
      <c r="A224" s="36" t="str">
        <f>_xlfn.TEXTJOIN(" ",TRUE,Employees_Data[[#This Row],[First Name]],Employees_Data[[#This Row],[Last Name]])</f>
        <v>Jawaher Shaykhus</v>
      </c>
      <c r="B224" s="63">
        <v>0</v>
      </c>
      <c r="C224" s="54">
        <v>0</v>
      </c>
      <c r="D224" s="54" t="str">
        <f>IFERROR(IF(OR(Attendance_Warning[[#This Row],[Sick Leaves]]&gt;3,Attendance_Warning[[#This Row],[Unpaid Leaves]]&gt;3),"Warning","OK"),"Not Found")</f>
        <v>OK</v>
      </c>
    </row>
    <row r="225" spans="1:4" x14ac:dyDescent="0.35">
      <c r="A225" s="40" t="str">
        <f>_xlfn.TEXTJOIN(" ",TRUE,Employees_Data[[#This Row],[First Name]],Employees_Data[[#This Row],[Last Name]])</f>
        <v>Emam Mansur</v>
      </c>
      <c r="B225" s="64">
        <v>0</v>
      </c>
      <c r="C225" s="56">
        <v>0</v>
      </c>
      <c r="D225" s="56" t="str">
        <f>IFERROR(IF(OR(Attendance_Warning[[#This Row],[Sick Leaves]]&gt;3,Attendance_Warning[[#This Row],[Unpaid Leaves]]&gt;3),"Warning","OK"),"Not Found")</f>
        <v>OK</v>
      </c>
    </row>
    <row r="226" spans="1:4" x14ac:dyDescent="0.35">
      <c r="A226" s="36" t="str">
        <f>_xlfn.TEXTJOIN(" ",TRUE,Employees_Data[[#This Row],[First Name]],Employees_Data[[#This Row],[Last Name]])</f>
        <v>Muhamad Bulta</v>
      </c>
      <c r="B226" s="63">
        <v>0</v>
      </c>
      <c r="C226" s="54">
        <v>0</v>
      </c>
      <c r="D226" s="54" t="str">
        <f>IFERROR(IF(OR(Attendance_Warning[[#This Row],[Sick Leaves]]&gt;3,Attendance_Warning[[#This Row],[Unpaid Leaves]]&gt;3),"Warning","OK"),"Not Found")</f>
        <v>OK</v>
      </c>
    </row>
    <row r="227" spans="1:4" x14ac:dyDescent="0.35">
      <c r="A227" s="40" t="str">
        <f>_xlfn.TEXTJOIN(" ",TRUE,Employees_Data[[#This Row],[First Name]],Employees_Data[[#This Row],[Last Name]])</f>
        <v>Fatin Hamshu</v>
      </c>
      <c r="B227" s="64">
        <v>0</v>
      </c>
      <c r="C227" s="56">
        <v>1</v>
      </c>
      <c r="D227" s="56" t="str">
        <f>IFERROR(IF(OR(Attendance_Warning[[#This Row],[Sick Leaves]]&gt;3,Attendance_Warning[[#This Row],[Unpaid Leaves]]&gt;3),"Warning","OK"),"Not Found")</f>
        <v>OK</v>
      </c>
    </row>
    <row r="228" spans="1:4" x14ac:dyDescent="0.35">
      <c r="A228" s="36" t="str">
        <f>_xlfn.TEXTJOIN(" ",TRUE,Employees_Data[[#This Row],[First Name]],Employees_Data[[#This Row],[Last Name]])</f>
        <v>Abd Alruhmin Alnasar</v>
      </c>
      <c r="B228" s="63">
        <v>0</v>
      </c>
      <c r="C228" s="54">
        <v>0</v>
      </c>
      <c r="D228" s="54" t="str">
        <f>IFERROR(IF(OR(Attendance_Warning[[#This Row],[Sick Leaves]]&gt;3,Attendance_Warning[[#This Row],[Unpaid Leaves]]&gt;3),"Warning","OK"),"Not Found")</f>
        <v>OK</v>
      </c>
    </row>
    <row r="229" spans="1:4" x14ac:dyDescent="0.35">
      <c r="A229" s="40" t="str">
        <f>_xlfn.TEXTJOIN(" ",TRUE,Employees_Data[[#This Row],[First Name]],Employees_Data[[#This Row],[Last Name]])</f>
        <v>Fatin Red</v>
      </c>
      <c r="B229" s="64">
        <v>6</v>
      </c>
      <c r="C229" s="56">
        <v>0</v>
      </c>
      <c r="D229" s="56" t="str">
        <f>IFERROR(IF(OR(Attendance_Warning[[#This Row],[Sick Leaves]]&gt;3,Attendance_Warning[[#This Row],[Unpaid Leaves]]&gt;3),"Warning","OK"),"Not Found")</f>
        <v>Warning</v>
      </c>
    </row>
    <row r="230" spans="1:4" x14ac:dyDescent="0.35">
      <c r="A230" s="36" t="str">
        <f>_xlfn.TEXTJOIN(" ",TRUE,Employees_Data[[#This Row],[First Name]],Employees_Data[[#This Row],[Last Name]])</f>
        <v>Ali Muhamad</v>
      </c>
      <c r="B230" s="63">
        <v>1</v>
      </c>
      <c r="C230" s="54">
        <v>0</v>
      </c>
      <c r="D230" s="54" t="str">
        <f>IFERROR(IF(OR(Attendance_Warning[[#This Row],[Sick Leaves]]&gt;3,Attendance_Warning[[#This Row],[Unpaid Leaves]]&gt;3),"Warning","OK"),"Not Found")</f>
        <v>OK</v>
      </c>
    </row>
    <row r="231" spans="1:4" x14ac:dyDescent="0.35">
      <c r="A231" s="40" t="str">
        <f>_xlfn.TEXTJOIN(" ",TRUE,Employees_Data[[#This Row],[First Name]],Employees_Data[[#This Row],[Last Name]])</f>
        <v>Rima Dwalyby</v>
      </c>
      <c r="B231" s="64">
        <v>0</v>
      </c>
      <c r="C231" s="56">
        <v>0</v>
      </c>
      <c r="D231" s="56" t="str">
        <f>IFERROR(IF(OR(Attendance_Warning[[#This Row],[Sick Leaves]]&gt;3,Attendance_Warning[[#This Row],[Unpaid Leaves]]&gt;3),"Warning","OK"),"Not Found")</f>
        <v>OK</v>
      </c>
    </row>
    <row r="232" spans="1:4" x14ac:dyDescent="0.35">
      <c r="A232" s="36" t="str">
        <f>_xlfn.TEXTJOIN(" ",TRUE,Employees_Data[[#This Row],[First Name]],Employees_Data[[#This Row],[Last Name]])</f>
        <v>Basil Musaa</v>
      </c>
      <c r="B232" s="63">
        <v>2</v>
      </c>
      <c r="C232" s="54">
        <v>0</v>
      </c>
      <c r="D232" s="54" t="str">
        <f>IFERROR(IF(OR(Attendance_Warning[[#This Row],[Sick Leaves]]&gt;3,Attendance_Warning[[#This Row],[Unpaid Leaves]]&gt;3),"Warning","OK"),"Not Found")</f>
        <v>OK</v>
      </c>
    </row>
    <row r="233" spans="1:4" x14ac:dyDescent="0.35">
      <c r="A233" s="40" t="str">
        <f>_xlfn.TEXTJOIN(" ",TRUE,Employees_Data[[#This Row],[First Name]],Employees_Data[[#This Row],[Last Name]])</f>
        <v>Antuan Litansdurfr</v>
      </c>
      <c r="B233" s="64">
        <v>0</v>
      </c>
      <c r="C233" s="56">
        <v>0</v>
      </c>
      <c r="D233" s="56" t="str">
        <f>IFERROR(IF(OR(Attendance_Warning[[#This Row],[Sick Leaves]]&gt;3,Attendance_Warning[[#This Row],[Unpaid Leaves]]&gt;3),"Warning","OK"),"Not Found")</f>
        <v>OK</v>
      </c>
    </row>
    <row r="234" spans="1:4" x14ac:dyDescent="0.35">
      <c r="A234" s="36" t="str">
        <f>_xlfn.TEXTJOIN(" ",TRUE,Employees_Data[[#This Row],[First Name]],Employees_Data[[#This Row],[Last Name]])</f>
        <v>Rashad Iidris</v>
      </c>
      <c r="B234" s="63">
        <v>0</v>
      </c>
      <c r="C234" s="54">
        <v>0</v>
      </c>
      <c r="D234" s="54" t="str">
        <f>IFERROR(IF(OR(Attendance_Warning[[#This Row],[Sick Leaves]]&gt;3,Attendance_Warning[[#This Row],[Unpaid Leaves]]&gt;3),"Warning","OK"),"Not Found")</f>
        <v>OK</v>
      </c>
    </row>
    <row r="235" spans="1:4" x14ac:dyDescent="0.35">
      <c r="A235" s="40" t="str">
        <f>_xlfn.TEXTJOIN(" ",TRUE,Employees_Data[[#This Row],[First Name]],Employees_Data[[#This Row],[Last Name]])</f>
        <v>Bidralidin Ahmdghrybw</v>
      </c>
      <c r="B235" s="64">
        <v>0</v>
      </c>
      <c r="C235" s="56">
        <v>0</v>
      </c>
      <c r="D235" s="56" t="str">
        <f>IFERROR(IF(OR(Attendance_Warning[[#This Row],[Sick Leaves]]&gt;3,Attendance_Warning[[#This Row],[Unpaid Leaves]]&gt;3),"Warning","OK"),"Not Found")</f>
        <v>OK</v>
      </c>
    </row>
    <row r="236" spans="1:4" x14ac:dyDescent="0.35">
      <c r="A236" s="36" t="str">
        <f>_xlfn.TEXTJOIN(" ",TRUE,Employees_Data[[#This Row],[First Name]],Employees_Data[[#This Row],[Last Name]])</f>
        <v>Faras Shaykh</v>
      </c>
      <c r="B236" s="63">
        <v>0</v>
      </c>
      <c r="C236" s="54">
        <v>0</v>
      </c>
      <c r="D236" s="54" t="str">
        <f>IFERROR(IF(OR(Attendance_Warning[[#This Row],[Sick Leaves]]&gt;3,Attendance_Warning[[#This Row],[Unpaid Leaves]]&gt;3),"Warning","OK"),"Not Found")</f>
        <v>OK</v>
      </c>
    </row>
    <row r="237" spans="1:4" x14ac:dyDescent="0.35">
      <c r="A237" s="40" t="str">
        <f>_xlfn.TEXTJOIN(" ",TRUE,Employees_Data[[#This Row],[First Name]],Employees_Data[[#This Row],[Last Name]])</f>
        <v>Muhamad Eala Aldiyn</v>
      </c>
      <c r="B237" s="64">
        <v>0</v>
      </c>
      <c r="C237" s="56">
        <v>0</v>
      </c>
      <c r="D237" s="56" t="str">
        <f>IFERROR(IF(OR(Attendance_Warning[[#This Row],[Sick Leaves]]&gt;3,Attendance_Warning[[#This Row],[Unpaid Leaves]]&gt;3),"Warning","OK"),"Not Found")</f>
        <v>OK</v>
      </c>
    </row>
    <row r="238" spans="1:4" x14ac:dyDescent="0.35">
      <c r="A238" s="36" t="str">
        <f>_xlfn.TEXTJOIN(" ",TRUE,Employees_Data[[#This Row],[First Name]],Employees_Data[[#This Row],[Last Name]])</f>
        <v>Khaldun Suqbani</v>
      </c>
      <c r="B238" s="63">
        <v>1</v>
      </c>
      <c r="C238" s="54">
        <v>1</v>
      </c>
      <c r="D238" s="54" t="str">
        <f>IFERROR(IF(OR(Attendance_Warning[[#This Row],[Sick Leaves]]&gt;3,Attendance_Warning[[#This Row],[Unpaid Leaves]]&gt;3),"Warning","OK"),"Not Found")</f>
        <v>OK</v>
      </c>
    </row>
    <row r="239" spans="1:4" x14ac:dyDescent="0.35">
      <c r="A239" s="40" t="str">
        <f>_xlfn.TEXTJOIN(" ",TRUE,Employees_Data[[#This Row],[First Name]],Employees_Data[[#This Row],[Last Name]])</f>
        <v>Lwna Albahra</v>
      </c>
      <c r="B239" s="64">
        <v>0</v>
      </c>
      <c r="C239" s="56">
        <v>2</v>
      </c>
      <c r="D239" s="56" t="str">
        <f>IFERROR(IF(OR(Attendance_Warning[[#This Row],[Sick Leaves]]&gt;3,Attendance_Warning[[#This Row],[Unpaid Leaves]]&gt;3),"Warning","OK"),"Not Found")</f>
        <v>OK</v>
      </c>
    </row>
    <row r="240" spans="1:4" x14ac:dyDescent="0.35">
      <c r="A240" s="36" t="str">
        <f>_xlfn.TEXTJOIN(" ",TRUE,Employees_Data[[#This Row],[First Name]],Employees_Data[[#This Row],[Last Name]])</f>
        <v>Ahmad Ezqul</v>
      </c>
      <c r="B240" s="63">
        <v>0</v>
      </c>
      <c r="C240" s="54">
        <v>5</v>
      </c>
      <c r="D240" s="54" t="str">
        <f>IFERROR(IF(OR(Attendance_Warning[[#This Row],[Sick Leaves]]&gt;3,Attendance_Warning[[#This Row],[Unpaid Leaves]]&gt;3),"Warning","OK"),"Not Found")</f>
        <v>Warning</v>
      </c>
    </row>
    <row r="241" spans="1:4" x14ac:dyDescent="0.35">
      <c r="A241" s="40" t="str">
        <f>_xlfn.TEXTJOIN(" ",TRUE,Employees_Data[[#This Row],[First Name]],Employees_Data[[#This Row],[Last Name]])</f>
        <v>Salih Alhamuwd</v>
      </c>
      <c r="B241" s="64">
        <v>0</v>
      </c>
      <c r="C241" s="56">
        <v>3</v>
      </c>
      <c r="D241" s="56" t="str">
        <f>IFERROR(IF(OR(Attendance_Warning[[#This Row],[Sick Leaves]]&gt;3,Attendance_Warning[[#This Row],[Unpaid Leaves]]&gt;3),"Warning","OK"),"Not Found")</f>
        <v>OK</v>
      </c>
    </row>
    <row r="242" spans="1:4" x14ac:dyDescent="0.35">
      <c r="A242" s="36" t="str">
        <f>_xlfn.TEXTJOIN(" ",TRUE,Employees_Data[[#This Row],[First Name]],Employees_Data[[#This Row],[Last Name]])</f>
        <v>Muhamad Abu Zamil</v>
      </c>
      <c r="B242" s="63">
        <v>3</v>
      </c>
      <c r="C242" s="54">
        <v>0</v>
      </c>
      <c r="D242" s="54" t="str">
        <f>IFERROR(IF(OR(Attendance_Warning[[#This Row],[Sick Leaves]]&gt;3,Attendance_Warning[[#This Row],[Unpaid Leaves]]&gt;3),"Warning","OK"),"Not Found")</f>
        <v>OK</v>
      </c>
    </row>
    <row r="243" spans="1:4" x14ac:dyDescent="0.35">
      <c r="A243" s="40" t="str">
        <f>_xlfn.TEXTJOIN(" ",TRUE,Employees_Data[[#This Row],[First Name]],Employees_Data[[#This Row],[Last Name]])</f>
        <v>Fuad Alsyqly</v>
      </c>
      <c r="B243" s="64">
        <v>5</v>
      </c>
      <c r="C243" s="56">
        <v>2</v>
      </c>
      <c r="D243" s="56" t="str">
        <f>IFERROR(IF(OR(Attendance_Warning[[#This Row],[Sick Leaves]]&gt;3,Attendance_Warning[[#This Row],[Unpaid Leaves]]&gt;3),"Warning","OK"),"Not Found")</f>
        <v>Warning</v>
      </c>
    </row>
    <row r="244" spans="1:4" x14ac:dyDescent="0.35">
      <c r="A244" s="36" t="str">
        <f>_xlfn.TEXTJOIN(" ",TRUE,Employees_Data[[#This Row],[First Name]],Employees_Data[[#This Row],[Last Name]])</f>
        <v>Muhamad Aldamshqi</v>
      </c>
      <c r="B244" s="63">
        <v>1</v>
      </c>
      <c r="C244" s="54">
        <v>1</v>
      </c>
      <c r="D244" s="54" t="str">
        <f>IFERROR(IF(OR(Attendance_Warning[[#This Row],[Sick Leaves]]&gt;3,Attendance_Warning[[#This Row],[Unpaid Leaves]]&gt;3),"Warning","OK"),"Not Found")</f>
        <v>OK</v>
      </c>
    </row>
    <row r="245" spans="1:4" x14ac:dyDescent="0.35">
      <c r="A245" s="40" t="str">
        <f>_xlfn.TEXTJOIN(" ",TRUE,Employees_Data[[#This Row],[First Name]],Employees_Data[[#This Row],[Last Name]])</f>
        <v>Sayf Aldiyn Alkmshh</v>
      </c>
      <c r="B245" s="64">
        <v>0</v>
      </c>
      <c r="C245" s="56">
        <v>5</v>
      </c>
      <c r="D245" s="56" t="str">
        <f>IFERROR(IF(OR(Attendance_Warning[[#This Row],[Sick Leaves]]&gt;3,Attendance_Warning[[#This Row],[Unpaid Leaves]]&gt;3),"Warning","OK"),"Not Found")</f>
        <v>Warning</v>
      </c>
    </row>
    <row r="246" spans="1:4" x14ac:dyDescent="0.35">
      <c r="A246" s="36" t="str">
        <f>_xlfn.TEXTJOIN(" ",TRUE,Employees_Data[[#This Row],[First Name]],Employees_Data[[#This Row],[Last Name]])</f>
        <v>Muhamad Alssati</v>
      </c>
      <c r="B246" s="63">
        <v>5</v>
      </c>
      <c r="C246" s="54">
        <v>4</v>
      </c>
      <c r="D246" s="54" t="str">
        <f>IFERROR(IF(OR(Attendance_Warning[[#This Row],[Sick Leaves]]&gt;3,Attendance_Warning[[#This Row],[Unpaid Leaves]]&gt;3),"Warning","OK"),"Not Found")</f>
        <v>Warning</v>
      </c>
    </row>
    <row r="247" spans="1:4" x14ac:dyDescent="0.35">
      <c r="A247" s="40" t="str">
        <f>_xlfn.TEXTJOIN(" ",TRUE,Employees_Data[[#This Row],[First Name]],Employees_Data[[#This Row],[Last Name]])</f>
        <v>Khalid Alem</v>
      </c>
      <c r="B247" s="64">
        <v>1</v>
      </c>
      <c r="C247" s="56">
        <v>6</v>
      </c>
      <c r="D247" s="56" t="str">
        <f>IFERROR(IF(OR(Attendance_Warning[[#This Row],[Sick Leaves]]&gt;3,Attendance_Warning[[#This Row],[Unpaid Leaves]]&gt;3),"Warning","OK"),"Not Found")</f>
        <v>Warning</v>
      </c>
    </row>
    <row r="248" spans="1:4" x14ac:dyDescent="0.35">
      <c r="A248" s="36" t="str">
        <f>_xlfn.TEXTJOIN(" ",TRUE,Employees_Data[[#This Row],[First Name]],Employees_Data[[#This Row],[Last Name]])</f>
        <v>Ayham Aleisaa</v>
      </c>
      <c r="B248" s="63">
        <v>5</v>
      </c>
      <c r="C248" s="54">
        <v>0</v>
      </c>
      <c r="D248" s="54" t="str">
        <f>IFERROR(IF(OR(Attendance_Warning[[#This Row],[Sick Leaves]]&gt;3,Attendance_Warning[[#This Row],[Unpaid Leaves]]&gt;3),"Warning","OK"),"Not Found")</f>
        <v>Warning</v>
      </c>
    </row>
    <row r="249" spans="1:4" x14ac:dyDescent="0.35">
      <c r="A249" s="40" t="str">
        <f>_xlfn.TEXTJOIN(" ",TRUE,Employees_Data[[#This Row],[First Name]],Employees_Data[[#This Row],[Last Name]])</f>
        <v>Abd Alruhmin Dulul</v>
      </c>
      <c r="B249" s="64">
        <v>0</v>
      </c>
      <c r="C249" s="56">
        <v>0</v>
      </c>
      <c r="D249" s="56" t="str">
        <f>IFERROR(IF(OR(Attendance_Warning[[#This Row],[Sick Leaves]]&gt;3,Attendance_Warning[[#This Row],[Unpaid Leaves]]&gt;3),"Warning","OK"),"Not Found")</f>
        <v>OK</v>
      </c>
    </row>
    <row r="250" spans="1:4" x14ac:dyDescent="0.35">
      <c r="A250" s="36" t="str">
        <f>_xlfn.TEXTJOIN(" ",TRUE,Employees_Data[[#This Row],[First Name]],Employees_Data[[#This Row],[Last Name]])</f>
        <v>Ruba Aleid</v>
      </c>
      <c r="B250" s="63">
        <v>1</v>
      </c>
      <c r="C250" s="54">
        <v>0</v>
      </c>
      <c r="D250" s="54" t="str">
        <f>IFERROR(IF(OR(Attendance_Warning[[#This Row],[Sick Leaves]]&gt;3,Attendance_Warning[[#This Row],[Unpaid Leaves]]&gt;3),"Warning","OK"),"Not Found")</f>
        <v>OK</v>
      </c>
    </row>
    <row r="251" spans="1:4" x14ac:dyDescent="0.35">
      <c r="A251" s="40" t="str">
        <f>_xlfn.TEXTJOIN(" ",TRUE,Employees_Data[[#This Row],[First Name]],Employees_Data[[#This Row],[Last Name]])</f>
        <v>Muhamad Badawiin</v>
      </c>
      <c r="B251" s="64">
        <v>0</v>
      </c>
      <c r="C251" s="56">
        <v>0</v>
      </c>
      <c r="D251" s="56" t="str">
        <f>IFERROR(IF(OR(Attendance_Warning[[#This Row],[Sick Leaves]]&gt;3,Attendance_Warning[[#This Row],[Unpaid Leaves]]&gt;3),"Warning","OK"),"Not Found")</f>
        <v>OK</v>
      </c>
    </row>
    <row r="252" spans="1:4" x14ac:dyDescent="0.35">
      <c r="A252" s="36" t="str">
        <f>_xlfn.TEXTJOIN(" ",TRUE,Employees_Data[[#This Row],[First Name]],Employees_Data[[#This Row],[Last Name]])</f>
        <v>Sharihan Rihan</v>
      </c>
      <c r="B252" s="63">
        <v>3</v>
      </c>
      <c r="C252" s="54">
        <v>0</v>
      </c>
      <c r="D252" s="54" t="str">
        <f>IFERROR(IF(OR(Attendance_Warning[[#This Row],[Sick Leaves]]&gt;3,Attendance_Warning[[#This Row],[Unpaid Leaves]]&gt;3),"Warning","OK"),"Not Found")</f>
        <v>OK</v>
      </c>
    </row>
    <row r="253" spans="1:4" x14ac:dyDescent="0.35">
      <c r="A253" s="40" t="str">
        <f>_xlfn.TEXTJOIN(" ",TRUE,Employees_Data[[#This Row],[First Name]],Employees_Data[[#This Row],[Last Name]])</f>
        <v>Ibrahim Alyasin</v>
      </c>
      <c r="B253" s="64">
        <v>6</v>
      </c>
      <c r="C253" s="56">
        <v>0</v>
      </c>
      <c r="D253" s="56" t="str">
        <f>IFERROR(IF(OR(Attendance_Warning[[#This Row],[Sick Leaves]]&gt;3,Attendance_Warning[[#This Row],[Unpaid Leaves]]&gt;3),"Warning","OK"),"Not Found")</f>
        <v>Warning</v>
      </c>
    </row>
    <row r="254" spans="1:4" x14ac:dyDescent="0.35">
      <c r="A254" s="36" t="str">
        <f>_xlfn.TEXTJOIN(" ",TRUE,Employees_Data[[#This Row],[First Name]],Employees_Data[[#This Row],[Last Name]])</f>
        <v>Iin Mulaliyun</v>
      </c>
      <c r="B254" s="63">
        <v>0</v>
      </c>
      <c r="C254" s="54">
        <v>0</v>
      </c>
      <c r="D254" s="54" t="str">
        <f>IFERROR(IF(OR(Attendance_Warning[[#This Row],[Sick Leaves]]&gt;3,Attendance_Warning[[#This Row],[Unpaid Leaves]]&gt;3),"Warning","OK"),"Not Found")</f>
        <v>OK</v>
      </c>
    </row>
    <row r="255" spans="1:4" x14ac:dyDescent="0.35">
      <c r="A255" s="40" t="str">
        <f>_xlfn.TEXTJOIN(" ",TRUE,Employees_Data[[#This Row],[First Name]],Employees_Data[[#This Row],[Last Name]])</f>
        <v>Danah Almahdi</v>
      </c>
      <c r="B255" s="64">
        <v>1</v>
      </c>
      <c r="C255" s="56">
        <v>0</v>
      </c>
      <c r="D255" s="56" t="str">
        <f>IFERROR(IF(OR(Attendance_Warning[[#This Row],[Sick Leaves]]&gt;3,Attendance_Warning[[#This Row],[Unpaid Leaves]]&gt;3),"Warning","OK"),"Not Found")</f>
        <v>OK</v>
      </c>
    </row>
    <row r="256" spans="1:4" x14ac:dyDescent="0.35">
      <c r="A256" s="36" t="str">
        <f>_xlfn.TEXTJOIN(" ",TRUE,Employees_Data[[#This Row],[First Name]],Employees_Data[[#This Row],[Last Name]])</f>
        <v>Muhamad Sakar</v>
      </c>
      <c r="B256" s="63">
        <v>1</v>
      </c>
      <c r="C256" s="54">
        <v>0</v>
      </c>
      <c r="D256" s="54" t="str">
        <f>IFERROR(IF(OR(Attendance_Warning[[#This Row],[Sick Leaves]]&gt;3,Attendance_Warning[[#This Row],[Unpaid Leaves]]&gt;3),"Warning","OK"),"Not Found")</f>
        <v>OK</v>
      </c>
    </row>
    <row r="257" spans="1:4" x14ac:dyDescent="0.35">
      <c r="A257" s="40" t="str">
        <f>_xlfn.TEXTJOIN(" ",TRUE,Employees_Data[[#This Row],[First Name]],Employees_Data[[#This Row],[Last Name]])</f>
        <v>Lama Yasin</v>
      </c>
      <c r="B257" s="64">
        <v>1</v>
      </c>
      <c r="C257" s="56">
        <v>0</v>
      </c>
      <c r="D257" s="56" t="str">
        <f>IFERROR(IF(OR(Attendance_Warning[[#This Row],[Sick Leaves]]&gt;3,Attendance_Warning[[#This Row],[Unpaid Leaves]]&gt;3),"Warning","OK"),"Not Found")</f>
        <v>OK</v>
      </c>
    </row>
    <row r="258" spans="1:4" x14ac:dyDescent="0.35">
      <c r="A258" s="36" t="str">
        <f>_xlfn.TEXTJOIN(" ",TRUE,Employees_Data[[#This Row],[First Name]],Employees_Data[[#This Row],[Last Name]])</f>
        <v>Asf Abultif</v>
      </c>
      <c r="B258" s="63">
        <v>6</v>
      </c>
      <c r="C258" s="54">
        <v>4</v>
      </c>
      <c r="D258" s="54" t="str">
        <f>IFERROR(IF(OR(Attendance_Warning[[#This Row],[Sick Leaves]]&gt;3,Attendance_Warning[[#This Row],[Unpaid Leaves]]&gt;3),"Warning","OK"),"Not Found")</f>
        <v>Warning</v>
      </c>
    </row>
    <row r="259" spans="1:4" x14ac:dyDescent="0.35">
      <c r="A259" s="40" t="str">
        <f>_xlfn.TEXTJOIN(" ",TRUE,Employees_Data[[#This Row],[First Name]],Employees_Data[[#This Row],[Last Name]])</f>
        <v>Ahmad Alshalaq</v>
      </c>
      <c r="B259" s="64">
        <v>0</v>
      </c>
      <c r="C259" s="56">
        <v>0</v>
      </c>
      <c r="D259" s="56" t="str">
        <f>IFERROR(IF(OR(Attendance_Warning[[#This Row],[Sick Leaves]]&gt;3,Attendance_Warning[[#This Row],[Unpaid Leaves]]&gt;3),"Warning","OK"),"Not Found")</f>
        <v>OK</v>
      </c>
    </row>
    <row r="260" spans="1:4" x14ac:dyDescent="0.35">
      <c r="A260" s="36" t="str">
        <f>_xlfn.TEXTJOIN(" ",TRUE,Employees_Data[[#This Row],[First Name]],Employees_Data[[#This Row],[Last Name]])</f>
        <v>Mazin Zawal</v>
      </c>
      <c r="B260" s="63">
        <v>6</v>
      </c>
      <c r="C260" s="54">
        <v>0</v>
      </c>
      <c r="D260" s="54" t="str">
        <f>IFERROR(IF(OR(Attendance_Warning[[#This Row],[Sick Leaves]]&gt;3,Attendance_Warning[[#This Row],[Unpaid Leaves]]&gt;3),"Warning","OK"),"Not Found")</f>
        <v>Warning</v>
      </c>
    </row>
    <row r="261" spans="1:4" x14ac:dyDescent="0.35">
      <c r="A261" s="40" t="str">
        <f>_xlfn.TEXTJOIN(" ",TRUE,Employees_Data[[#This Row],[First Name]],Employees_Data[[#This Row],[Last Name]])</f>
        <v>Diana Aleabd</v>
      </c>
      <c r="B261" s="64">
        <v>1</v>
      </c>
      <c r="C261" s="56">
        <v>0</v>
      </c>
      <c r="D261" s="56" t="str">
        <f>IFERROR(IF(OR(Attendance_Warning[[#This Row],[Sick Leaves]]&gt;3,Attendance_Warning[[#This Row],[Unpaid Leaves]]&gt;3),"Warning","OK"),"Not Found")</f>
        <v>OK</v>
      </c>
    </row>
    <row r="262" spans="1:4" x14ac:dyDescent="0.35">
      <c r="A262" s="36" t="str">
        <f>_xlfn.TEXTJOIN(" ",TRUE,Employees_Data[[#This Row],[First Name]],Employees_Data[[#This Row],[Last Name]])</f>
        <v>Kawkab Qarqazan</v>
      </c>
      <c r="B262" s="63">
        <v>1</v>
      </c>
      <c r="C262" s="54">
        <v>0</v>
      </c>
      <c r="D262" s="54" t="str">
        <f>IFERROR(IF(OR(Attendance_Warning[[#This Row],[Sick Leaves]]&gt;3,Attendance_Warning[[#This Row],[Unpaid Leaves]]&gt;3),"Warning","OK"),"Not Found")</f>
        <v>OK</v>
      </c>
    </row>
    <row r="263" spans="1:4" x14ac:dyDescent="0.35">
      <c r="A263" s="40" t="str">
        <f>_xlfn.TEXTJOIN(" ",TRUE,Employees_Data[[#This Row],[First Name]],Employees_Data[[#This Row],[Last Name]])</f>
        <v>Thamir Abu Ghazy</v>
      </c>
      <c r="B263" s="64">
        <v>0</v>
      </c>
      <c r="C263" s="56">
        <v>1</v>
      </c>
      <c r="D263" s="56" t="str">
        <f>IFERROR(IF(OR(Attendance_Warning[[#This Row],[Sick Leaves]]&gt;3,Attendance_Warning[[#This Row],[Unpaid Leaves]]&gt;3),"Warning","OK"),"Not Found")</f>
        <v>OK</v>
      </c>
    </row>
    <row r="264" spans="1:4" x14ac:dyDescent="0.35">
      <c r="A264" s="36" t="str">
        <f>_xlfn.TEXTJOIN(" ",TRUE,Employees_Data[[#This Row],[First Name]],Employees_Data[[#This Row],[Last Name]])</f>
        <v>Muhamad Alabth</v>
      </c>
      <c r="B264" s="63">
        <v>3</v>
      </c>
      <c r="C264" s="54">
        <v>4</v>
      </c>
      <c r="D264" s="54" t="str">
        <f>IFERROR(IF(OR(Attendance_Warning[[#This Row],[Sick Leaves]]&gt;3,Attendance_Warning[[#This Row],[Unpaid Leaves]]&gt;3),"Warning","OK"),"Not Found")</f>
        <v>Warning</v>
      </c>
    </row>
    <row r="265" spans="1:4" x14ac:dyDescent="0.35">
      <c r="A265" s="40" t="str">
        <f>_xlfn.TEXTJOIN(" ",TRUE,Employees_Data[[#This Row],[First Name]],Employees_Data[[#This Row],[Last Name]])</f>
        <v>Khadijah Abu Taqih</v>
      </c>
      <c r="B265" s="64">
        <v>2</v>
      </c>
      <c r="C265" s="56">
        <v>0</v>
      </c>
      <c r="D265" s="56" t="str">
        <f>IFERROR(IF(OR(Attendance_Warning[[#This Row],[Sick Leaves]]&gt;3,Attendance_Warning[[#This Row],[Unpaid Leaves]]&gt;3),"Warning","OK"),"Not Found")</f>
        <v>OK</v>
      </c>
    </row>
    <row r="266" spans="1:4" x14ac:dyDescent="0.35">
      <c r="A266" s="36" t="str">
        <f>_xlfn.TEXTJOIN(" ",TRUE,Employees_Data[[#This Row],[First Name]],Employees_Data[[#This Row],[Last Name]])</f>
        <v>Salwaa Alsyd</v>
      </c>
      <c r="B266" s="63">
        <v>0</v>
      </c>
      <c r="C266" s="54">
        <v>0</v>
      </c>
      <c r="D266" s="54" t="str">
        <f>IFERROR(IF(OR(Attendance_Warning[[#This Row],[Sick Leaves]]&gt;3,Attendance_Warning[[#This Row],[Unpaid Leaves]]&gt;3),"Warning","OK"),"Not Found")</f>
        <v>OK</v>
      </c>
    </row>
    <row r="267" spans="1:4" x14ac:dyDescent="0.35">
      <c r="A267" s="40" t="str">
        <f>_xlfn.TEXTJOIN(" ",TRUE,Employees_Data[[#This Row],[First Name]],Employees_Data[[#This Row],[Last Name]])</f>
        <v>Muayid Shbyb</v>
      </c>
      <c r="B267" s="64">
        <v>0</v>
      </c>
      <c r="C267" s="56">
        <v>0</v>
      </c>
      <c r="D267" s="56" t="str">
        <f>IFERROR(IF(OR(Attendance_Warning[[#This Row],[Sick Leaves]]&gt;3,Attendance_Warning[[#This Row],[Unpaid Leaves]]&gt;3),"Warning","OK"),"Not Found")</f>
        <v>OK</v>
      </c>
    </row>
    <row r="268" spans="1:4" x14ac:dyDescent="0.35">
      <c r="A268" s="36" t="str">
        <f>_xlfn.TEXTJOIN(" ",TRUE,Employees_Data[[#This Row],[First Name]],Employees_Data[[#This Row],[Last Name]])</f>
        <v>Rannym Tyru</v>
      </c>
      <c r="B268" s="63">
        <v>0</v>
      </c>
      <c r="C268" s="54">
        <v>0</v>
      </c>
      <c r="D268" s="54" t="str">
        <f>IFERROR(IF(OR(Attendance_Warning[[#This Row],[Sick Leaves]]&gt;3,Attendance_Warning[[#This Row],[Unpaid Leaves]]&gt;3),"Warning","OK"),"Not Found")</f>
        <v>OK</v>
      </c>
    </row>
    <row r="269" spans="1:4" x14ac:dyDescent="0.35">
      <c r="A269" s="40" t="str">
        <f>_xlfn.TEXTJOIN(" ",TRUE,Employees_Data[[#This Row],[First Name]],Employees_Data[[#This Row],[Last Name]])</f>
        <v>Iin Alhaju Bikr</v>
      </c>
      <c r="B269" s="64">
        <v>0</v>
      </c>
      <c r="C269" s="56">
        <v>4</v>
      </c>
      <c r="D269" s="56" t="str">
        <f>IFERROR(IF(OR(Attendance_Warning[[#This Row],[Sick Leaves]]&gt;3,Attendance_Warning[[#This Row],[Unpaid Leaves]]&gt;3),"Warning","OK"),"Not Found")</f>
        <v>Warning</v>
      </c>
    </row>
    <row r="270" spans="1:4" x14ac:dyDescent="0.35">
      <c r="A270" s="36" t="str">
        <f>_xlfn.TEXTJOIN(" ",TRUE,Employees_Data[[#This Row],[First Name]],Employees_Data[[#This Row],[Last Name]])</f>
        <v>Jihad Aldukifi</v>
      </c>
      <c r="B270" s="63">
        <v>0</v>
      </c>
      <c r="C270" s="54">
        <v>0</v>
      </c>
      <c r="D270" s="54" t="str">
        <f>IFERROR(IF(OR(Attendance_Warning[[#This Row],[Sick Leaves]]&gt;3,Attendance_Warning[[#This Row],[Unpaid Leaves]]&gt;3),"Warning","OK"),"Not Found")</f>
        <v>OK</v>
      </c>
    </row>
    <row r="271" spans="1:4" x14ac:dyDescent="0.35">
      <c r="A271" s="40" t="str">
        <f>_xlfn.TEXTJOIN(" ",TRUE,Employees_Data[[#This Row],[First Name]],Employees_Data[[#This Row],[Last Name]])</f>
        <v>Sandurana Antun</v>
      </c>
      <c r="B271" s="64">
        <v>0</v>
      </c>
      <c r="C271" s="56">
        <v>0</v>
      </c>
      <c r="D271" s="56" t="str">
        <f>IFERROR(IF(OR(Attendance_Warning[[#This Row],[Sick Leaves]]&gt;3,Attendance_Warning[[#This Row],[Unpaid Leaves]]&gt;3),"Warning","OK"),"Not Found")</f>
        <v>OK</v>
      </c>
    </row>
    <row r="272" spans="1:4" x14ac:dyDescent="0.35">
      <c r="A272" s="36" t="str">
        <f>_xlfn.TEXTJOIN(" ",TRUE,Employees_Data[[#This Row],[First Name]],Employees_Data[[#This Row],[Last Name]])</f>
        <v>Eala Darkzifli</v>
      </c>
      <c r="B272" s="63">
        <v>6</v>
      </c>
      <c r="C272" s="54">
        <v>0</v>
      </c>
      <c r="D272" s="54" t="str">
        <f>IFERROR(IF(OR(Attendance_Warning[[#This Row],[Sick Leaves]]&gt;3,Attendance_Warning[[#This Row],[Unpaid Leaves]]&gt;3),"Warning","OK"),"Not Found")</f>
        <v>Warning</v>
      </c>
    </row>
    <row r="273" spans="1:4" x14ac:dyDescent="0.35">
      <c r="A273" s="40" t="str">
        <f>_xlfn.TEXTJOIN(" ",TRUE,Employees_Data[[#This Row],[First Name]],Employees_Data[[#This Row],[Last Name]])</f>
        <v>Samir Alsaeid</v>
      </c>
      <c r="B273" s="64">
        <v>3</v>
      </c>
      <c r="C273" s="56">
        <v>0</v>
      </c>
      <c r="D273" s="56" t="str">
        <f>IFERROR(IF(OR(Attendance_Warning[[#This Row],[Sick Leaves]]&gt;3,Attendance_Warning[[#This Row],[Unpaid Leaves]]&gt;3),"Warning","OK"),"Not Found")</f>
        <v>OK</v>
      </c>
    </row>
    <row r="274" spans="1:4" x14ac:dyDescent="0.35">
      <c r="A274" s="36" t="str">
        <f>_xlfn.TEXTJOIN(" ",TRUE,Employees_Data[[#This Row],[First Name]],Employees_Data[[#This Row],[Last Name]])</f>
        <v>Amir Alhifar</v>
      </c>
      <c r="B274" s="63">
        <v>2</v>
      </c>
      <c r="C274" s="54">
        <v>0</v>
      </c>
      <c r="D274" s="54" t="str">
        <f>IFERROR(IF(OR(Attendance_Warning[[#This Row],[Sick Leaves]]&gt;3,Attendance_Warning[[#This Row],[Unpaid Leaves]]&gt;3),"Warning","OK"),"Not Found")</f>
        <v>OK</v>
      </c>
    </row>
    <row r="275" spans="1:4" x14ac:dyDescent="0.35">
      <c r="A275" s="40" t="str">
        <f>_xlfn.TEXTJOIN(" ",TRUE,Employees_Data[[#This Row],[First Name]],Employees_Data[[#This Row],[Last Name]])</f>
        <v>Lama Almala</v>
      </c>
      <c r="B275" s="64">
        <v>0</v>
      </c>
      <c r="C275" s="56">
        <v>1</v>
      </c>
      <c r="D275" s="56" t="str">
        <f>IFERROR(IF(OR(Attendance_Warning[[#This Row],[Sick Leaves]]&gt;3,Attendance_Warning[[#This Row],[Unpaid Leaves]]&gt;3),"Warning","OK"),"Not Found")</f>
        <v>OK</v>
      </c>
    </row>
    <row r="276" spans="1:4" x14ac:dyDescent="0.35">
      <c r="A276" s="36" t="str">
        <f>_xlfn.TEXTJOIN(" ",TRUE,Employees_Data[[#This Row],[First Name]],Employees_Data[[#This Row],[Last Name]])</f>
        <v>Hasan Kalthum</v>
      </c>
      <c r="B276" s="63">
        <v>1</v>
      </c>
      <c r="C276" s="54">
        <v>2</v>
      </c>
      <c r="D276" s="54" t="str">
        <f>IFERROR(IF(OR(Attendance_Warning[[#This Row],[Sick Leaves]]&gt;3,Attendance_Warning[[#This Row],[Unpaid Leaves]]&gt;3),"Warning","OK"),"Not Found")</f>
        <v>OK</v>
      </c>
    </row>
    <row r="277" spans="1:4" x14ac:dyDescent="0.35">
      <c r="A277" s="40" t="str">
        <f>_xlfn.TEXTJOIN(" ",TRUE,Employees_Data[[#This Row],[First Name]],Employees_Data[[#This Row],[Last Name]])</f>
        <v>Muhamad Saeadat</v>
      </c>
      <c r="B277" s="64">
        <v>0</v>
      </c>
      <c r="C277" s="56">
        <v>2</v>
      </c>
      <c r="D277" s="56" t="str">
        <f>IFERROR(IF(OR(Attendance_Warning[[#This Row],[Sick Leaves]]&gt;3,Attendance_Warning[[#This Row],[Unpaid Leaves]]&gt;3),"Warning","OK"),"Not Found")</f>
        <v>OK</v>
      </c>
    </row>
    <row r="278" spans="1:4" x14ac:dyDescent="0.35">
      <c r="A278" s="36" t="str">
        <f>_xlfn.TEXTJOIN(" ",TRUE,Employees_Data[[#This Row],[First Name]],Employees_Data[[#This Row],[Last Name]])</f>
        <v>Rana Eijrush</v>
      </c>
      <c r="B278" s="63">
        <v>0</v>
      </c>
      <c r="C278" s="54">
        <v>1</v>
      </c>
      <c r="D278" s="54" t="str">
        <f>IFERROR(IF(OR(Attendance_Warning[[#This Row],[Sick Leaves]]&gt;3,Attendance_Warning[[#This Row],[Unpaid Leaves]]&gt;3),"Warning","OK"),"Not Found")</f>
        <v>OK</v>
      </c>
    </row>
    <row r="279" spans="1:4" x14ac:dyDescent="0.35">
      <c r="A279" s="40" t="str">
        <f>_xlfn.TEXTJOIN(" ",TRUE,Employees_Data[[#This Row],[First Name]],Employees_Data[[#This Row],[Last Name]])</f>
        <v>Tariq Alkinaya</v>
      </c>
      <c r="B279" s="64">
        <v>6</v>
      </c>
      <c r="C279" s="56">
        <v>0</v>
      </c>
      <c r="D279" s="56" t="str">
        <f>IFERROR(IF(OR(Attendance_Warning[[#This Row],[Sick Leaves]]&gt;3,Attendance_Warning[[#This Row],[Unpaid Leaves]]&gt;3),"Warning","OK"),"Not Found")</f>
        <v>Warning</v>
      </c>
    </row>
    <row r="280" spans="1:4" x14ac:dyDescent="0.35">
      <c r="A280" s="36" t="str">
        <f>_xlfn.TEXTJOIN(" ",TRUE,Employees_Data[[#This Row],[First Name]],Employees_Data[[#This Row],[Last Name]])</f>
        <v>Amjad Alrz</v>
      </c>
      <c r="B280" s="63">
        <v>0</v>
      </c>
      <c r="C280" s="54">
        <v>0</v>
      </c>
      <c r="D280" s="54" t="str">
        <f>IFERROR(IF(OR(Attendance_Warning[[#This Row],[Sick Leaves]]&gt;3,Attendance_Warning[[#This Row],[Unpaid Leaves]]&gt;3),"Warning","OK"),"Not Found")</f>
        <v>OK</v>
      </c>
    </row>
    <row r="281" spans="1:4" x14ac:dyDescent="0.35">
      <c r="A281" s="40" t="str">
        <f>_xlfn.TEXTJOIN(" ",TRUE,Employees_Data[[#This Row],[First Name]],Employees_Data[[#This Row],[Last Name]])</f>
        <v>Daniah Alhariri</v>
      </c>
      <c r="B281" s="64">
        <v>1</v>
      </c>
      <c r="C281" s="56">
        <v>0</v>
      </c>
      <c r="D281" s="56" t="str">
        <f>IFERROR(IF(OR(Attendance_Warning[[#This Row],[Sick Leaves]]&gt;3,Attendance_Warning[[#This Row],[Unpaid Leaves]]&gt;3),"Warning","OK"),"Not Found")</f>
        <v>OK</v>
      </c>
    </row>
    <row r="282" spans="1:4" x14ac:dyDescent="0.35">
      <c r="A282" s="36" t="str">
        <f>_xlfn.TEXTJOIN(" ",TRUE,Employees_Data[[#This Row],[First Name]],Employees_Data[[#This Row],[Last Name]])</f>
        <v>Hasan Quidr</v>
      </c>
      <c r="B282" s="63">
        <v>0</v>
      </c>
      <c r="C282" s="54">
        <v>5</v>
      </c>
      <c r="D282" s="54" t="str">
        <f>IFERROR(IF(OR(Attendance_Warning[[#This Row],[Sick Leaves]]&gt;3,Attendance_Warning[[#This Row],[Unpaid Leaves]]&gt;3),"Warning","OK"),"Not Found")</f>
        <v>Warning</v>
      </c>
    </row>
    <row r="283" spans="1:4" x14ac:dyDescent="0.35">
      <c r="A283" s="40" t="str">
        <f>_xlfn.TEXTJOIN(" ",TRUE,Employees_Data[[#This Row],[First Name]],Employees_Data[[#This Row],[Last Name]])</f>
        <v>Muhamad Shaykh Janid</v>
      </c>
      <c r="B283" s="64">
        <v>1</v>
      </c>
      <c r="C283" s="56">
        <v>3</v>
      </c>
      <c r="D283" s="56" t="str">
        <f>IFERROR(IF(OR(Attendance_Warning[[#This Row],[Sick Leaves]]&gt;3,Attendance_Warning[[#This Row],[Unpaid Leaves]]&gt;3),"Warning","OK"),"Not Found")</f>
        <v>OK</v>
      </c>
    </row>
    <row r="284" spans="1:4" x14ac:dyDescent="0.35">
      <c r="A284" s="36" t="str">
        <f>_xlfn.TEXTJOIN(" ",TRUE,Employees_Data[[#This Row],[First Name]],Employees_Data[[#This Row],[Last Name]])</f>
        <v>Esamat Zaza</v>
      </c>
      <c r="B284" s="63">
        <v>0</v>
      </c>
      <c r="C284" s="54">
        <v>0</v>
      </c>
      <c r="D284" s="54" t="str">
        <f>IFERROR(IF(OR(Attendance_Warning[[#This Row],[Sick Leaves]]&gt;3,Attendance_Warning[[#This Row],[Unpaid Leaves]]&gt;3),"Warning","OK"),"Not Found")</f>
        <v>OK</v>
      </c>
    </row>
    <row r="285" spans="1:4" x14ac:dyDescent="0.35">
      <c r="A285" s="40" t="str">
        <f>_xlfn.TEXTJOIN(" ",TRUE,Employees_Data[[#This Row],[First Name]],Employees_Data[[#This Row],[Last Name]])</f>
        <v>Fadi Hububati</v>
      </c>
      <c r="B285" s="64">
        <v>0</v>
      </c>
      <c r="C285" s="56">
        <v>0</v>
      </c>
      <c r="D285" s="56" t="str">
        <f>IFERROR(IF(OR(Attendance_Warning[[#This Row],[Sick Leaves]]&gt;3,Attendance_Warning[[#This Row],[Unpaid Leaves]]&gt;3),"Warning","OK"),"Not Found")</f>
        <v>OK</v>
      </c>
    </row>
    <row r="286" spans="1:4" x14ac:dyDescent="0.35">
      <c r="A286" s="36" t="str">
        <f>_xlfn.TEXTJOIN(" ",TRUE,Employees_Data[[#This Row],[First Name]],Employees_Data[[#This Row],[Last Name]])</f>
        <v>Adnan Alhusayn</v>
      </c>
      <c r="B286" s="63">
        <v>0</v>
      </c>
      <c r="C286" s="54">
        <v>0</v>
      </c>
      <c r="D286" s="54" t="str">
        <f>IFERROR(IF(OR(Attendance_Warning[[#This Row],[Sick Leaves]]&gt;3,Attendance_Warning[[#This Row],[Unpaid Leaves]]&gt;3),"Warning","OK"),"Not Found")</f>
        <v>OK</v>
      </c>
    </row>
    <row r="287" spans="1:4" x14ac:dyDescent="0.35">
      <c r="A287" s="40" t="str">
        <f>_xlfn.TEXTJOIN(" ",TRUE,Employees_Data[[#This Row],[First Name]],Employees_Data[[#This Row],[Last Name]])</f>
        <v>Muhamad Allibad</v>
      </c>
      <c r="B287" s="64">
        <v>0</v>
      </c>
      <c r="C287" s="56">
        <v>2</v>
      </c>
      <c r="D287" s="56" t="str">
        <f>IFERROR(IF(OR(Attendance_Warning[[#This Row],[Sick Leaves]]&gt;3,Attendance_Warning[[#This Row],[Unpaid Leaves]]&gt;3),"Warning","OK"),"Not Found")</f>
        <v>OK</v>
      </c>
    </row>
    <row r="288" spans="1:4" x14ac:dyDescent="0.35">
      <c r="A288" s="36" t="str">
        <f>_xlfn.TEXTJOIN(" ",TRUE,Employees_Data[[#This Row],[First Name]],Employees_Data[[#This Row],[Last Name]])</f>
        <v>Tana Dahruj</v>
      </c>
      <c r="B288" s="63">
        <v>0</v>
      </c>
      <c r="C288" s="54">
        <v>0</v>
      </c>
      <c r="D288" s="54" t="str">
        <f>IFERROR(IF(OR(Attendance_Warning[[#This Row],[Sick Leaves]]&gt;3,Attendance_Warning[[#This Row],[Unpaid Leaves]]&gt;3),"Warning","OK"),"Not Found")</f>
        <v>OK</v>
      </c>
    </row>
    <row r="289" spans="1:4" x14ac:dyDescent="0.35">
      <c r="A289" s="40" t="str">
        <f>_xlfn.TEXTJOIN(" ",TRUE,Employees_Data[[#This Row],[First Name]],Employees_Data[[#This Row],[Last Name]])</f>
        <v>Muhamad Almtlq</v>
      </c>
      <c r="B289" s="64">
        <v>0</v>
      </c>
      <c r="C289" s="56">
        <v>0</v>
      </c>
      <c r="D289" s="56" t="str">
        <f>IFERROR(IF(OR(Attendance_Warning[[#This Row],[Sick Leaves]]&gt;3,Attendance_Warning[[#This Row],[Unpaid Leaves]]&gt;3),"Warning","OK"),"Not Found")</f>
        <v>OK</v>
      </c>
    </row>
    <row r="290" spans="1:4" x14ac:dyDescent="0.35">
      <c r="A290" s="36" t="str">
        <f>_xlfn.TEXTJOIN(" ",TRUE,Employees_Data[[#This Row],[First Name]],Employees_Data[[#This Row],[Last Name]])</f>
        <v>Sana Alhusayn</v>
      </c>
      <c r="B290" s="63">
        <v>2</v>
      </c>
      <c r="C290" s="54">
        <v>0</v>
      </c>
      <c r="D290" s="54" t="str">
        <f>IFERROR(IF(OR(Attendance_Warning[[#This Row],[Sick Leaves]]&gt;3,Attendance_Warning[[#This Row],[Unpaid Leaves]]&gt;3),"Warning","OK"),"Not Found")</f>
        <v>OK</v>
      </c>
    </row>
    <row r="291" spans="1:4" x14ac:dyDescent="0.35">
      <c r="A291" s="40" t="str">
        <f>_xlfn.TEXTJOIN(" ",TRUE,Employees_Data[[#This Row],[First Name]],Employees_Data[[#This Row],[Last Name]])</f>
        <v>Muhamad Bdraldyn</v>
      </c>
      <c r="B291" s="64">
        <v>0</v>
      </c>
      <c r="C291" s="56">
        <v>0</v>
      </c>
      <c r="D291" s="56" t="str">
        <f>IFERROR(IF(OR(Attendance_Warning[[#This Row],[Sick Leaves]]&gt;3,Attendance_Warning[[#This Row],[Unpaid Leaves]]&gt;3),"Warning","OK"),"Not Found")</f>
        <v>OK</v>
      </c>
    </row>
    <row r="292" spans="1:4" x14ac:dyDescent="0.35">
      <c r="A292" s="36" t="str">
        <f>_xlfn.TEXTJOIN(" ",TRUE,Employees_Data[[#This Row],[First Name]],Employees_Data[[#This Row],[Last Name]])</f>
        <v>Muhamad Eataya</v>
      </c>
      <c r="B292" s="63">
        <v>0</v>
      </c>
      <c r="C292" s="54">
        <v>0</v>
      </c>
      <c r="D292" s="54" t="str">
        <f>IFERROR(IF(OR(Attendance_Warning[[#This Row],[Sick Leaves]]&gt;3,Attendance_Warning[[#This Row],[Unpaid Leaves]]&gt;3),"Warning","OK"),"Not Found")</f>
        <v>OK</v>
      </c>
    </row>
    <row r="293" spans="1:4" x14ac:dyDescent="0.35">
      <c r="A293" s="40" t="str">
        <f>_xlfn.TEXTJOIN(" ",TRUE,Employees_Data[[#This Row],[First Name]],Employees_Data[[#This Row],[Last Name]])</f>
        <v>Fadi Aljizamati</v>
      </c>
      <c r="B293" s="64">
        <v>6</v>
      </c>
      <c r="C293" s="56">
        <v>0</v>
      </c>
      <c r="D293" s="56" t="str">
        <f>IFERROR(IF(OR(Attendance_Warning[[#This Row],[Sick Leaves]]&gt;3,Attendance_Warning[[#This Row],[Unpaid Leaves]]&gt;3),"Warning","OK"),"Not Found")</f>
        <v>Warning</v>
      </c>
    </row>
    <row r="294" spans="1:4" x14ac:dyDescent="0.35">
      <c r="A294" s="36" t="str">
        <f>_xlfn.TEXTJOIN(" ",TRUE,Employees_Data[[#This Row],[First Name]],Employees_Data[[#This Row],[Last Name]])</f>
        <v>Alaa Alqasir</v>
      </c>
      <c r="B294" s="63">
        <v>0</v>
      </c>
      <c r="C294" s="54">
        <v>0</v>
      </c>
      <c r="D294" s="54" t="str">
        <f>IFERROR(IF(OR(Attendance_Warning[[#This Row],[Sick Leaves]]&gt;3,Attendance_Warning[[#This Row],[Unpaid Leaves]]&gt;3),"Warning","OK"),"Not Found")</f>
        <v>OK</v>
      </c>
    </row>
    <row r="295" spans="1:4" x14ac:dyDescent="0.35">
      <c r="A295" s="40" t="str">
        <f>_xlfn.TEXTJOIN(" ",TRUE,Employees_Data[[#This Row],[First Name]],Employees_Data[[#This Row],[Last Name]])</f>
        <v>Abd Alruhmin Salih</v>
      </c>
      <c r="B295" s="64">
        <v>0</v>
      </c>
      <c r="C295" s="56">
        <v>0</v>
      </c>
      <c r="D295" s="56" t="str">
        <f>IFERROR(IF(OR(Attendance_Warning[[#This Row],[Sick Leaves]]&gt;3,Attendance_Warning[[#This Row],[Unpaid Leaves]]&gt;3),"Warning","OK"),"Not Found")</f>
        <v>OK</v>
      </c>
    </row>
    <row r="296" spans="1:4" x14ac:dyDescent="0.35">
      <c r="A296" s="36" t="str">
        <f>_xlfn.TEXTJOIN(" ",TRUE,Employees_Data[[#This Row],[First Name]],Employees_Data[[#This Row],[Last Name]])</f>
        <v>Shilan Ahmad</v>
      </c>
      <c r="B296" s="63">
        <v>2</v>
      </c>
      <c r="C296" s="54">
        <v>0</v>
      </c>
      <c r="D296" s="54" t="str">
        <f>IFERROR(IF(OR(Attendance_Warning[[#This Row],[Sick Leaves]]&gt;3,Attendance_Warning[[#This Row],[Unpaid Leaves]]&gt;3),"Warning","OK"),"Not Found")</f>
        <v>OK</v>
      </c>
    </row>
    <row r="297" spans="1:4" x14ac:dyDescent="0.35">
      <c r="A297" s="40" t="str">
        <f>_xlfn.TEXTJOIN(" ",TRUE,Employees_Data[[#This Row],[First Name]],Employees_Data[[#This Row],[Last Name]])</f>
        <v>Hasan Aljasim</v>
      </c>
      <c r="B297" s="64">
        <v>0</v>
      </c>
      <c r="C297" s="56">
        <v>0</v>
      </c>
      <c r="D297" s="56" t="str">
        <f>IFERROR(IF(OR(Attendance_Warning[[#This Row],[Sick Leaves]]&gt;3,Attendance_Warning[[#This Row],[Unpaid Leaves]]&gt;3),"Warning","OK"),"Not Found")</f>
        <v>OK</v>
      </c>
    </row>
    <row r="298" spans="1:4" x14ac:dyDescent="0.35">
      <c r="A298" s="36" t="str">
        <f>_xlfn.TEXTJOIN(" ",TRUE,Employees_Data[[#This Row],[First Name]],Employees_Data[[#This Row],[Last Name]])</f>
        <v>Khalil Salam</v>
      </c>
      <c r="B298" s="63">
        <v>0</v>
      </c>
      <c r="C298" s="54">
        <v>2</v>
      </c>
      <c r="D298" s="54" t="str">
        <f>IFERROR(IF(OR(Attendance_Warning[[#This Row],[Sick Leaves]]&gt;3,Attendance_Warning[[#This Row],[Unpaid Leaves]]&gt;3),"Warning","OK"),"Not Found")</f>
        <v>OK</v>
      </c>
    </row>
    <row r="299" spans="1:4" x14ac:dyDescent="0.35">
      <c r="A299" s="40" t="str">
        <f>_xlfn.TEXTJOIN(" ",TRUE,Employees_Data[[#This Row],[First Name]],Employees_Data[[#This Row],[Last Name]])</f>
        <v>Majd Abuhamd</v>
      </c>
      <c r="B299" s="64">
        <v>0</v>
      </c>
      <c r="C299" s="56">
        <v>0</v>
      </c>
      <c r="D299" s="56" t="str">
        <f>IFERROR(IF(OR(Attendance_Warning[[#This Row],[Sick Leaves]]&gt;3,Attendance_Warning[[#This Row],[Unpaid Leaves]]&gt;3),"Warning","OK"),"Not Found")</f>
        <v>OK</v>
      </c>
    </row>
    <row r="300" spans="1:4" x14ac:dyDescent="0.35">
      <c r="A300" s="36" t="str">
        <f>_xlfn.TEXTJOIN(" ",TRUE,Employees_Data[[#This Row],[First Name]],Employees_Data[[#This Row],[Last Name]])</f>
        <v>Sami Qareush</v>
      </c>
      <c r="B300" s="63">
        <v>1</v>
      </c>
      <c r="C300" s="54">
        <v>0</v>
      </c>
      <c r="D300" s="54" t="str">
        <f>IFERROR(IF(OR(Attendance_Warning[[#This Row],[Sick Leaves]]&gt;3,Attendance_Warning[[#This Row],[Unpaid Leaves]]&gt;3),"Warning","OK"),"Not Found")</f>
        <v>OK</v>
      </c>
    </row>
    <row r="301" spans="1:4" x14ac:dyDescent="0.35">
      <c r="A301" s="40" t="str">
        <f>_xlfn.TEXTJOIN(" ",TRUE,Employees_Data[[#This Row],[First Name]],Employees_Data[[#This Row],[Last Name]])</f>
        <v>Rima Jaridiun</v>
      </c>
      <c r="B301" s="64">
        <v>0</v>
      </c>
      <c r="C301" s="56">
        <v>0</v>
      </c>
      <c r="D301" s="56" t="str">
        <f>IFERROR(IF(OR(Attendance_Warning[[#This Row],[Sick Leaves]]&gt;3,Attendance_Warning[[#This Row],[Unpaid Leaves]]&gt;3),"Warning","OK"),"Not Found")</f>
        <v>OK</v>
      </c>
    </row>
    <row r="302" spans="1:4" x14ac:dyDescent="0.35">
      <c r="A302" s="36" t="str">
        <f>_xlfn.TEXTJOIN(" ",TRUE,Employees_Data[[#This Row],[First Name]],Employees_Data[[#This Row],[Last Name]])</f>
        <v>Iin Alhumwi</v>
      </c>
      <c r="B302" s="63">
        <v>1</v>
      </c>
      <c r="C302" s="54">
        <v>0</v>
      </c>
      <c r="D302" s="54" t="str">
        <f>IFERROR(IF(OR(Attendance_Warning[[#This Row],[Sick Leaves]]&gt;3,Attendance_Warning[[#This Row],[Unpaid Leaves]]&gt;3),"Warning","OK"),"Not Found")</f>
        <v>OK</v>
      </c>
    </row>
    <row r="303" spans="1:4" x14ac:dyDescent="0.35">
      <c r="A303" s="40" t="str">
        <f>_xlfn.TEXTJOIN(" ",TRUE,Employees_Data[[#This Row],[First Name]],Employees_Data[[#This Row],[Last Name]])</f>
        <v>Akthum Eibdalbaqi</v>
      </c>
      <c r="B303" s="64">
        <v>0</v>
      </c>
      <c r="C303" s="56">
        <v>0</v>
      </c>
      <c r="D303" s="56" t="str">
        <f>IFERROR(IF(OR(Attendance_Warning[[#This Row],[Sick Leaves]]&gt;3,Attendance_Warning[[#This Row],[Unpaid Leaves]]&gt;3),"Warning","OK"),"Not Found")</f>
        <v>OK</v>
      </c>
    </row>
    <row r="304" spans="1:4" x14ac:dyDescent="0.35">
      <c r="A304" s="36" t="str">
        <f>_xlfn.TEXTJOIN(" ",TRUE,Employees_Data[[#This Row],[First Name]],Employees_Data[[#This Row],[Last Name]])</f>
        <v>Muhamad Almurashihi</v>
      </c>
      <c r="B304" s="63">
        <v>0</v>
      </c>
      <c r="C304" s="54">
        <v>0</v>
      </c>
      <c r="D304" s="54" t="str">
        <f>IFERROR(IF(OR(Attendance_Warning[[#This Row],[Sick Leaves]]&gt;3,Attendance_Warning[[#This Row],[Unpaid Leaves]]&gt;3),"Warning","OK"),"Not Found")</f>
        <v>OK</v>
      </c>
    </row>
    <row r="305" spans="1:4" x14ac:dyDescent="0.35">
      <c r="A305" s="40" t="str">
        <f>_xlfn.TEXTJOIN(" ",TRUE,Employees_Data[[#This Row],[First Name]],Employees_Data[[#This Row],[Last Name]])</f>
        <v>Batual Abu Fakhar</v>
      </c>
      <c r="B305" s="64">
        <v>4</v>
      </c>
      <c r="C305" s="56">
        <v>0</v>
      </c>
      <c r="D305" s="56" t="str">
        <f>IFERROR(IF(OR(Attendance_Warning[[#This Row],[Sick Leaves]]&gt;3,Attendance_Warning[[#This Row],[Unpaid Leaves]]&gt;3),"Warning","OK"),"Not Found")</f>
        <v>Warning</v>
      </c>
    </row>
    <row r="306" spans="1:4" x14ac:dyDescent="0.35">
      <c r="A306" s="36" t="str">
        <f>_xlfn.TEXTJOIN(" ",TRUE,Employees_Data[[#This Row],[First Name]],Employees_Data[[#This Row],[Last Name]])</f>
        <v>Rinah Alkhuriu</v>
      </c>
      <c r="B306" s="63">
        <v>0</v>
      </c>
      <c r="C306" s="54">
        <v>0</v>
      </c>
      <c r="D306" s="54" t="str">
        <f>IFERROR(IF(OR(Attendance_Warning[[#This Row],[Sick Leaves]]&gt;3,Attendance_Warning[[#This Row],[Unpaid Leaves]]&gt;3),"Warning","OK"),"Not Found")</f>
        <v>OK</v>
      </c>
    </row>
    <row r="307" spans="1:4" x14ac:dyDescent="0.35">
      <c r="A307" s="40" t="str">
        <f>_xlfn.TEXTJOIN(" ",TRUE,Employees_Data[[#This Row],[First Name]],Employees_Data[[#This Row],[Last Name]])</f>
        <v>Muhamad Alsaqaraq</v>
      </c>
      <c r="B307" s="64">
        <v>6</v>
      </c>
      <c r="C307" s="56">
        <v>0</v>
      </c>
      <c r="D307" s="56" t="str">
        <f>IFERROR(IF(OR(Attendance_Warning[[#This Row],[Sick Leaves]]&gt;3,Attendance_Warning[[#This Row],[Unpaid Leaves]]&gt;3),"Warning","OK"),"Not Found")</f>
        <v>Warning</v>
      </c>
    </row>
    <row r="308" spans="1:4" x14ac:dyDescent="0.35">
      <c r="A308" s="36" t="str">
        <f>_xlfn.TEXTJOIN(" ",TRUE,Employees_Data[[#This Row],[First Name]],Employees_Data[[#This Row],[Last Name]])</f>
        <v>Diea Sharina</v>
      </c>
      <c r="B308" s="63">
        <v>6</v>
      </c>
      <c r="C308" s="54">
        <v>0</v>
      </c>
      <c r="D308" s="54" t="str">
        <f>IFERROR(IF(OR(Attendance_Warning[[#This Row],[Sick Leaves]]&gt;3,Attendance_Warning[[#This Row],[Unpaid Leaves]]&gt;3),"Warning","OK"),"Not Found")</f>
        <v>Warning</v>
      </c>
    </row>
    <row r="309" spans="1:4" x14ac:dyDescent="0.35">
      <c r="A309" s="40" t="str">
        <f>_xlfn.TEXTJOIN(" ",TRUE,Employees_Data[[#This Row],[First Name]],Employees_Data[[#This Row],[Last Name]])</f>
        <v>Jablah Alsulayman</v>
      </c>
      <c r="B309" s="64">
        <v>1</v>
      </c>
      <c r="C309" s="56">
        <v>6</v>
      </c>
      <c r="D309" s="56" t="str">
        <f>IFERROR(IF(OR(Attendance_Warning[[#This Row],[Sick Leaves]]&gt;3,Attendance_Warning[[#This Row],[Unpaid Leaves]]&gt;3),"Warning","OK"),"Not Found")</f>
        <v>Warning</v>
      </c>
    </row>
    <row r="310" spans="1:4" x14ac:dyDescent="0.35">
      <c r="A310" s="36" t="str">
        <f>_xlfn.TEXTJOIN(" ",TRUE,Employees_Data[[#This Row],[First Name]],Employees_Data[[#This Row],[Last Name]])</f>
        <v>Muhamad Almaghribiu</v>
      </c>
      <c r="B310" s="63">
        <v>0</v>
      </c>
      <c r="C310" s="54">
        <v>0</v>
      </c>
      <c r="D310" s="54" t="str">
        <f>IFERROR(IF(OR(Attendance_Warning[[#This Row],[Sick Leaves]]&gt;3,Attendance_Warning[[#This Row],[Unpaid Leaves]]&gt;3),"Warning","OK"),"Not Found")</f>
        <v>OK</v>
      </c>
    </row>
    <row r="311" spans="1:4" x14ac:dyDescent="0.35">
      <c r="A311" s="40" t="str">
        <f>_xlfn.TEXTJOIN(" ",TRUE,Employees_Data[[#This Row],[First Name]],Employees_Data[[#This Row],[Last Name]])</f>
        <v>Kholoud Khayti</v>
      </c>
      <c r="B311" s="64">
        <v>0</v>
      </c>
      <c r="C311" s="56">
        <v>0</v>
      </c>
      <c r="D311" s="56" t="str">
        <f>IFERROR(IF(OR(Attendance_Warning[[#This Row],[Sick Leaves]]&gt;3,Attendance_Warning[[#This Row],[Unpaid Leaves]]&gt;3),"Warning","OK"),"Not Found")</f>
        <v>OK</v>
      </c>
    </row>
    <row r="312" spans="1:4" x14ac:dyDescent="0.35">
      <c r="A312" s="36" t="str">
        <f>_xlfn.TEXTJOIN(" ",TRUE,Employees_Data[[#This Row],[First Name]],Employees_Data[[#This Row],[Last Name]])</f>
        <v>Rahaf Jamul</v>
      </c>
      <c r="B312" s="63">
        <v>0</v>
      </c>
      <c r="C312" s="54">
        <v>0</v>
      </c>
      <c r="D312" s="54" t="str">
        <f>IFERROR(IF(OR(Attendance_Warning[[#This Row],[Sick Leaves]]&gt;3,Attendance_Warning[[#This Row],[Unpaid Leaves]]&gt;3),"Warning","OK"),"Not Found")</f>
        <v>OK</v>
      </c>
    </row>
    <row r="313" spans="1:4" x14ac:dyDescent="0.35">
      <c r="A313" s="40" t="str">
        <f>_xlfn.TEXTJOIN(" ",TRUE,Employees_Data[[#This Row],[First Name]],Employees_Data[[#This Row],[Last Name]])</f>
        <v>Faras Alrahil</v>
      </c>
      <c r="B313" s="64">
        <v>0</v>
      </c>
      <c r="C313" s="56">
        <v>0</v>
      </c>
      <c r="D313" s="56" t="str">
        <f>IFERROR(IF(OR(Attendance_Warning[[#This Row],[Sick Leaves]]&gt;3,Attendance_Warning[[#This Row],[Unpaid Leaves]]&gt;3),"Warning","OK"),"Not Found")</f>
        <v>OK</v>
      </c>
    </row>
    <row r="314" spans="1:4" x14ac:dyDescent="0.35">
      <c r="A314" s="36" t="str">
        <f>_xlfn.TEXTJOIN(" ",TRUE,Employees_Data[[#This Row],[First Name]],Employees_Data[[#This Row],[Last Name]])</f>
        <v>Abd Alrazzaq Gharah</v>
      </c>
      <c r="B314" s="63">
        <v>0</v>
      </c>
      <c r="C314" s="54">
        <v>0</v>
      </c>
      <c r="D314" s="54" t="str">
        <f>IFERROR(IF(OR(Attendance_Warning[[#This Row],[Sick Leaves]]&gt;3,Attendance_Warning[[#This Row],[Unpaid Leaves]]&gt;3),"Warning","OK"),"Not Found")</f>
        <v>OK</v>
      </c>
    </row>
    <row r="315" spans="1:4" x14ac:dyDescent="0.35">
      <c r="A315" s="40" t="str">
        <f>_xlfn.TEXTJOIN(" ",TRUE,Employees_Data[[#This Row],[First Name]],Employees_Data[[#This Row],[Last Name]])</f>
        <v>Alaa Saed</v>
      </c>
      <c r="B315" s="64">
        <v>0</v>
      </c>
      <c r="C315" s="56">
        <v>0</v>
      </c>
      <c r="D315" s="56" t="str">
        <f>IFERROR(IF(OR(Attendance_Warning[[#This Row],[Sick Leaves]]&gt;3,Attendance_Warning[[#This Row],[Unpaid Leaves]]&gt;3),"Warning","OK"),"Not Found")</f>
        <v>OK</v>
      </c>
    </row>
    <row r="316" spans="1:4" x14ac:dyDescent="0.35">
      <c r="A316" s="36" t="str">
        <f>_xlfn.TEXTJOIN(" ",TRUE,Employees_Data[[#This Row],[First Name]],Employees_Data[[#This Row],[Last Name]])</f>
        <v>Lylas Shiah</v>
      </c>
      <c r="B316" s="63">
        <v>0</v>
      </c>
      <c r="C316" s="54">
        <v>1</v>
      </c>
      <c r="D316" s="54" t="str">
        <f>IFERROR(IF(OR(Attendance_Warning[[#This Row],[Sick Leaves]]&gt;3,Attendance_Warning[[#This Row],[Unpaid Leaves]]&gt;3),"Warning","OK"),"Not Found")</f>
        <v>OK</v>
      </c>
    </row>
    <row r="317" spans="1:4" x14ac:dyDescent="0.35">
      <c r="A317" s="40" t="str">
        <f>_xlfn.TEXTJOIN(" ",TRUE,Employees_Data[[#This Row],[First Name]],Employees_Data[[#This Row],[Last Name]])</f>
        <v>Kinda Alaqre</v>
      </c>
      <c r="B317" s="64">
        <v>0</v>
      </c>
      <c r="C317" s="56">
        <v>0</v>
      </c>
      <c r="D317" s="56" t="str">
        <f>IFERROR(IF(OR(Attendance_Warning[[#This Row],[Sick Leaves]]&gt;3,Attendance_Warning[[#This Row],[Unpaid Leaves]]&gt;3),"Warning","OK"),"Not Found")</f>
        <v>OK</v>
      </c>
    </row>
    <row r="318" spans="1:4" x14ac:dyDescent="0.35">
      <c r="A318" s="36" t="str">
        <f>_xlfn.TEXTJOIN(" ",TRUE,Employees_Data[[#This Row],[First Name]],Employees_Data[[#This Row],[Last Name]])</f>
        <v>Muhamad Almisri</v>
      </c>
      <c r="B318" s="63">
        <v>0</v>
      </c>
      <c r="C318" s="54">
        <v>0</v>
      </c>
      <c r="D318" s="54" t="str">
        <f>IFERROR(IF(OR(Attendance_Warning[[#This Row],[Sick Leaves]]&gt;3,Attendance_Warning[[#This Row],[Unpaid Leaves]]&gt;3),"Warning","OK"),"Not Found")</f>
        <v>OK</v>
      </c>
    </row>
    <row r="319" spans="1:4" x14ac:dyDescent="0.35">
      <c r="A319" s="40" t="str">
        <f>_xlfn.TEXTJOIN(" ",TRUE,Employees_Data[[#This Row],[First Name]],Employees_Data[[#This Row],[Last Name]])</f>
        <v>Dinana Zaydan</v>
      </c>
      <c r="B319" s="64">
        <v>0</v>
      </c>
      <c r="C319" s="56">
        <v>0</v>
      </c>
      <c r="D319" s="56" t="str">
        <f>IFERROR(IF(OR(Attendance_Warning[[#This Row],[Sick Leaves]]&gt;3,Attendance_Warning[[#This Row],[Unpaid Leaves]]&gt;3),"Warning","OK"),"Not Found")</f>
        <v>OK</v>
      </c>
    </row>
    <row r="320" spans="1:4" x14ac:dyDescent="0.35">
      <c r="A320" s="36" t="str">
        <f>_xlfn.TEXTJOIN(" ",TRUE,Employees_Data[[#This Row],[First Name]],Employees_Data[[#This Row],[Last Name]])</f>
        <v>Amyrah Mudinih</v>
      </c>
      <c r="B320" s="63">
        <v>1</v>
      </c>
      <c r="C320" s="54">
        <v>1</v>
      </c>
      <c r="D320" s="54" t="str">
        <f>IFERROR(IF(OR(Attendance_Warning[[#This Row],[Sick Leaves]]&gt;3,Attendance_Warning[[#This Row],[Unpaid Leaves]]&gt;3),"Warning","OK"),"Not Found")</f>
        <v>OK</v>
      </c>
    </row>
    <row r="321" spans="1:4" x14ac:dyDescent="0.35">
      <c r="A321" s="40" t="str">
        <f>_xlfn.TEXTJOIN(" ",TRUE,Employees_Data[[#This Row],[First Name]],Employees_Data[[#This Row],[Last Name]])</f>
        <v>Safa AlAhmar</v>
      </c>
      <c r="B321" s="64">
        <v>0</v>
      </c>
      <c r="C321" s="56">
        <v>0</v>
      </c>
      <c r="D321" s="56" t="str">
        <f>IFERROR(IF(OR(Attendance_Warning[[#This Row],[Sick Leaves]]&gt;3,Attendance_Warning[[#This Row],[Unpaid Leaves]]&gt;3),"Warning","OK"),"Not Found")</f>
        <v>OK</v>
      </c>
    </row>
    <row r="322" spans="1:4" x14ac:dyDescent="0.35">
      <c r="A322" s="36" t="str">
        <f>_xlfn.TEXTJOIN(" ",TRUE,Employees_Data[[#This Row],[First Name]],Employees_Data[[#This Row],[Last Name]])</f>
        <v>Ahmad Eurman</v>
      </c>
      <c r="B322" s="63">
        <v>0</v>
      </c>
      <c r="C322" s="54">
        <v>0</v>
      </c>
      <c r="D322" s="54" t="str">
        <f>IFERROR(IF(OR(Attendance_Warning[[#This Row],[Sick Leaves]]&gt;3,Attendance_Warning[[#This Row],[Unpaid Leaves]]&gt;3),"Warning","OK"),"Not Found")</f>
        <v>OK</v>
      </c>
    </row>
    <row r="323" spans="1:4" x14ac:dyDescent="0.35">
      <c r="A323" s="40" t="str">
        <f>_xlfn.TEXTJOIN(" ",TRUE,Employees_Data[[#This Row],[First Name]],Employees_Data[[#This Row],[Last Name]])</f>
        <v>Abd Allah Almawsiliu</v>
      </c>
      <c r="B323" s="64">
        <v>3</v>
      </c>
      <c r="C323" s="56">
        <v>0</v>
      </c>
      <c r="D323" s="56" t="str">
        <f>IFERROR(IF(OR(Attendance_Warning[[#This Row],[Sick Leaves]]&gt;3,Attendance_Warning[[#This Row],[Unpaid Leaves]]&gt;3),"Warning","OK"),"Not Found")</f>
        <v>OK</v>
      </c>
    </row>
    <row r="324" spans="1:4" x14ac:dyDescent="0.35">
      <c r="A324" s="36" t="str">
        <f>_xlfn.TEXTJOIN(" ",TRUE,Employees_Data[[#This Row],[First Name]],Employees_Data[[#This Row],[Last Name]])</f>
        <v>Majd Eisaa</v>
      </c>
      <c r="B324" s="63">
        <v>2</v>
      </c>
      <c r="C324" s="54">
        <v>0</v>
      </c>
      <c r="D324" s="54" t="str">
        <f>IFERROR(IF(OR(Attendance_Warning[[#This Row],[Sick Leaves]]&gt;3,Attendance_Warning[[#This Row],[Unpaid Leaves]]&gt;3),"Warning","OK"),"Not Found")</f>
        <v>OK</v>
      </c>
    </row>
    <row r="325" spans="1:4" x14ac:dyDescent="0.35">
      <c r="A325" s="40" t="str">
        <f>_xlfn.TEXTJOIN(" ",TRUE,Employees_Data[[#This Row],[First Name]],Employees_Data[[#This Row],[Last Name]])</f>
        <v>Muhamad Salhany</v>
      </c>
      <c r="B325" s="64">
        <v>5</v>
      </c>
      <c r="C325" s="56">
        <v>0</v>
      </c>
      <c r="D325" s="56" t="str">
        <f>IFERROR(IF(OR(Attendance_Warning[[#This Row],[Sick Leaves]]&gt;3,Attendance_Warning[[#This Row],[Unpaid Leaves]]&gt;3),"Warning","OK"),"Not Found")</f>
        <v>Warning</v>
      </c>
    </row>
    <row r="326" spans="1:4" x14ac:dyDescent="0.35">
      <c r="A326" s="36" t="str">
        <f>_xlfn.TEXTJOIN(" ",TRUE,Employees_Data[[#This Row],[First Name]],Employees_Data[[#This Row],[Last Name]])</f>
        <v>Ashraf Aleid</v>
      </c>
      <c r="B326" s="63">
        <v>0</v>
      </c>
      <c r="C326" s="54">
        <v>4</v>
      </c>
      <c r="D326" s="54" t="str">
        <f>IFERROR(IF(OR(Attendance_Warning[[#This Row],[Sick Leaves]]&gt;3,Attendance_Warning[[#This Row],[Unpaid Leaves]]&gt;3),"Warning","OK"),"Not Found")</f>
        <v>Warning</v>
      </c>
    </row>
    <row r="327" spans="1:4" x14ac:dyDescent="0.35">
      <c r="A327" s="40" t="str">
        <f>_xlfn.TEXTJOIN(" ",TRUE,Employees_Data[[#This Row],[First Name]],Employees_Data[[#This Row],[Last Name]])</f>
        <v>Muhamad Shadi Alghazy</v>
      </c>
      <c r="B327" s="64">
        <v>6</v>
      </c>
      <c r="C327" s="56">
        <v>5</v>
      </c>
      <c r="D327" s="56" t="str">
        <f>IFERROR(IF(OR(Attendance_Warning[[#This Row],[Sick Leaves]]&gt;3,Attendance_Warning[[#This Row],[Unpaid Leaves]]&gt;3),"Warning","OK"),"Not Found")</f>
        <v>Warning</v>
      </c>
    </row>
    <row r="328" spans="1:4" x14ac:dyDescent="0.35">
      <c r="A328" s="36" t="str">
        <f>_xlfn.TEXTJOIN(" ",TRUE,Employees_Data[[#This Row],[First Name]],Employees_Data[[#This Row],[Last Name]])</f>
        <v>Muhamad Husayn</v>
      </c>
      <c r="B328" s="63">
        <v>0</v>
      </c>
      <c r="C328" s="54">
        <v>0</v>
      </c>
      <c r="D328" s="54" t="str">
        <f>IFERROR(IF(OR(Attendance_Warning[[#This Row],[Sick Leaves]]&gt;3,Attendance_Warning[[#This Row],[Unpaid Leaves]]&gt;3),"Warning","OK"),"Not Found")</f>
        <v>OK</v>
      </c>
    </row>
    <row r="329" spans="1:4" x14ac:dyDescent="0.35">
      <c r="A329" s="40" t="str">
        <f>_xlfn.TEXTJOIN(" ",TRUE,Employees_Data[[#This Row],[First Name]],Employees_Data[[#This Row],[Last Name]])</f>
        <v>Mazin Bytar</v>
      </c>
      <c r="B329" s="64">
        <v>0</v>
      </c>
      <c r="C329" s="56">
        <v>0</v>
      </c>
      <c r="D329" s="56" t="str">
        <f>IFERROR(IF(OR(Attendance_Warning[[#This Row],[Sick Leaves]]&gt;3,Attendance_Warning[[#This Row],[Unpaid Leaves]]&gt;3),"Warning","OK"),"Not Found")</f>
        <v>OK</v>
      </c>
    </row>
    <row r="330" spans="1:4" x14ac:dyDescent="0.35">
      <c r="A330" s="36" t="str">
        <f>_xlfn.TEXTJOIN(" ",TRUE,Employees_Data[[#This Row],[First Name]],Employees_Data[[#This Row],[Last Name]])</f>
        <v>Iin Farahat</v>
      </c>
      <c r="B330" s="63">
        <v>0</v>
      </c>
      <c r="C330" s="54">
        <v>2</v>
      </c>
      <c r="D330" s="54" t="str">
        <f>IFERROR(IF(OR(Attendance_Warning[[#This Row],[Sick Leaves]]&gt;3,Attendance_Warning[[#This Row],[Unpaid Leaves]]&gt;3),"Warning","OK"),"Not Found")</f>
        <v>OK</v>
      </c>
    </row>
    <row r="331" spans="1:4" x14ac:dyDescent="0.35">
      <c r="A331" s="40" t="str">
        <f>_xlfn.TEXTJOIN(" ",TRUE,Employees_Data[[#This Row],[First Name]],Employees_Data[[#This Row],[Last Name]])</f>
        <v>Lama Albazir</v>
      </c>
      <c r="B331" s="64">
        <v>0</v>
      </c>
      <c r="C331" s="56">
        <v>0</v>
      </c>
      <c r="D331" s="56" t="str">
        <f>IFERROR(IF(OR(Attendance_Warning[[#This Row],[Sick Leaves]]&gt;3,Attendance_Warning[[#This Row],[Unpaid Leaves]]&gt;3),"Warning","OK"),"Not Found")</f>
        <v>OK</v>
      </c>
    </row>
    <row r="332" spans="1:4" x14ac:dyDescent="0.35">
      <c r="A332" s="36" t="str">
        <f>_xlfn.TEXTJOIN(" ",TRUE,Employees_Data[[#This Row],[First Name]],Employees_Data[[#This Row],[Last Name]])</f>
        <v>Emar Alnisrin</v>
      </c>
      <c r="B332" s="63">
        <v>0</v>
      </c>
      <c r="C332" s="54">
        <v>0</v>
      </c>
      <c r="D332" s="54" t="str">
        <f>IFERROR(IF(OR(Attendance_Warning[[#This Row],[Sick Leaves]]&gt;3,Attendance_Warning[[#This Row],[Unpaid Leaves]]&gt;3),"Warning","OK"),"Not Found")</f>
        <v>OK</v>
      </c>
    </row>
    <row r="333" spans="1:4" x14ac:dyDescent="0.35">
      <c r="A333" s="40" t="str">
        <f>_xlfn.TEXTJOIN(" ",TRUE,Employees_Data[[#This Row],[First Name]],Employees_Data[[#This Row],[Last Name]])</f>
        <v>Afra Sharabi</v>
      </c>
      <c r="B333" s="64">
        <v>0</v>
      </c>
      <c r="C333" s="56">
        <v>0</v>
      </c>
      <c r="D333" s="56" t="str">
        <f>IFERROR(IF(OR(Attendance_Warning[[#This Row],[Sick Leaves]]&gt;3,Attendance_Warning[[#This Row],[Unpaid Leaves]]&gt;3),"Warning","OK"),"Not Found")</f>
        <v>OK</v>
      </c>
    </row>
    <row r="334" spans="1:4" x14ac:dyDescent="0.35">
      <c r="A334" s="36" t="str">
        <f>_xlfn.TEXTJOIN(" ",TRUE,Employees_Data[[#This Row],[First Name]],Employees_Data[[#This Row],[Last Name]])</f>
        <v>Ahmad Hamuwd</v>
      </c>
      <c r="B334" s="63">
        <v>1</v>
      </c>
      <c r="C334" s="54">
        <v>5</v>
      </c>
      <c r="D334" s="54" t="str">
        <f>IFERROR(IF(OR(Attendance_Warning[[#This Row],[Sick Leaves]]&gt;3,Attendance_Warning[[#This Row],[Unpaid Leaves]]&gt;3),"Warning","OK"),"Not Found")</f>
        <v>Warning</v>
      </c>
    </row>
    <row r="335" spans="1:4" x14ac:dyDescent="0.35">
      <c r="A335" s="40" t="str">
        <f>_xlfn.TEXTJOIN(" ",TRUE,Employees_Data[[#This Row],[First Name]],Employees_Data[[#This Row],[Last Name]])</f>
        <v>Ramiz Aleuryan</v>
      </c>
      <c r="B335" s="64">
        <v>0</v>
      </c>
      <c r="C335" s="56">
        <v>0</v>
      </c>
      <c r="D335" s="56" t="str">
        <f>IFERROR(IF(OR(Attendance_Warning[[#This Row],[Sick Leaves]]&gt;3,Attendance_Warning[[#This Row],[Unpaid Leaves]]&gt;3),"Warning","OK"),"Not Found")</f>
        <v>OK</v>
      </c>
    </row>
    <row r="336" spans="1:4" x14ac:dyDescent="0.35">
      <c r="A336" s="36" t="str">
        <f>_xlfn.TEXTJOIN(" ",TRUE,Employees_Data[[#This Row],[First Name]],Employees_Data[[#This Row],[Last Name]])</f>
        <v>Iad Eaku</v>
      </c>
      <c r="B336" s="63">
        <v>0</v>
      </c>
      <c r="C336" s="54">
        <v>5</v>
      </c>
      <c r="D336" s="54" t="str">
        <f>IFERROR(IF(OR(Attendance_Warning[[#This Row],[Sick Leaves]]&gt;3,Attendance_Warning[[#This Row],[Unpaid Leaves]]&gt;3),"Warning","OK"),"Not Found")</f>
        <v>Warning</v>
      </c>
    </row>
    <row r="337" spans="1:4" x14ac:dyDescent="0.35">
      <c r="A337" s="40" t="str">
        <f>_xlfn.TEXTJOIN(" ",TRUE,Employees_Data[[#This Row],[First Name]],Employees_Data[[#This Row],[Last Name]])</f>
        <v>Husayn Euthman</v>
      </c>
      <c r="B337" s="64">
        <v>4</v>
      </c>
      <c r="C337" s="56">
        <v>0</v>
      </c>
      <c r="D337" s="56" t="str">
        <f>IFERROR(IF(OR(Attendance_Warning[[#This Row],[Sick Leaves]]&gt;3,Attendance_Warning[[#This Row],[Unpaid Leaves]]&gt;3),"Warning","OK"),"Not Found")</f>
        <v>Warning</v>
      </c>
    </row>
    <row r="338" spans="1:4" x14ac:dyDescent="0.35">
      <c r="A338" s="36" t="str">
        <f>_xlfn.TEXTJOIN(" ",TRUE,Employees_Data[[#This Row],[First Name]],Employees_Data[[#This Row],[Last Name]])</f>
        <v>Imran Hazruma</v>
      </c>
      <c r="B338" s="63">
        <v>0</v>
      </c>
      <c r="C338" s="54">
        <v>0</v>
      </c>
      <c r="D338" s="54" t="str">
        <f>IFERROR(IF(OR(Attendance_Warning[[#This Row],[Sick Leaves]]&gt;3,Attendance_Warning[[#This Row],[Unpaid Leaves]]&gt;3),"Warning","OK"),"Not Found")</f>
        <v>OK</v>
      </c>
    </row>
    <row r="339" spans="1:4" x14ac:dyDescent="0.35">
      <c r="A339" s="40" t="str">
        <f>_xlfn.TEXTJOIN(" ",TRUE,Employees_Data[[#This Row],[First Name]],Employees_Data[[#This Row],[Last Name]])</f>
        <v>Rawan Durkzili</v>
      </c>
      <c r="B339" s="64">
        <v>5</v>
      </c>
      <c r="C339" s="56">
        <v>0</v>
      </c>
      <c r="D339" s="56" t="str">
        <f>IFERROR(IF(OR(Attendance_Warning[[#This Row],[Sick Leaves]]&gt;3,Attendance_Warning[[#This Row],[Unpaid Leaves]]&gt;3),"Warning","OK"),"Not Found")</f>
        <v>Warning</v>
      </c>
    </row>
    <row r="340" spans="1:4" x14ac:dyDescent="0.35">
      <c r="A340" s="36" t="str">
        <f>_xlfn.TEXTJOIN(" ",TRUE,Employees_Data[[#This Row],[First Name]],Employees_Data[[#This Row],[Last Name]])</f>
        <v>Muayid Shaqir</v>
      </c>
      <c r="B340" s="63">
        <v>5</v>
      </c>
      <c r="C340" s="54">
        <v>0</v>
      </c>
      <c r="D340" s="54" t="str">
        <f>IFERROR(IF(OR(Attendance_Warning[[#This Row],[Sick Leaves]]&gt;3,Attendance_Warning[[#This Row],[Unpaid Leaves]]&gt;3),"Warning","OK"),"Not Found")</f>
        <v>Warning</v>
      </c>
    </row>
    <row r="341" spans="1:4" x14ac:dyDescent="0.35">
      <c r="A341" s="40" t="str">
        <f>_xlfn.TEXTJOIN(" ",TRUE,Employees_Data[[#This Row],[First Name]],Employees_Data[[#This Row],[Last Name]])</f>
        <v>Muanis Alsabagh</v>
      </c>
      <c r="B341" s="64">
        <v>0</v>
      </c>
      <c r="C341" s="56">
        <v>4</v>
      </c>
      <c r="D341" s="56" t="str">
        <f>IFERROR(IF(OR(Attendance_Warning[[#This Row],[Sick Leaves]]&gt;3,Attendance_Warning[[#This Row],[Unpaid Leaves]]&gt;3),"Warning","OK"),"Not Found")</f>
        <v>Warning</v>
      </c>
    </row>
    <row r="342" spans="1:4" x14ac:dyDescent="0.35">
      <c r="A342" s="36" t="str">
        <f>_xlfn.TEXTJOIN(" ",TRUE,Employees_Data[[#This Row],[First Name]],Employees_Data[[#This Row],[Last Name]])</f>
        <v>Dijwar Husu</v>
      </c>
      <c r="B342" s="63">
        <v>5</v>
      </c>
      <c r="C342" s="54">
        <v>0</v>
      </c>
      <c r="D342" s="54" t="str">
        <f>IFERROR(IF(OR(Attendance_Warning[[#This Row],[Sick Leaves]]&gt;3,Attendance_Warning[[#This Row],[Unpaid Leaves]]&gt;3),"Warning","OK"),"Not Found")</f>
        <v>Warning</v>
      </c>
    </row>
    <row r="343" spans="1:4" x14ac:dyDescent="0.35">
      <c r="A343" s="40" t="str">
        <f>_xlfn.TEXTJOIN(" ",TRUE,Employees_Data[[#This Row],[First Name]],Employees_Data[[#This Row],[Last Name]])</f>
        <v>Asama Eilwan</v>
      </c>
      <c r="B343" s="64">
        <v>0</v>
      </c>
      <c r="C343" s="56">
        <v>4</v>
      </c>
      <c r="D343" s="56" t="str">
        <f>IFERROR(IF(OR(Attendance_Warning[[#This Row],[Sick Leaves]]&gt;3,Attendance_Warning[[#This Row],[Unpaid Leaves]]&gt;3),"Warning","OK"),"Not Found")</f>
        <v>Warning</v>
      </c>
    </row>
    <row r="344" spans="1:4" x14ac:dyDescent="0.35">
      <c r="A344" s="36" t="str">
        <f>_xlfn.TEXTJOIN(" ",TRUE,Employees_Data[[#This Row],[First Name]],Employees_Data[[#This Row],[Last Name]])</f>
        <v>Esamat Alhidad</v>
      </c>
      <c r="B344" s="63">
        <v>6</v>
      </c>
      <c r="C344" s="54">
        <v>0</v>
      </c>
      <c r="D344" s="54" t="str">
        <f>IFERROR(IF(OR(Attendance_Warning[[#This Row],[Sick Leaves]]&gt;3,Attendance_Warning[[#This Row],[Unpaid Leaves]]&gt;3),"Warning","OK"),"Not Found")</f>
        <v>Warning</v>
      </c>
    </row>
    <row r="345" spans="1:4" x14ac:dyDescent="0.35">
      <c r="A345" s="40" t="str">
        <f>_xlfn.TEXTJOIN(" ",TRUE,Employees_Data[[#This Row],[First Name]],Employees_Data[[#This Row],[Last Name]])</f>
        <v>Tariq Zaeur</v>
      </c>
      <c r="B345" s="64">
        <v>0</v>
      </c>
      <c r="C345" s="56">
        <v>0</v>
      </c>
      <c r="D345" s="56" t="str">
        <f>IFERROR(IF(OR(Attendance_Warning[[#This Row],[Sick Leaves]]&gt;3,Attendance_Warning[[#This Row],[Unpaid Leaves]]&gt;3),"Warning","OK"),"Not Found")</f>
        <v>OK</v>
      </c>
    </row>
    <row r="346" spans="1:4" x14ac:dyDescent="0.35">
      <c r="A346" s="36" t="str">
        <f>_xlfn.TEXTJOIN(" ",TRUE,Employees_Data[[#This Row],[First Name]],Employees_Data[[#This Row],[Last Name]])</f>
        <v>Rasul Aleumurii</v>
      </c>
      <c r="B346" s="63">
        <v>0</v>
      </c>
      <c r="C346" s="54">
        <v>0</v>
      </c>
      <c r="D346" s="54" t="str">
        <f>IFERROR(IF(OR(Attendance_Warning[[#This Row],[Sick Leaves]]&gt;3,Attendance_Warning[[#This Row],[Unpaid Leaves]]&gt;3),"Warning","OK"),"Not Found")</f>
        <v>OK</v>
      </c>
    </row>
    <row r="347" spans="1:4" x14ac:dyDescent="0.35">
      <c r="A347" s="40" t="str">
        <f>_xlfn.TEXTJOIN(" ",TRUE,Employees_Data[[#This Row],[First Name]],Employees_Data[[#This Row],[Last Name]])</f>
        <v>Rawan Albaytar</v>
      </c>
      <c r="B347" s="64">
        <v>0</v>
      </c>
      <c r="C347" s="56">
        <v>3</v>
      </c>
      <c r="D347" s="56" t="str">
        <f>IFERROR(IF(OR(Attendance_Warning[[#This Row],[Sick Leaves]]&gt;3,Attendance_Warning[[#This Row],[Unpaid Leaves]]&gt;3),"Warning","OK"),"Not Found")</f>
        <v>OK</v>
      </c>
    </row>
    <row r="348" spans="1:4" x14ac:dyDescent="0.35">
      <c r="A348" s="36" t="str">
        <f>_xlfn.TEXTJOIN(" ",TRUE,Employees_Data[[#This Row],[First Name]],Employees_Data[[#This Row],[Last Name]])</f>
        <v>Omar Altuean</v>
      </c>
      <c r="B348" s="63">
        <v>0</v>
      </c>
      <c r="C348" s="54">
        <v>4</v>
      </c>
      <c r="D348" s="54" t="str">
        <f>IFERROR(IF(OR(Attendance_Warning[[#This Row],[Sick Leaves]]&gt;3,Attendance_Warning[[#This Row],[Unpaid Leaves]]&gt;3),"Warning","OK"),"Not Found")</f>
        <v>Warning</v>
      </c>
    </row>
    <row r="349" spans="1:4" x14ac:dyDescent="0.35">
      <c r="A349" s="40" t="str">
        <f>_xlfn.TEXTJOIN(" ",TRUE,Employees_Data[[#This Row],[First Name]],Employees_Data[[#This Row],[Last Name]])</f>
        <v>Dalia Hamdan</v>
      </c>
      <c r="B349" s="64">
        <v>0</v>
      </c>
      <c r="C349" s="56">
        <v>0</v>
      </c>
      <c r="D349" s="56" t="str">
        <f>IFERROR(IF(OR(Attendance_Warning[[#This Row],[Sick Leaves]]&gt;3,Attendance_Warning[[#This Row],[Unpaid Leaves]]&gt;3),"Warning","OK"),"Not Found")</f>
        <v>OK</v>
      </c>
    </row>
    <row r="350" spans="1:4" x14ac:dyDescent="0.35">
      <c r="A350" s="36" t="str">
        <f>_xlfn.TEXTJOIN(" ",TRUE,Employees_Data[[#This Row],[First Name]],Employees_Data[[#This Row],[Last Name]])</f>
        <v>Omar Alhindi</v>
      </c>
      <c r="B350" s="63">
        <v>6</v>
      </c>
      <c r="C350" s="54">
        <v>0</v>
      </c>
      <c r="D350" s="54" t="str">
        <f>IFERROR(IF(OR(Attendance_Warning[[#This Row],[Sick Leaves]]&gt;3,Attendance_Warning[[#This Row],[Unpaid Leaves]]&gt;3),"Warning","OK"),"Not Found")</f>
        <v>Warning</v>
      </c>
    </row>
    <row r="351" spans="1:4" x14ac:dyDescent="0.35">
      <c r="A351" s="40" t="str">
        <f>_xlfn.TEXTJOIN(" ",TRUE,Employees_Data[[#This Row],[First Name]],Employees_Data[[#This Row],[Last Name]])</f>
        <v>Ali Zyny</v>
      </c>
      <c r="B351" s="64">
        <v>6</v>
      </c>
      <c r="C351" s="56">
        <v>0</v>
      </c>
      <c r="D351" s="56" t="str">
        <f>IFERROR(IF(OR(Attendance_Warning[[#This Row],[Sick Leaves]]&gt;3,Attendance_Warning[[#This Row],[Unpaid Leaves]]&gt;3),"Warning","OK"),"Not Found")</f>
        <v>Warning</v>
      </c>
    </row>
    <row r="352" spans="1:4" x14ac:dyDescent="0.35">
      <c r="A352" s="36" t="str">
        <f>_xlfn.TEXTJOIN(" ",TRUE,Employees_Data[[#This Row],[First Name]],Employees_Data[[#This Row],[Last Name]])</f>
        <v>Almuetaz Biallah</v>
      </c>
      <c r="B352" s="63">
        <v>0</v>
      </c>
      <c r="C352" s="54">
        <v>0</v>
      </c>
      <c r="D352" s="54" t="str">
        <f>IFERROR(IF(OR(Attendance_Warning[[#This Row],[Sick Leaves]]&gt;3,Attendance_Warning[[#This Row],[Unpaid Leaves]]&gt;3),"Warning","OK"),"Not Found")</f>
        <v>OK</v>
      </c>
    </row>
    <row r="353" spans="1:4" x14ac:dyDescent="0.35">
      <c r="A353" s="40" t="str">
        <f>_xlfn.TEXTJOIN(" ",TRUE,Employees_Data[[#This Row],[First Name]],Employees_Data[[#This Row],[Last Name]])</f>
        <v>Rabana Alsaman</v>
      </c>
      <c r="B353" s="64">
        <v>0</v>
      </c>
      <c r="C353" s="56">
        <v>0</v>
      </c>
      <c r="D353" s="56" t="str">
        <f>IFERROR(IF(OR(Attendance_Warning[[#This Row],[Sick Leaves]]&gt;3,Attendance_Warning[[#This Row],[Unpaid Leaves]]&gt;3),"Warning","OK"),"Not Found")</f>
        <v>OK</v>
      </c>
    </row>
    <row r="354" spans="1:4" x14ac:dyDescent="0.35">
      <c r="A354" s="36" t="str">
        <f>_xlfn.TEXTJOIN(" ",TRUE,Employees_Data[[#This Row],[First Name]],Employees_Data[[#This Row],[Last Name]])</f>
        <v>Ghada Khalid</v>
      </c>
      <c r="B354" s="63">
        <v>0</v>
      </c>
      <c r="C354" s="54">
        <v>2</v>
      </c>
      <c r="D354" s="54" t="str">
        <f>IFERROR(IF(OR(Attendance_Warning[[#This Row],[Sick Leaves]]&gt;3,Attendance_Warning[[#This Row],[Unpaid Leaves]]&gt;3),"Warning","OK"),"Not Found")</f>
        <v>OK</v>
      </c>
    </row>
    <row r="355" spans="1:4" x14ac:dyDescent="0.35">
      <c r="A355" s="40" t="str">
        <f>_xlfn.TEXTJOIN(" ",TRUE,Employees_Data[[#This Row],[First Name]],Employees_Data[[#This Row],[Last Name]])</f>
        <v>Esamat Alriys</v>
      </c>
      <c r="B355" s="64">
        <v>0</v>
      </c>
      <c r="C355" s="56">
        <v>0</v>
      </c>
      <c r="D355" s="56" t="str">
        <f>IFERROR(IF(OR(Attendance_Warning[[#This Row],[Sick Leaves]]&gt;3,Attendance_Warning[[#This Row],[Unpaid Leaves]]&gt;3),"Warning","OK"),"Not Found")</f>
        <v>OK</v>
      </c>
    </row>
    <row r="356" spans="1:4" x14ac:dyDescent="0.35">
      <c r="A356" s="36" t="str">
        <f>_xlfn.TEXTJOIN(" ",TRUE,Employees_Data[[#This Row],[First Name]],Employees_Data[[#This Row],[Last Name]])</f>
        <v>Amir Alkhatib</v>
      </c>
      <c r="B356" s="63">
        <v>6</v>
      </c>
      <c r="C356" s="54">
        <v>0</v>
      </c>
      <c r="D356" s="54" t="str">
        <f>IFERROR(IF(OR(Attendance_Warning[[#This Row],[Sick Leaves]]&gt;3,Attendance_Warning[[#This Row],[Unpaid Leaves]]&gt;3),"Warning","OK"),"Not Found")</f>
        <v>Warning</v>
      </c>
    </row>
    <row r="357" spans="1:4" x14ac:dyDescent="0.35">
      <c r="A357" s="40" t="str">
        <f>_xlfn.TEXTJOIN(" ",TRUE,Employees_Data[[#This Row],[First Name]],Employees_Data[[#This Row],[Last Name]])</f>
        <v>Samirah Jumea</v>
      </c>
      <c r="B357" s="64">
        <v>0</v>
      </c>
      <c r="C357" s="56">
        <v>0</v>
      </c>
      <c r="D357" s="56" t="str">
        <f>IFERROR(IF(OR(Attendance_Warning[[#This Row],[Sick Leaves]]&gt;3,Attendance_Warning[[#This Row],[Unpaid Leaves]]&gt;3),"Warning","OK"),"Not Found")</f>
        <v>OK</v>
      </c>
    </row>
    <row r="358" spans="1:4" x14ac:dyDescent="0.35">
      <c r="A358" s="36" t="str">
        <f>_xlfn.TEXTJOIN(" ",TRUE,Employees_Data[[#This Row],[First Name]],Employees_Data[[#This Row],[Last Name]])</f>
        <v>Samir Alhaj Ali</v>
      </c>
      <c r="B358" s="63">
        <v>5</v>
      </c>
      <c r="C358" s="54">
        <v>1</v>
      </c>
      <c r="D358" s="54" t="str">
        <f>IFERROR(IF(OR(Attendance_Warning[[#This Row],[Sick Leaves]]&gt;3,Attendance_Warning[[#This Row],[Unpaid Leaves]]&gt;3),"Warning","OK"),"Not Found")</f>
        <v>Warning</v>
      </c>
    </row>
    <row r="359" spans="1:4" x14ac:dyDescent="0.35">
      <c r="A359" s="40" t="str">
        <f>_xlfn.TEXTJOIN(" ",TRUE,Employees_Data[[#This Row],[First Name]],Employees_Data[[#This Row],[Last Name]])</f>
        <v>Farial Qulumih</v>
      </c>
      <c r="B359" s="64">
        <v>1</v>
      </c>
      <c r="C359" s="56">
        <v>0</v>
      </c>
      <c r="D359" s="56" t="str">
        <f>IFERROR(IF(OR(Attendance_Warning[[#This Row],[Sick Leaves]]&gt;3,Attendance_Warning[[#This Row],[Unpaid Leaves]]&gt;3),"Warning","OK"),"Not Found")</f>
        <v>OK</v>
      </c>
    </row>
    <row r="360" spans="1:4" x14ac:dyDescent="0.35">
      <c r="A360" s="36" t="str">
        <f>_xlfn.TEXTJOIN(" ",TRUE,Employees_Data[[#This Row],[First Name]],Employees_Data[[#This Row],[Last Name]])</f>
        <v>Salih Dawara</v>
      </c>
      <c r="B360" s="63">
        <v>1</v>
      </c>
      <c r="C360" s="54">
        <v>0</v>
      </c>
      <c r="D360" s="54" t="str">
        <f>IFERROR(IF(OR(Attendance_Warning[[#This Row],[Sick Leaves]]&gt;3,Attendance_Warning[[#This Row],[Unpaid Leaves]]&gt;3),"Warning","OK"),"Not Found")</f>
        <v>OK</v>
      </c>
    </row>
    <row r="361" spans="1:4" x14ac:dyDescent="0.35">
      <c r="A361" s="40" t="str">
        <f>_xlfn.TEXTJOIN(" ",TRUE,Employees_Data[[#This Row],[First Name]],Employees_Data[[#This Row],[Last Name]])</f>
        <v>Abdalhadi Salim</v>
      </c>
      <c r="B361" s="64">
        <v>0</v>
      </c>
      <c r="C361" s="56">
        <v>0</v>
      </c>
      <c r="D361" s="56" t="str">
        <f>IFERROR(IF(OR(Attendance_Warning[[#This Row],[Sick Leaves]]&gt;3,Attendance_Warning[[#This Row],[Unpaid Leaves]]&gt;3),"Warning","OK"),"Not Found")</f>
        <v>OK</v>
      </c>
    </row>
    <row r="362" spans="1:4" x14ac:dyDescent="0.35">
      <c r="A362" s="36" t="str">
        <f>_xlfn.TEXTJOIN(" ",TRUE,Employees_Data[[#This Row],[First Name]],Employees_Data[[#This Row],[Last Name]])</f>
        <v>Ruaa Qahraman</v>
      </c>
      <c r="B362" s="63">
        <v>1</v>
      </c>
      <c r="C362" s="54">
        <v>6</v>
      </c>
      <c r="D362" s="54" t="str">
        <f>IFERROR(IF(OR(Attendance_Warning[[#This Row],[Sick Leaves]]&gt;3,Attendance_Warning[[#This Row],[Unpaid Leaves]]&gt;3),"Warning","OK"),"Not Found")</f>
        <v>Warning</v>
      </c>
    </row>
    <row r="363" spans="1:4" x14ac:dyDescent="0.35">
      <c r="A363" s="40" t="str">
        <f>_xlfn.TEXTJOIN(" ",TRUE,Employees_Data[[#This Row],[First Name]],Employees_Data[[#This Row],[Last Name]])</f>
        <v>Muhamad Mshati</v>
      </c>
      <c r="B363" s="64">
        <v>0</v>
      </c>
      <c r="C363" s="56">
        <v>0</v>
      </c>
      <c r="D363" s="56" t="str">
        <f>IFERROR(IF(OR(Attendance_Warning[[#This Row],[Sick Leaves]]&gt;3,Attendance_Warning[[#This Row],[Unpaid Leaves]]&gt;3),"Warning","OK"),"Not Found")</f>
        <v>OK</v>
      </c>
    </row>
    <row r="364" spans="1:4" x14ac:dyDescent="0.35">
      <c r="A364" s="36" t="str">
        <f>_xlfn.TEXTJOIN(" ",TRUE,Employees_Data[[#This Row],[First Name]],Employees_Data[[#This Row],[Last Name]])</f>
        <v>Shadi Altibae</v>
      </c>
      <c r="B364" s="63">
        <v>0</v>
      </c>
      <c r="C364" s="54">
        <v>0</v>
      </c>
      <c r="D364" s="54" t="str">
        <f>IFERROR(IF(OR(Attendance_Warning[[#This Row],[Sick Leaves]]&gt;3,Attendance_Warning[[#This Row],[Unpaid Leaves]]&gt;3),"Warning","OK"),"Not Found")</f>
        <v>OK</v>
      </c>
    </row>
    <row r="365" spans="1:4" x14ac:dyDescent="0.35">
      <c r="A365" s="40" t="str">
        <f>_xlfn.TEXTJOIN(" ",TRUE,Employees_Data[[#This Row],[First Name]],Employees_Data[[#This Row],[Last Name]])</f>
        <v>Ahmad Iidlibi</v>
      </c>
      <c r="B365" s="64">
        <v>6</v>
      </c>
      <c r="C365" s="56">
        <v>0</v>
      </c>
      <c r="D365" s="56" t="str">
        <f>IFERROR(IF(OR(Attendance_Warning[[#This Row],[Sick Leaves]]&gt;3,Attendance_Warning[[#This Row],[Unpaid Leaves]]&gt;3),"Warning","OK"),"Not Found")</f>
        <v>Warning</v>
      </c>
    </row>
    <row r="366" spans="1:4" x14ac:dyDescent="0.35">
      <c r="A366" s="36" t="str">
        <f>_xlfn.TEXTJOIN(" ",TRUE,Employees_Data[[#This Row],[First Name]],Employees_Data[[#This Row],[Last Name]])</f>
        <v>Fadi Ghazzawi</v>
      </c>
      <c r="B366" s="63">
        <v>4</v>
      </c>
      <c r="C366" s="54">
        <v>0</v>
      </c>
      <c r="D366" s="54" t="str">
        <f>IFERROR(IF(OR(Attendance_Warning[[#This Row],[Sick Leaves]]&gt;3,Attendance_Warning[[#This Row],[Unpaid Leaves]]&gt;3),"Warning","OK"),"Not Found")</f>
        <v>Warning</v>
      </c>
    </row>
    <row r="367" spans="1:4" x14ac:dyDescent="0.35">
      <c r="A367" s="40" t="str">
        <f>_xlfn.TEXTJOIN(" ",TRUE,Employees_Data[[#This Row],[First Name]],Employees_Data[[#This Row],[Last Name]])</f>
        <v>Basil Eabd Aleal</v>
      </c>
      <c r="B367" s="64">
        <v>0</v>
      </c>
      <c r="C367" s="56">
        <v>0</v>
      </c>
      <c r="D367" s="56" t="str">
        <f>IFERROR(IF(OR(Attendance_Warning[[#This Row],[Sick Leaves]]&gt;3,Attendance_Warning[[#This Row],[Unpaid Leaves]]&gt;3),"Warning","OK"),"Not Found")</f>
        <v>OK</v>
      </c>
    </row>
    <row r="368" spans="1:4" x14ac:dyDescent="0.35">
      <c r="A368" s="36" t="str">
        <f>_xlfn.TEXTJOIN(" ",TRUE,Employees_Data[[#This Row],[First Name]],Employees_Data[[#This Row],[Last Name]])</f>
        <v>Sali Musuh</v>
      </c>
      <c r="B368" s="63">
        <v>1</v>
      </c>
      <c r="C368" s="54">
        <v>2</v>
      </c>
      <c r="D368" s="54" t="str">
        <f>IFERROR(IF(OR(Attendance_Warning[[#This Row],[Sick Leaves]]&gt;3,Attendance_Warning[[#This Row],[Unpaid Leaves]]&gt;3),"Warning","OK"),"Not Found")</f>
        <v>OK</v>
      </c>
    </row>
    <row r="369" spans="1:4" x14ac:dyDescent="0.35">
      <c r="A369" s="40" t="str">
        <f>_xlfn.TEXTJOIN(" ",TRUE,Employees_Data[[#This Row],[First Name]],Employees_Data[[#This Row],[Last Name]])</f>
        <v>Alaa Iismaeil</v>
      </c>
      <c r="B369" s="64">
        <v>0</v>
      </c>
      <c r="C369" s="56">
        <v>0</v>
      </c>
      <c r="D369" s="56" t="str">
        <f>IFERROR(IF(OR(Attendance_Warning[[#This Row],[Sick Leaves]]&gt;3,Attendance_Warning[[#This Row],[Unpaid Leaves]]&gt;3),"Warning","OK"),"Not Found")</f>
        <v>OK</v>
      </c>
    </row>
    <row r="370" spans="1:4" x14ac:dyDescent="0.35">
      <c r="A370" s="36" t="str">
        <f>_xlfn.TEXTJOIN(" ",TRUE,Employees_Data[[#This Row],[First Name]],Employees_Data[[#This Row],[Last Name]])</f>
        <v>Maria Alhizae</v>
      </c>
      <c r="B370" s="63">
        <v>2</v>
      </c>
      <c r="C370" s="54">
        <v>4</v>
      </c>
      <c r="D370" s="54" t="str">
        <f>IFERROR(IF(OR(Attendance_Warning[[#This Row],[Sick Leaves]]&gt;3,Attendance_Warning[[#This Row],[Unpaid Leaves]]&gt;3),"Warning","OK"),"Not Found")</f>
        <v>Warning</v>
      </c>
    </row>
    <row r="371" spans="1:4" x14ac:dyDescent="0.35">
      <c r="A371" s="40" t="str">
        <f>_xlfn.TEXTJOIN(" ",TRUE,Employees_Data[[#This Row],[First Name]],Employees_Data[[#This Row],[Last Name]])</f>
        <v>Ghazal Alghan</v>
      </c>
      <c r="B371" s="64">
        <v>4</v>
      </c>
      <c r="C371" s="56">
        <v>1</v>
      </c>
      <c r="D371" s="56" t="str">
        <f>IFERROR(IF(OR(Attendance_Warning[[#This Row],[Sick Leaves]]&gt;3,Attendance_Warning[[#This Row],[Unpaid Leaves]]&gt;3),"Warning","OK"),"Not Found")</f>
        <v>Warning</v>
      </c>
    </row>
    <row r="372" spans="1:4" x14ac:dyDescent="0.35">
      <c r="A372" s="36" t="str">
        <f>_xlfn.TEXTJOIN(" ",TRUE,Employees_Data[[#This Row],[First Name]],Employees_Data[[#This Row],[Last Name]])</f>
        <v>Eala Mitri</v>
      </c>
      <c r="B372" s="63">
        <v>0</v>
      </c>
      <c r="C372" s="54">
        <v>0</v>
      </c>
      <c r="D372" s="54" t="str">
        <f>IFERROR(IF(OR(Attendance_Warning[[#This Row],[Sick Leaves]]&gt;3,Attendance_Warning[[#This Row],[Unpaid Leaves]]&gt;3),"Warning","OK"),"Not Found")</f>
        <v>OK</v>
      </c>
    </row>
    <row r="373" spans="1:4" x14ac:dyDescent="0.35">
      <c r="A373" s="40" t="str">
        <f>_xlfn.TEXTJOIN(" ",TRUE,Employees_Data[[#This Row],[First Name]],Employees_Data[[#This Row],[Last Name]])</f>
        <v>Muhamad Aleliwi</v>
      </c>
      <c r="B373" s="64">
        <v>1</v>
      </c>
      <c r="C373" s="56">
        <v>0</v>
      </c>
      <c r="D373" s="56" t="str">
        <f>IFERROR(IF(OR(Attendance_Warning[[#This Row],[Sick Leaves]]&gt;3,Attendance_Warning[[#This Row],[Unpaid Leaves]]&gt;3),"Warning","OK"),"Not Found")</f>
        <v>OK</v>
      </c>
    </row>
    <row r="374" spans="1:4" x14ac:dyDescent="0.35">
      <c r="A374" s="36" t="str">
        <f>_xlfn.TEXTJOIN(" ",TRUE,Employees_Data[[#This Row],[First Name]],Employees_Data[[#This Row],[Last Name]])</f>
        <v>Ahmad Almisri</v>
      </c>
      <c r="B374" s="63">
        <v>0</v>
      </c>
      <c r="C374" s="54">
        <v>0</v>
      </c>
      <c r="D374" s="54" t="str">
        <f>IFERROR(IF(OR(Attendance_Warning[[#This Row],[Sick Leaves]]&gt;3,Attendance_Warning[[#This Row],[Unpaid Leaves]]&gt;3),"Warning","OK"),"Not Found")</f>
        <v>OK</v>
      </c>
    </row>
    <row r="375" spans="1:4" x14ac:dyDescent="0.35">
      <c r="A375" s="40" t="str">
        <f>_xlfn.TEXTJOIN(" ",TRUE,Employees_Data[[#This Row],[First Name]],Employees_Data[[#This Row],[Last Name]])</f>
        <v>Ahmad Aldwltali</v>
      </c>
      <c r="B375" s="64">
        <v>0</v>
      </c>
      <c r="C375" s="56">
        <v>0</v>
      </c>
      <c r="D375" s="56" t="str">
        <f>IFERROR(IF(OR(Attendance_Warning[[#This Row],[Sick Leaves]]&gt;3,Attendance_Warning[[#This Row],[Unpaid Leaves]]&gt;3),"Warning","OK"),"Not Found")</f>
        <v>OK</v>
      </c>
    </row>
    <row r="376" spans="1:4" x14ac:dyDescent="0.35">
      <c r="A376" s="36" t="str">
        <f>_xlfn.TEXTJOIN(" ",TRUE,Employees_Data[[#This Row],[First Name]],Employees_Data[[#This Row],[Last Name]])</f>
        <v>Muhamad Udib</v>
      </c>
      <c r="B376" s="63">
        <v>0</v>
      </c>
      <c r="C376" s="54">
        <v>0</v>
      </c>
      <c r="D376" s="54" t="str">
        <f>IFERROR(IF(OR(Attendance_Warning[[#This Row],[Sick Leaves]]&gt;3,Attendance_Warning[[#This Row],[Unpaid Leaves]]&gt;3),"Warning","OK"),"Not Found")</f>
        <v>OK</v>
      </c>
    </row>
    <row r="377" spans="1:4" x14ac:dyDescent="0.35">
      <c r="A377" s="40" t="str">
        <f>_xlfn.TEXTJOIN(" ",TRUE,Employees_Data[[#This Row],[First Name]],Employees_Data[[#This Row],[Last Name]])</f>
        <v>Alaa Yuzbik</v>
      </c>
      <c r="B377" s="64">
        <v>4</v>
      </c>
      <c r="C377" s="56">
        <v>0</v>
      </c>
      <c r="D377" s="56" t="str">
        <f>IFERROR(IF(OR(Attendance_Warning[[#This Row],[Sick Leaves]]&gt;3,Attendance_Warning[[#This Row],[Unpaid Leaves]]&gt;3),"Warning","OK"),"Not Found")</f>
        <v>Warning</v>
      </c>
    </row>
    <row r="378" spans="1:4" x14ac:dyDescent="0.35">
      <c r="A378" s="36" t="str">
        <f>_xlfn.TEXTJOIN(" ",TRUE,Employees_Data[[#This Row],[First Name]],Employees_Data[[#This Row],[Last Name]])</f>
        <v>Husayn Zaerur</v>
      </c>
      <c r="B378" s="63">
        <v>3</v>
      </c>
      <c r="C378" s="54">
        <v>3</v>
      </c>
      <c r="D378" s="54" t="str">
        <f>IFERROR(IF(OR(Attendance_Warning[[#This Row],[Sick Leaves]]&gt;3,Attendance_Warning[[#This Row],[Unpaid Leaves]]&gt;3),"Warning","OK"),"Not Found")</f>
        <v>OK</v>
      </c>
    </row>
    <row r="379" spans="1:4" x14ac:dyDescent="0.35">
      <c r="A379" s="40" t="str">
        <f>_xlfn.TEXTJOIN(" ",TRUE,Employees_Data[[#This Row],[First Name]],Employees_Data[[#This Row],[Last Name]])</f>
        <v>Saeid Mazlum</v>
      </c>
      <c r="B379" s="64">
        <v>6</v>
      </c>
      <c r="C379" s="56">
        <v>0</v>
      </c>
      <c r="D379" s="56" t="str">
        <f>IFERROR(IF(OR(Attendance_Warning[[#This Row],[Sick Leaves]]&gt;3,Attendance_Warning[[#This Row],[Unpaid Leaves]]&gt;3),"Warning","OK"),"Not Found")</f>
        <v>Warning</v>
      </c>
    </row>
    <row r="380" spans="1:4" x14ac:dyDescent="0.35">
      <c r="A380" s="36" t="str">
        <f>_xlfn.TEXTJOIN(" ",TRUE,Employees_Data[[#This Row],[First Name]],Employees_Data[[#This Row],[Last Name]])</f>
        <v>Ahmad Alghurani</v>
      </c>
      <c r="B380" s="63">
        <v>0</v>
      </c>
      <c r="C380" s="54">
        <v>0</v>
      </c>
      <c r="D380" s="54" t="str">
        <f>IFERROR(IF(OR(Attendance_Warning[[#This Row],[Sick Leaves]]&gt;3,Attendance_Warning[[#This Row],[Unpaid Leaves]]&gt;3),"Warning","OK"),"Not Found")</f>
        <v>OK</v>
      </c>
    </row>
    <row r="381" spans="1:4" x14ac:dyDescent="0.35">
      <c r="A381" s="40" t="str">
        <f>_xlfn.TEXTJOIN(" ",TRUE,Employees_Data[[#This Row],[First Name]],Employees_Data[[#This Row],[Last Name]])</f>
        <v>Abd Alsamad Ahmad</v>
      </c>
      <c r="B381" s="64">
        <v>5</v>
      </c>
      <c r="C381" s="56">
        <v>0</v>
      </c>
      <c r="D381" s="56" t="str">
        <f>IFERROR(IF(OR(Attendance_Warning[[#This Row],[Sick Leaves]]&gt;3,Attendance_Warning[[#This Row],[Unpaid Leaves]]&gt;3),"Warning","OK"),"Not Found")</f>
        <v>Warning</v>
      </c>
    </row>
    <row r="382" spans="1:4" x14ac:dyDescent="0.35">
      <c r="A382" s="36" t="str">
        <f>_xlfn.TEXTJOIN(" ",TRUE,Employees_Data[[#This Row],[First Name]],Employees_Data[[#This Row],[Last Name]])</f>
        <v>Amir Alhasan</v>
      </c>
      <c r="B382" s="63">
        <v>0</v>
      </c>
      <c r="C382" s="54">
        <v>0</v>
      </c>
      <c r="D382" s="54" t="str">
        <f>IFERROR(IF(OR(Attendance_Warning[[#This Row],[Sick Leaves]]&gt;3,Attendance_Warning[[#This Row],[Unpaid Leaves]]&gt;3),"Warning","OK"),"Not Found")</f>
        <v>OK</v>
      </c>
    </row>
    <row r="383" spans="1:4" x14ac:dyDescent="0.35">
      <c r="A383" s="40" t="str">
        <f>_xlfn.TEXTJOIN(" ",TRUE,Employees_Data[[#This Row],[First Name]],Employees_Data[[#This Row],[Last Name]])</f>
        <v>Alaa Altahhan</v>
      </c>
      <c r="B383" s="64">
        <v>4</v>
      </c>
      <c r="C383" s="56">
        <v>0</v>
      </c>
      <c r="D383" s="56" t="str">
        <f>IFERROR(IF(OR(Attendance_Warning[[#This Row],[Sick Leaves]]&gt;3,Attendance_Warning[[#This Row],[Unpaid Leaves]]&gt;3),"Warning","OK"),"Not Found")</f>
        <v>Warning</v>
      </c>
    </row>
    <row r="384" spans="1:4" x14ac:dyDescent="0.35">
      <c r="A384" s="36" t="str">
        <f>_xlfn.TEXTJOIN(" ",TRUE,Employees_Data[[#This Row],[First Name]],Employees_Data[[#This Row],[Last Name]])</f>
        <v>Iad Mahfud</v>
      </c>
      <c r="B384" s="63">
        <v>1</v>
      </c>
      <c r="C384" s="54">
        <v>0</v>
      </c>
      <c r="D384" s="54" t="str">
        <f>IFERROR(IF(OR(Attendance_Warning[[#This Row],[Sick Leaves]]&gt;3,Attendance_Warning[[#This Row],[Unpaid Leaves]]&gt;3),"Warning","OK"),"Not Found")</f>
        <v>OK</v>
      </c>
    </row>
    <row r="385" spans="1:4" x14ac:dyDescent="0.35">
      <c r="A385" s="40" t="str">
        <f>_xlfn.TEXTJOIN(" ",TRUE,Employees_Data[[#This Row],[First Name]],Employees_Data[[#This Row],[Last Name]])</f>
        <v>Sarah Damrani</v>
      </c>
      <c r="B385" s="64">
        <v>4</v>
      </c>
      <c r="C385" s="56">
        <v>6</v>
      </c>
      <c r="D385" s="56" t="str">
        <f>IFERROR(IF(OR(Attendance_Warning[[#This Row],[Sick Leaves]]&gt;3,Attendance_Warning[[#This Row],[Unpaid Leaves]]&gt;3),"Warning","OK"),"Not Found")</f>
        <v>Warning</v>
      </c>
    </row>
    <row r="386" spans="1:4" x14ac:dyDescent="0.35">
      <c r="A386" s="36" t="str">
        <f>_xlfn.TEXTJOIN(" ",TRUE,Employees_Data[[#This Row],[First Name]],Employees_Data[[#This Row],[Last Name]])</f>
        <v>Husam Aldubus</v>
      </c>
      <c r="B386" s="63">
        <v>0</v>
      </c>
      <c r="C386" s="54">
        <v>6</v>
      </c>
      <c r="D386" s="54" t="str">
        <f>IFERROR(IF(OR(Attendance_Warning[[#This Row],[Sick Leaves]]&gt;3,Attendance_Warning[[#This Row],[Unpaid Leaves]]&gt;3),"Warning","OK"),"Not Found")</f>
        <v>Warning</v>
      </c>
    </row>
    <row r="387" spans="1:4" x14ac:dyDescent="0.35">
      <c r="A387" s="40" t="str">
        <f>_xlfn.TEXTJOIN(" ",TRUE,Employees_Data[[#This Row],[First Name]],Employees_Data[[#This Row],[Last Name]])</f>
        <v>Ahmad Zynu</v>
      </c>
      <c r="B387" s="64">
        <v>3</v>
      </c>
      <c r="C387" s="56">
        <v>0</v>
      </c>
      <c r="D387" s="56" t="str">
        <f>IFERROR(IF(OR(Attendance_Warning[[#This Row],[Sick Leaves]]&gt;3,Attendance_Warning[[#This Row],[Unpaid Leaves]]&gt;3),"Warning","OK"),"Not Found")</f>
        <v>OK</v>
      </c>
    </row>
    <row r="388" spans="1:4" x14ac:dyDescent="0.35">
      <c r="A388" s="36" t="str">
        <f>_xlfn.TEXTJOIN(" ",TRUE,Employees_Data[[#This Row],[First Name]],Employees_Data[[#This Row],[Last Name]])</f>
        <v>Lwy Abu</v>
      </c>
      <c r="B388" s="63">
        <v>2</v>
      </c>
      <c r="C388" s="54">
        <v>0</v>
      </c>
      <c r="D388" s="54" t="str">
        <f>IFERROR(IF(OR(Attendance_Warning[[#This Row],[Sick Leaves]]&gt;3,Attendance_Warning[[#This Row],[Unpaid Leaves]]&gt;3),"Warning","OK"),"Not Found")</f>
        <v>OK</v>
      </c>
    </row>
    <row r="389" spans="1:4" x14ac:dyDescent="0.35">
      <c r="A389" s="40" t="str">
        <f>_xlfn.TEXTJOIN(" ",TRUE,Employees_Data[[#This Row],[First Name]],Employees_Data[[#This Row],[Last Name]])</f>
        <v>Tariq Shams</v>
      </c>
      <c r="B389" s="64">
        <v>0</v>
      </c>
      <c r="C389" s="56">
        <v>0</v>
      </c>
      <c r="D389" s="56" t="str">
        <f>IFERROR(IF(OR(Attendance_Warning[[#This Row],[Sick Leaves]]&gt;3,Attendance_Warning[[#This Row],[Unpaid Leaves]]&gt;3),"Warning","OK"),"Not Found")</f>
        <v>OK</v>
      </c>
    </row>
    <row r="390" spans="1:4" x14ac:dyDescent="0.35">
      <c r="A390" s="36" t="str">
        <f>_xlfn.TEXTJOIN(" ",TRUE,Employees_Data[[#This Row],[First Name]],Employees_Data[[#This Row],[Last Name]])</f>
        <v>Muhamad Khalil</v>
      </c>
      <c r="B390" s="63">
        <v>6</v>
      </c>
      <c r="C390" s="54">
        <v>3</v>
      </c>
      <c r="D390" s="54" t="str">
        <f>IFERROR(IF(OR(Attendance_Warning[[#This Row],[Sick Leaves]]&gt;3,Attendance_Warning[[#This Row],[Unpaid Leaves]]&gt;3),"Warning","OK"),"Not Found")</f>
        <v>Warning</v>
      </c>
    </row>
    <row r="391" spans="1:4" x14ac:dyDescent="0.35">
      <c r="A391" s="40" t="str">
        <f>_xlfn.TEXTJOIN(" ",TRUE,Employees_Data[[#This Row],[First Name]],Employees_Data[[#This Row],[Last Name]])</f>
        <v>Amal Alhusayn</v>
      </c>
      <c r="B391" s="64">
        <v>0</v>
      </c>
      <c r="C391" s="56">
        <v>0</v>
      </c>
      <c r="D391" s="56" t="str">
        <f>IFERROR(IF(OR(Attendance_Warning[[#This Row],[Sick Leaves]]&gt;3,Attendance_Warning[[#This Row],[Unpaid Leaves]]&gt;3),"Warning","OK"),"Not Found")</f>
        <v>OK</v>
      </c>
    </row>
    <row r="392" spans="1:4" x14ac:dyDescent="0.35">
      <c r="A392" s="36" t="str">
        <f>_xlfn.TEXTJOIN(" ",TRUE,Employees_Data[[#This Row],[First Name]],Employees_Data[[#This Row],[Last Name]])</f>
        <v>Fadi Shakur</v>
      </c>
      <c r="B392" s="63">
        <v>2</v>
      </c>
      <c r="C392" s="54">
        <v>0</v>
      </c>
      <c r="D392" s="54" t="str">
        <f>IFERROR(IF(OR(Attendance_Warning[[#This Row],[Sick Leaves]]&gt;3,Attendance_Warning[[#This Row],[Unpaid Leaves]]&gt;3),"Warning","OK"),"Not Found")</f>
        <v>OK</v>
      </c>
    </row>
    <row r="393" spans="1:4" x14ac:dyDescent="0.35">
      <c r="A393" s="40" t="str">
        <f>_xlfn.TEXTJOIN(" ",TRUE,Employees_Data[[#This Row],[First Name]],Employees_Data[[#This Row],[Last Name]])</f>
        <v>Abdalhai Sarhan</v>
      </c>
      <c r="B393" s="64">
        <v>4</v>
      </c>
      <c r="C393" s="56">
        <v>0</v>
      </c>
      <c r="D393" s="56" t="str">
        <f>IFERROR(IF(OR(Attendance_Warning[[#This Row],[Sick Leaves]]&gt;3,Attendance_Warning[[#This Row],[Unpaid Leaves]]&gt;3),"Warning","OK"),"Not Found")</f>
        <v>Warning</v>
      </c>
    </row>
    <row r="394" spans="1:4" x14ac:dyDescent="0.35">
      <c r="A394" s="36" t="str">
        <f>_xlfn.TEXTJOIN(" ",TRUE,Employees_Data[[#This Row],[First Name]],Employees_Data[[#This Row],[Last Name]])</f>
        <v>Ahmad Alqadi</v>
      </c>
      <c r="B394" s="63">
        <v>0</v>
      </c>
      <c r="C394" s="54">
        <v>0</v>
      </c>
      <c r="D394" s="54" t="str">
        <f>IFERROR(IF(OR(Attendance_Warning[[#This Row],[Sick Leaves]]&gt;3,Attendance_Warning[[#This Row],[Unpaid Leaves]]&gt;3),"Warning","OK"),"Not Found")</f>
        <v>OK</v>
      </c>
    </row>
    <row r="395" spans="1:4" x14ac:dyDescent="0.35">
      <c r="A395" s="40" t="str">
        <f>_xlfn.TEXTJOIN(" ",TRUE,Employees_Data[[#This Row],[First Name]],Employees_Data[[#This Row],[Last Name]])</f>
        <v>Husam Albush</v>
      </c>
      <c r="B395" s="64">
        <v>0</v>
      </c>
      <c r="C395" s="56">
        <v>0</v>
      </c>
      <c r="D395" s="56" t="str">
        <f>IFERROR(IF(OR(Attendance_Warning[[#This Row],[Sick Leaves]]&gt;3,Attendance_Warning[[#This Row],[Unpaid Leaves]]&gt;3),"Warning","OK"),"Not Found")</f>
        <v>OK</v>
      </c>
    </row>
    <row r="396" spans="1:4" x14ac:dyDescent="0.35">
      <c r="A396" s="36" t="str">
        <f>_xlfn.TEXTJOIN(" ",TRUE,Employees_Data[[#This Row],[First Name]],Employees_Data[[#This Row],[Last Name]])</f>
        <v>Anas Eabidin</v>
      </c>
      <c r="B396" s="63">
        <v>2</v>
      </c>
      <c r="C396" s="54">
        <v>0</v>
      </c>
      <c r="D396" s="54" t="str">
        <f>IFERROR(IF(OR(Attendance_Warning[[#This Row],[Sick Leaves]]&gt;3,Attendance_Warning[[#This Row],[Unpaid Leaves]]&gt;3),"Warning","OK"),"Not Found")</f>
        <v>OK</v>
      </c>
    </row>
    <row r="397" spans="1:4" x14ac:dyDescent="0.35">
      <c r="A397" s="40" t="str">
        <f>_xlfn.TEXTJOIN(" ",TRUE,Employees_Data[[#This Row],[First Name]],Employees_Data[[#This Row],[Last Name]])</f>
        <v>Muhamad Ebdalwahd</v>
      </c>
      <c r="B397" s="64">
        <v>0</v>
      </c>
      <c r="C397" s="56">
        <v>0</v>
      </c>
      <c r="D397" s="56" t="str">
        <f>IFERROR(IF(OR(Attendance_Warning[[#This Row],[Sick Leaves]]&gt;3,Attendance_Warning[[#This Row],[Unpaid Leaves]]&gt;3),"Warning","OK"),"Not Found")</f>
        <v>OK</v>
      </c>
    </row>
    <row r="398" spans="1:4" x14ac:dyDescent="0.35">
      <c r="A398" s="36" t="str">
        <f>_xlfn.TEXTJOIN(" ",TRUE,Employees_Data[[#This Row],[First Name]],Employees_Data[[#This Row],[Last Name]])</f>
        <v>Khalid Iibrahim</v>
      </c>
      <c r="B398" s="63">
        <v>6</v>
      </c>
      <c r="C398" s="54">
        <v>0</v>
      </c>
      <c r="D398" s="54" t="str">
        <f>IFERROR(IF(OR(Attendance_Warning[[#This Row],[Sick Leaves]]&gt;3,Attendance_Warning[[#This Row],[Unpaid Leaves]]&gt;3),"Warning","OK"),"Not Found")</f>
        <v>Warning</v>
      </c>
    </row>
    <row r="399" spans="1:4" x14ac:dyDescent="0.35">
      <c r="A399" s="40" t="str">
        <f>_xlfn.TEXTJOIN(" ",TRUE,Employees_Data[[#This Row],[First Name]],Employees_Data[[#This Row],[Last Name]])</f>
        <v>Muhamad Aleazm</v>
      </c>
      <c r="B399" s="64">
        <v>0</v>
      </c>
      <c r="C399" s="56">
        <v>0</v>
      </c>
      <c r="D399" s="56" t="str">
        <f>IFERROR(IF(OR(Attendance_Warning[[#This Row],[Sick Leaves]]&gt;3,Attendance_Warning[[#This Row],[Unpaid Leaves]]&gt;3),"Warning","OK"),"Not Found")</f>
        <v>OK</v>
      </c>
    </row>
    <row r="400" spans="1:4" x14ac:dyDescent="0.35">
      <c r="A400" s="36" t="str">
        <f>_xlfn.TEXTJOIN(" ",TRUE,Employees_Data[[#This Row],[First Name]],Employees_Data[[#This Row],[Last Name]])</f>
        <v>Maya Alhmwi</v>
      </c>
      <c r="B400" s="63">
        <v>0</v>
      </c>
      <c r="C400" s="54">
        <v>0</v>
      </c>
      <c r="D400" s="54" t="str">
        <f>IFERROR(IF(OR(Attendance_Warning[[#This Row],[Sick Leaves]]&gt;3,Attendance_Warning[[#This Row],[Unpaid Leaves]]&gt;3),"Warning","OK"),"Not Found")</f>
        <v>OK</v>
      </c>
    </row>
    <row r="401" spans="1:4" x14ac:dyDescent="0.35">
      <c r="A401" s="40" t="str">
        <f>_xlfn.TEXTJOIN(" ",TRUE,Employees_Data[[#This Row],[First Name]],Employees_Data[[#This Row],[Last Name]])</f>
        <v>Basil Khiat</v>
      </c>
      <c r="B401" s="64">
        <v>0</v>
      </c>
      <c r="C401" s="56">
        <v>0</v>
      </c>
      <c r="D401" s="56" t="str">
        <f>IFERROR(IF(OR(Attendance_Warning[[#This Row],[Sick Leaves]]&gt;3,Attendance_Warning[[#This Row],[Unpaid Leaves]]&gt;3),"Warning","OK"),"Not Found")</f>
        <v>OK</v>
      </c>
    </row>
    <row r="402" spans="1:4" x14ac:dyDescent="0.35">
      <c r="A402" s="36" t="str">
        <f>_xlfn.TEXTJOIN(" ",TRUE,Employees_Data[[#This Row],[First Name]],Employees_Data[[#This Row],[Last Name]])</f>
        <v>Muhamad Zaydan</v>
      </c>
      <c r="B402" s="63">
        <v>0</v>
      </c>
      <c r="C402" s="54">
        <v>0</v>
      </c>
      <c r="D402" s="54" t="str">
        <f>IFERROR(IF(OR(Attendance_Warning[[#This Row],[Sick Leaves]]&gt;3,Attendance_Warning[[#This Row],[Unpaid Leaves]]&gt;3),"Warning","OK"),"Not Found")</f>
        <v>OK</v>
      </c>
    </row>
    <row r="403" spans="1:4" x14ac:dyDescent="0.35">
      <c r="A403" s="40" t="str">
        <f>_xlfn.TEXTJOIN(" ",TRUE,Employees_Data[[#This Row],[First Name]],Employees_Data[[#This Row],[Last Name]])</f>
        <v>Randa Alajw</v>
      </c>
      <c r="B403" s="64">
        <v>1</v>
      </c>
      <c r="C403" s="56">
        <v>0</v>
      </c>
      <c r="D403" s="56" t="str">
        <f>IFERROR(IF(OR(Attendance_Warning[[#This Row],[Sick Leaves]]&gt;3,Attendance_Warning[[#This Row],[Unpaid Leaves]]&gt;3),"Warning","OK"),"Not Found")</f>
        <v>OK</v>
      </c>
    </row>
    <row r="404" spans="1:4" x14ac:dyDescent="0.35">
      <c r="A404" s="36" t="str">
        <f>_xlfn.TEXTJOIN(" ",TRUE,Employees_Data[[#This Row],[First Name]],Employees_Data[[#This Row],[Last Name]])</f>
        <v>Muhamad Alghazi</v>
      </c>
      <c r="B404" s="63">
        <v>6</v>
      </c>
      <c r="C404" s="54">
        <v>0</v>
      </c>
      <c r="D404" s="54" t="str">
        <f>IFERROR(IF(OR(Attendance_Warning[[#This Row],[Sick Leaves]]&gt;3,Attendance_Warning[[#This Row],[Unpaid Leaves]]&gt;3),"Warning","OK"),"Not Found")</f>
        <v>Warning</v>
      </c>
    </row>
    <row r="405" spans="1:4" x14ac:dyDescent="0.35">
      <c r="A405" s="40" t="str">
        <f>_xlfn.TEXTJOIN(" ",TRUE,Employees_Data[[#This Row],[First Name]],Employees_Data[[#This Row],[Last Name]])</f>
        <v>Rahaf Eijluni</v>
      </c>
      <c r="B405" s="64">
        <v>2</v>
      </c>
      <c r="C405" s="56">
        <v>0</v>
      </c>
      <c r="D405" s="56" t="str">
        <f>IFERROR(IF(OR(Attendance_Warning[[#This Row],[Sick Leaves]]&gt;3,Attendance_Warning[[#This Row],[Unpaid Leaves]]&gt;3),"Warning","OK"),"Not Found")</f>
        <v>OK</v>
      </c>
    </row>
    <row r="406" spans="1:4" x14ac:dyDescent="0.35">
      <c r="A406" s="36" t="str">
        <f>_xlfn.TEXTJOIN(" ",TRUE,Employees_Data[[#This Row],[First Name]],Employees_Data[[#This Row],[Last Name]])</f>
        <v>Sultan Alhijar</v>
      </c>
      <c r="B406" s="63">
        <v>2</v>
      </c>
      <c r="C406" s="54">
        <v>0</v>
      </c>
      <c r="D406" s="54" t="str">
        <f>IFERROR(IF(OR(Attendance_Warning[[#This Row],[Sick Leaves]]&gt;3,Attendance_Warning[[#This Row],[Unpaid Leaves]]&gt;3),"Warning","OK"),"Not Found")</f>
        <v>OK</v>
      </c>
    </row>
    <row r="407" spans="1:4" x14ac:dyDescent="0.35">
      <c r="A407" s="40" t="str">
        <f>_xlfn.TEXTJOIN(" ",TRUE,Employees_Data[[#This Row],[First Name]],Employees_Data[[#This Row],[Last Name]])</f>
        <v>Asma Sadqawi</v>
      </c>
      <c r="B407" s="64">
        <v>5</v>
      </c>
      <c r="C407" s="56">
        <v>0</v>
      </c>
      <c r="D407" s="56" t="str">
        <f>IFERROR(IF(OR(Attendance_Warning[[#This Row],[Sick Leaves]]&gt;3,Attendance_Warning[[#This Row],[Unpaid Leaves]]&gt;3),"Warning","OK"),"Not Found")</f>
        <v>Warning</v>
      </c>
    </row>
    <row r="408" spans="1:4" x14ac:dyDescent="0.35">
      <c r="A408" s="36" t="str">
        <f>_xlfn.TEXTJOIN(" ",TRUE,Employees_Data[[#This Row],[First Name]],Employees_Data[[#This Row],[Last Name]])</f>
        <v>Fulla Alkhalid</v>
      </c>
      <c r="B408" s="63">
        <v>0</v>
      </c>
      <c r="C408" s="54">
        <v>0</v>
      </c>
      <c r="D408" s="54" t="str">
        <f>IFERROR(IF(OR(Attendance_Warning[[#This Row],[Sick Leaves]]&gt;3,Attendance_Warning[[#This Row],[Unpaid Leaves]]&gt;3),"Warning","OK"),"Not Found")</f>
        <v>OK</v>
      </c>
    </row>
    <row r="409" spans="1:4" x14ac:dyDescent="0.35">
      <c r="A409" s="40" t="str">
        <f>_xlfn.TEXTJOIN(" ",TRUE,Employees_Data[[#This Row],[First Name]],Employees_Data[[#This Row],[Last Name]])</f>
        <v>Lujin Alaleppoy</v>
      </c>
      <c r="B409" s="64">
        <v>0</v>
      </c>
      <c r="C409" s="56">
        <v>0</v>
      </c>
      <c r="D409" s="56" t="str">
        <f>IFERROR(IF(OR(Attendance_Warning[[#This Row],[Sick Leaves]]&gt;3,Attendance_Warning[[#This Row],[Unpaid Leaves]]&gt;3),"Warning","OK"),"Not Found")</f>
        <v>OK</v>
      </c>
    </row>
    <row r="410" spans="1:4" x14ac:dyDescent="0.35">
      <c r="A410" s="36" t="str">
        <f>_xlfn.TEXTJOIN(" ",TRUE,Employees_Data[[#This Row],[First Name]],Employees_Data[[#This Row],[Last Name]])</f>
        <v>Jihan Alqudmani</v>
      </c>
      <c r="B410" s="63">
        <v>0</v>
      </c>
      <c r="C410" s="54">
        <v>0</v>
      </c>
      <c r="D410" s="54" t="str">
        <f>IFERROR(IF(OR(Attendance_Warning[[#This Row],[Sick Leaves]]&gt;3,Attendance_Warning[[#This Row],[Unpaid Leaves]]&gt;3),"Warning","OK"),"Not Found")</f>
        <v>OK</v>
      </c>
    </row>
    <row r="411" spans="1:4" x14ac:dyDescent="0.35">
      <c r="A411" s="40" t="str">
        <f>_xlfn.TEXTJOIN(" ",TRUE,Employees_Data[[#This Row],[First Name]],Employees_Data[[#This Row],[Last Name]])</f>
        <v>Anwar Alkhayran</v>
      </c>
      <c r="B411" s="64">
        <v>6</v>
      </c>
      <c r="C411" s="56">
        <v>1</v>
      </c>
      <c r="D411" s="56" t="str">
        <f>IFERROR(IF(OR(Attendance_Warning[[#This Row],[Sick Leaves]]&gt;3,Attendance_Warning[[#This Row],[Unpaid Leaves]]&gt;3),"Warning","OK"),"Not Found")</f>
        <v>Warning</v>
      </c>
    </row>
    <row r="412" spans="1:4" x14ac:dyDescent="0.35">
      <c r="A412" s="36" t="str">
        <f>_xlfn.TEXTJOIN(" ",TRUE,Employees_Data[[#This Row],[First Name]],Employees_Data[[#This Row],[Last Name]])</f>
        <v>Qasim Muhamad</v>
      </c>
      <c r="B412" s="63">
        <v>0</v>
      </c>
      <c r="C412" s="54">
        <v>0</v>
      </c>
      <c r="D412" s="54" t="str">
        <f>IFERROR(IF(OR(Attendance_Warning[[#This Row],[Sick Leaves]]&gt;3,Attendance_Warning[[#This Row],[Unpaid Leaves]]&gt;3),"Warning","OK"),"Not Found")</f>
        <v>OK</v>
      </c>
    </row>
    <row r="413" spans="1:4" x14ac:dyDescent="0.35">
      <c r="A413" s="40" t="str">
        <f>_xlfn.TEXTJOIN(" ",TRUE,Employees_Data[[#This Row],[First Name]],Employees_Data[[#This Row],[Last Name]])</f>
        <v>Samir Altaynawi</v>
      </c>
      <c r="B413" s="64">
        <v>0</v>
      </c>
      <c r="C413" s="56">
        <v>0</v>
      </c>
      <c r="D413" s="56" t="str">
        <f>IFERROR(IF(OR(Attendance_Warning[[#This Row],[Sick Leaves]]&gt;3,Attendance_Warning[[#This Row],[Unpaid Leaves]]&gt;3),"Warning","OK"),"Not Found")</f>
        <v>OK</v>
      </c>
    </row>
    <row r="414" spans="1:4" x14ac:dyDescent="0.35">
      <c r="A414" s="36" t="str">
        <f>_xlfn.TEXTJOIN(" ",TRUE,Employees_Data[[#This Row],[First Name]],Employees_Data[[#This Row],[Last Name]])</f>
        <v>Alaa Hafiz</v>
      </c>
      <c r="B414" s="63">
        <v>5</v>
      </c>
      <c r="C414" s="54">
        <v>4</v>
      </c>
      <c r="D414" s="54" t="str">
        <f>IFERROR(IF(OR(Attendance_Warning[[#This Row],[Sick Leaves]]&gt;3,Attendance_Warning[[#This Row],[Unpaid Leaves]]&gt;3),"Warning","OK"),"Not Found")</f>
        <v>Warning</v>
      </c>
    </row>
    <row r="415" spans="1:4" x14ac:dyDescent="0.35">
      <c r="A415" s="40" t="str">
        <f>_xlfn.TEXTJOIN(" ",TRUE,Employees_Data[[#This Row],[First Name]],Employees_Data[[#This Row],[Last Name]])</f>
        <v>Kamilia Sydu</v>
      </c>
      <c r="B415" s="64">
        <v>1</v>
      </c>
      <c r="C415" s="56">
        <v>0</v>
      </c>
      <c r="D415" s="56" t="str">
        <f>IFERROR(IF(OR(Attendance_Warning[[#This Row],[Sick Leaves]]&gt;3,Attendance_Warning[[#This Row],[Unpaid Leaves]]&gt;3),"Warning","OK"),"Not Found")</f>
        <v>OK</v>
      </c>
    </row>
    <row r="416" spans="1:4" x14ac:dyDescent="0.35">
      <c r="A416" s="36" t="str">
        <f>_xlfn.TEXTJOIN(" ",TRUE,Employees_Data[[#This Row],[First Name]],Employees_Data[[#This Row],[Last Name]])</f>
        <v>Ali Marwan</v>
      </c>
      <c r="B416" s="63">
        <v>1</v>
      </c>
      <c r="C416" s="54">
        <v>0</v>
      </c>
      <c r="D416" s="54" t="str">
        <f>IFERROR(IF(OR(Attendance_Warning[[#This Row],[Sick Leaves]]&gt;3,Attendance_Warning[[#This Row],[Unpaid Leaves]]&gt;3),"Warning","OK"),"Not Found")</f>
        <v>OK</v>
      </c>
    </row>
    <row r="417" spans="1:4" x14ac:dyDescent="0.35">
      <c r="A417" s="40" t="str">
        <f>_xlfn.TEXTJOIN(" ",TRUE,Employees_Data[[#This Row],[First Name]],Employees_Data[[#This Row],[Last Name]])</f>
        <v>Mahir Almarstani</v>
      </c>
      <c r="B417" s="64">
        <v>3</v>
      </c>
      <c r="C417" s="56">
        <v>0</v>
      </c>
      <c r="D417" s="56" t="str">
        <f>IFERROR(IF(OR(Attendance_Warning[[#This Row],[Sick Leaves]]&gt;3,Attendance_Warning[[#This Row],[Unpaid Leaves]]&gt;3),"Warning","OK"),"Not Found")</f>
        <v>OK</v>
      </c>
    </row>
    <row r="418" spans="1:4" x14ac:dyDescent="0.35">
      <c r="A418" s="36" t="str">
        <f>_xlfn.TEXTJOIN(" ",TRUE,Employees_Data[[#This Row],[First Name]],Employees_Data[[#This Row],[Last Name]])</f>
        <v>Rwad Alddahir</v>
      </c>
      <c r="B418" s="63">
        <v>0</v>
      </c>
      <c r="C418" s="54">
        <v>0</v>
      </c>
      <c r="D418" s="54" t="str">
        <f>IFERROR(IF(OR(Attendance_Warning[[#This Row],[Sick Leaves]]&gt;3,Attendance_Warning[[#This Row],[Unpaid Leaves]]&gt;3),"Warning","OK"),"Not Found")</f>
        <v>OK</v>
      </c>
    </row>
    <row r="419" spans="1:4" x14ac:dyDescent="0.35">
      <c r="A419" s="40" t="str">
        <f>_xlfn.TEXTJOIN(" ",TRUE,Employees_Data[[#This Row],[First Name]],Employees_Data[[#This Row],[Last Name]])</f>
        <v>Jury Eabuwd</v>
      </c>
      <c r="B419" s="64">
        <v>5</v>
      </c>
      <c r="C419" s="56">
        <v>0</v>
      </c>
      <c r="D419" s="56" t="str">
        <f>IFERROR(IF(OR(Attendance_Warning[[#This Row],[Sick Leaves]]&gt;3,Attendance_Warning[[#This Row],[Unpaid Leaves]]&gt;3),"Warning","OK"),"Not Found")</f>
        <v>Warning</v>
      </c>
    </row>
    <row r="420" spans="1:4" x14ac:dyDescent="0.35">
      <c r="A420" s="36" t="str">
        <f>_xlfn.TEXTJOIN(" ",TRUE,Employees_Data[[#This Row],[First Name]],Employees_Data[[#This Row],[Last Name]])</f>
        <v>Sayban Musur</v>
      </c>
      <c r="B420" s="63">
        <v>0</v>
      </c>
      <c r="C420" s="54">
        <v>0</v>
      </c>
      <c r="D420" s="54" t="str">
        <f>IFERROR(IF(OR(Attendance_Warning[[#This Row],[Sick Leaves]]&gt;3,Attendance_Warning[[#This Row],[Unpaid Leaves]]&gt;3),"Warning","OK"),"Not Found")</f>
        <v>OK</v>
      </c>
    </row>
    <row r="421" spans="1:4" x14ac:dyDescent="0.35">
      <c r="A421" s="40" t="str">
        <f>_xlfn.TEXTJOIN(" ",TRUE,Employees_Data[[#This Row],[First Name]],Employees_Data[[#This Row],[Last Name]])</f>
        <v>Diana Muayid</v>
      </c>
      <c r="B421" s="64">
        <v>0</v>
      </c>
      <c r="C421" s="56">
        <v>0</v>
      </c>
      <c r="D421" s="56" t="str">
        <f>IFERROR(IF(OR(Attendance_Warning[[#This Row],[Sick Leaves]]&gt;3,Attendance_Warning[[#This Row],[Unpaid Leaves]]&gt;3),"Warning","OK"),"Not Found")</f>
        <v>OK</v>
      </c>
    </row>
    <row r="422" spans="1:4" x14ac:dyDescent="0.35">
      <c r="A422" s="36" t="str">
        <f>_xlfn.TEXTJOIN(" ",TRUE,Employees_Data[[#This Row],[First Name]],Employees_Data[[#This Row],[Last Name]])</f>
        <v>Lbyb Fahd</v>
      </c>
      <c r="B422" s="63">
        <v>0</v>
      </c>
      <c r="C422" s="54">
        <v>0</v>
      </c>
      <c r="D422" s="54" t="str">
        <f>IFERROR(IF(OR(Attendance_Warning[[#This Row],[Sick Leaves]]&gt;3,Attendance_Warning[[#This Row],[Unpaid Leaves]]&gt;3),"Warning","OK"),"Not Found")</f>
        <v>OK</v>
      </c>
    </row>
    <row r="423" spans="1:4" x14ac:dyDescent="0.35">
      <c r="A423" s="40" t="str">
        <f>_xlfn.TEXTJOIN(" ",TRUE,Employees_Data[[#This Row],[First Name]],Employees_Data[[#This Row],[Last Name]])</f>
        <v>Bashshar Bilul</v>
      </c>
      <c r="B423" s="64">
        <v>1</v>
      </c>
      <c r="C423" s="56">
        <v>0</v>
      </c>
      <c r="D423" s="56" t="str">
        <f>IFERROR(IF(OR(Attendance_Warning[[#This Row],[Sick Leaves]]&gt;3,Attendance_Warning[[#This Row],[Unpaid Leaves]]&gt;3),"Warning","OK"),"Not Found")</f>
        <v>OK</v>
      </c>
    </row>
    <row r="424" spans="1:4" x14ac:dyDescent="0.35">
      <c r="A424" s="36" t="str">
        <f>_xlfn.TEXTJOIN(" ",TRUE,Employees_Data[[#This Row],[First Name]],Employees_Data[[#This Row],[Last Name]])</f>
        <v>Ali Alnuwri</v>
      </c>
      <c r="B424" s="63">
        <v>1</v>
      </c>
      <c r="C424" s="54">
        <v>0</v>
      </c>
      <c r="D424" s="54" t="str">
        <f>IFERROR(IF(OR(Attendance_Warning[[#This Row],[Sick Leaves]]&gt;3,Attendance_Warning[[#This Row],[Unpaid Leaves]]&gt;3),"Warning","OK"),"Not Found")</f>
        <v>OK</v>
      </c>
    </row>
    <row r="425" spans="1:4" x14ac:dyDescent="0.35">
      <c r="A425" s="40" t="str">
        <f>_xlfn.TEXTJOIN(" ",TRUE,Employees_Data[[#This Row],[First Name]],Employees_Data[[#This Row],[Last Name]])</f>
        <v>Salim Aleabd</v>
      </c>
      <c r="B425" s="64">
        <v>0</v>
      </c>
      <c r="C425" s="56">
        <v>0</v>
      </c>
      <c r="D425" s="56" t="str">
        <f>IFERROR(IF(OR(Attendance_Warning[[#This Row],[Sick Leaves]]&gt;3,Attendance_Warning[[#This Row],[Unpaid Leaves]]&gt;3),"Warning","OK"),"Not Found")</f>
        <v>OK</v>
      </c>
    </row>
    <row r="426" spans="1:4" x14ac:dyDescent="0.35">
      <c r="A426" s="36" t="str">
        <f>_xlfn.TEXTJOIN(" ",TRUE,Employees_Data[[#This Row],[First Name]],Employees_Data[[#This Row],[Last Name]])</f>
        <v>Abd Alruhmin Allaham</v>
      </c>
      <c r="B426" s="63">
        <v>0</v>
      </c>
      <c r="C426" s="54">
        <v>0</v>
      </c>
      <c r="D426" s="54" t="str">
        <f>IFERROR(IF(OR(Attendance_Warning[[#This Row],[Sick Leaves]]&gt;3,Attendance_Warning[[#This Row],[Unpaid Leaves]]&gt;3),"Warning","OK"),"Not Found")</f>
        <v>OK</v>
      </c>
    </row>
    <row r="427" spans="1:4" x14ac:dyDescent="0.35">
      <c r="A427" s="40" t="str">
        <f>_xlfn.TEXTJOIN(" ",TRUE,Employees_Data[[#This Row],[First Name]],Employees_Data[[#This Row],[Last Name]])</f>
        <v>Muhamad Raft</v>
      </c>
      <c r="B427" s="64">
        <v>0</v>
      </c>
      <c r="C427" s="56">
        <v>0</v>
      </c>
      <c r="D427" s="56" t="str">
        <f>IFERROR(IF(OR(Attendance_Warning[[#This Row],[Sick Leaves]]&gt;3,Attendance_Warning[[#This Row],[Unpaid Leaves]]&gt;3),"Warning","OK"),"Not Found")</f>
        <v>OK</v>
      </c>
    </row>
    <row r="428" spans="1:4" x14ac:dyDescent="0.35">
      <c r="A428" s="36" t="str">
        <f>_xlfn.TEXTJOIN(" ",TRUE,Employees_Data[[#This Row],[First Name]],Employees_Data[[#This Row],[Last Name]])</f>
        <v>Ahmad Shakir</v>
      </c>
      <c r="B428" s="63">
        <v>2</v>
      </c>
      <c r="C428" s="54">
        <v>5</v>
      </c>
      <c r="D428" s="54" t="str">
        <f>IFERROR(IF(OR(Attendance_Warning[[#This Row],[Sick Leaves]]&gt;3,Attendance_Warning[[#This Row],[Unpaid Leaves]]&gt;3),"Warning","OK"),"Not Found")</f>
        <v>Warning</v>
      </c>
    </row>
    <row r="429" spans="1:4" x14ac:dyDescent="0.35">
      <c r="A429" s="40" t="str">
        <f>_xlfn.TEXTJOIN(" ",TRUE,Employees_Data[[#This Row],[First Name]],Employees_Data[[#This Row],[Last Name]])</f>
        <v>Rasha Asead</v>
      </c>
      <c r="B429" s="64">
        <v>0</v>
      </c>
      <c r="C429" s="56">
        <v>0</v>
      </c>
      <c r="D429" s="56" t="str">
        <f>IFERROR(IF(OR(Attendance_Warning[[#This Row],[Sick Leaves]]&gt;3,Attendance_Warning[[#This Row],[Unpaid Leaves]]&gt;3),"Warning","OK"),"Not Found")</f>
        <v>OK</v>
      </c>
    </row>
    <row r="430" spans="1:4" x14ac:dyDescent="0.35">
      <c r="A430" s="36" t="str">
        <f>_xlfn.TEXTJOIN(" ",TRUE,Employees_Data[[#This Row],[First Name]],Employees_Data[[#This Row],[Last Name]])</f>
        <v>Omar Alwurhani</v>
      </c>
      <c r="B430" s="63">
        <v>0</v>
      </c>
      <c r="C430" s="54">
        <v>0</v>
      </c>
      <c r="D430" s="54" t="str">
        <f>IFERROR(IF(OR(Attendance_Warning[[#This Row],[Sick Leaves]]&gt;3,Attendance_Warning[[#This Row],[Unpaid Leaves]]&gt;3),"Warning","OK"),"Not Found")</f>
        <v>OK</v>
      </c>
    </row>
    <row r="431" spans="1:4" x14ac:dyDescent="0.35">
      <c r="A431" s="40" t="str">
        <f>_xlfn.TEXTJOIN(" ",TRUE,Employees_Data[[#This Row],[First Name]],Employees_Data[[#This Row],[Last Name]])</f>
        <v>Ayham Kharbutli</v>
      </c>
      <c r="B431" s="64">
        <v>1</v>
      </c>
      <c r="C431" s="56">
        <v>0</v>
      </c>
      <c r="D431" s="56" t="str">
        <f>IFERROR(IF(OR(Attendance_Warning[[#This Row],[Sick Leaves]]&gt;3,Attendance_Warning[[#This Row],[Unpaid Leaves]]&gt;3),"Warning","OK"),"Not Found")</f>
        <v>OK</v>
      </c>
    </row>
    <row r="432" spans="1:4" x14ac:dyDescent="0.35">
      <c r="A432" s="36" t="str">
        <f>_xlfn.TEXTJOIN(" ",TRUE,Employees_Data[[#This Row],[First Name]],Employees_Data[[#This Row],[Last Name]])</f>
        <v>Sahar Jaridiun</v>
      </c>
      <c r="B432" s="63">
        <v>0</v>
      </c>
      <c r="C432" s="54">
        <v>0</v>
      </c>
      <c r="D432" s="54" t="str">
        <f>IFERROR(IF(OR(Attendance_Warning[[#This Row],[Sick Leaves]]&gt;3,Attendance_Warning[[#This Row],[Unpaid Leaves]]&gt;3),"Warning","OK"),"Not Found")</f>
        <v>OK</v>
      </c>
    </row>
    <row r="433" spans="1:4" x14ac:dyDescent="0.35">
      <c r="A433" s="40" t="str">
        <f>_xlfn.TEXTJOIN(" ",TRUE,Employees_Data[[#This Row],[First Name]],Employees_Data[[#This Row],[Last Name]])</f>
        <v>Muhamad Tamur</v>
      </c>
      <c r="B433" s="64">
        <v>0</v>
      </c>
      <c r="C433" s="56">
        <v>0</v>
      </c>
      <c r="D433" s="56" t="str">
        <f>IFERROR(IF(OR(Attendance_Warning[[#This Row],[Sick Leaves]]&gt;3,Attendance_Warning[[#This Row],[Unpaid Leaves]]&gt;3),"Warning","OK"),"Not Found")</f>
        <v>OK</v>
      </c>
    </row>
    <row r="434" spans="1:4" x14ac:dyDescent="0.35">
      <c r="A434" s="36" t="str">
        <f>_xlfn.TEXTJOIN(" ",TRUE,Employees_Data[[#This Row],[First Name]],Employees_Data[[#This Row],[Last Name]])</f>
        <v>Ayham Alkhlf</v>
      </c>
      <c r="B434" s="63">
        <v>5</v>
      </c>
      <c r="C434" s="54">
        <v>0</v>
      </c>
      <c r="D434" s="54" t="str">
        <f>IFERROR(IF(OR(Attendance_Warning[[#This Row],[Sick Leaves]]&gt;3,Attendance_Warning[[#This Row],[Unpaid Leaves]]&gt;3),"Warning","OK"),"Not Found")</f>
        <v>Warning</v>
      </c>
    </row>
    <row r="435" spans="1:4" x14ac:dyDescent="0.35">
      <c r="A435" s="40" t="str">
        <f>_xlfn.TEXTJOIN(" ",TRUE,Employees_Data[[#This Row],[First Name]],Employees_Data[[#This Row],[Last Name]])</f>
        <v>Emar Eisaf</v>
      </c>
      <c r="B435" s="64">
        <v>0</v>
      </c>
      <c r="C435" s="56">
        <v>0</v>
      </c>
      <c r="D435" s="56" t="str">
        <f>IFERROR(IF(OR(Attendance_Warning[[#This Row],[Sick Leaves]]&gt;3,Attendance_Warning[[#This Row],[Unpaid Leaves]]&gt;3),"Warning","OK"),"Not Found")</f>
        <v>OK</v>
      </c>
    </row>
    <row r="436" spans="1:4" x14ac:dyDescent="0.35">
      <c r="A436" s="36" t="str">
        <f>_xlfn.TEXTJOIN(" ",TRUE,Employees_Data[[#This Row],[First Name]],Employees_Data[[#This Row],[Last Name]])</f>
        <v>Iin Bitahish</v>
      </c>
      <c r="B436" s="63">
        <v>2</v>
      </c>
      <c r="C436" s="54">
        <v>5</v>
      </c>
      <c r="D436" s="54" t="str">
        <f>IFERROR(IF(OR(Attendance_Warning[[#This Row],[Sick Leaves]]&gt;3,Attendance_Warning[[#This Row],[Unpaid Leaves]]&gt;3),"Warning","OK"),"Not Found")</f>
        <v>Warning</v>
      </c>
    </row>
    <row r="437" spans="1:4" x14ac:dyDescent="0.35">
      <c r="A437" s="40" t="str">
        <f>_xlfn.TEXTJOIN(" ",TRUE,Employees_Data[[#This Row],[First Name]],Employees_Data[[#This Row],[Last Name]])</f>
        <v>Abdalrhim Eimaruh</v>
      </c>
      <c r="B437" s="64">
        <v>0</v>
      </c>
      <c r="C437" s="56">
        <v>0</v>
      </c>
      <c r="D437" s="56" t="str">
        <f>IFERROR(IF(OR(Attendance_Warning[[#This Row],[Sick Leaves]]&gt;3,Attendance_Warning[[#This Row],[Unpaid Leaves]]&gt;3),"Warning","OK"),"Not Found")</f>
        <v>OK</v>
      </c>
    </row>
    <row r="438" spans="1:4" x14ac:dyDescent="0.35">
      <c r="A438" s="36" t="str">
        <f>_xlfn.TEXTJOIN(" ",TRUE,Employees_Data[[#This Row],[First Name]],Employees_Data[[#This Row],[Last Name]])</f>
        <v>Bashaer Hadalah</v>
      </c>
      <c r="B438" s="63">
        <v>1</v>
      </c>
      <c r="C438" s="54">
        <v>0</v>
      </c>
      <c r="D438" s="54" t="str">
        <f>IFERROR(IF(OR(Attendance_Warning[[#This Row],[Sick Leaves]]&gt;3,Attendance_Warning[[#This Row],[Unpaid Leaves]]&gt;3),"Warning","OK"),"Not Found")</f>
        <v>OK</v>
      </c>
    </row>
    <row r="439" spans="1:4" x14ac:dyDescent="0.35">
      <c r="A439" s="40" t="str">
        <f>_xlfn.TEXTJOIN(" ",TRUE,Employees_Data[[#This Row],[First Name]],Employees_Data[[#This Row],[Last Name]])</f>
        <v>Sana Maeruf</v>
      </c>
      <c r="B439" s="64">
        <v>5</v>
      </c>
      <c r="C439" s="56">
        <v>0</v>
      </c>
      <c r="D439" s="56" t="str">
        <f>IFERROR(IF(OR(Attendance_Warning[[#This Row],[Sick Leaves]]&gt;3,Attendance_Warning[[#This Row],[Unpaid Leaves]]&gt;3),"Warning","OK"),"Not Found")</f>
        <v>Warning</v>
      </c>
    </row>
    <row r="440" spans="1:4" x14ac:dyDescent="0.35">
      <c r="A440" s="36" t="str">
        <f>_xlfn.TEXTJOIN(" ",TRUE,Employees_Data[[#This Row],[First Name]],Employees_Data[[#This Row],[Last Name]])</f>
        <v>Amir Alnuwnu</v>
      </c>
      <c r="B440" s="63">
        <v>0</v>
      </c>
      <c r="C440" s="54">
        <v>0</v>
      </c>
      <c r="D440" s="54" t="str">
        <f>IFERROR(IF(OR(Attendance_Warning[[#This Row],[Sick Leaves]]&gt;3,Attendance_Warning[[#This Row],[Unpaid Leaves]]&gt;3),"Warning","OK"),"Not Found")</f>
        <v>OK</v>
      </c>
    </row>
    <row r="441" spans="1:4" x14ac:dyDescent="0.35">
      <c r="A441" s="40" t="str">
        <f>_xlfn.TEXTJOIN(" ",TRUE,Employees_Data[[#This Row],[First Name]],Employees_Data[[#This Row],[Last Name]])</f>
        <v>Salim Albarghali</v>
      </c>
      <c r="B441" s="64">
        <v>3</v>
      </c>
      <c r="C441" s="56">
        <v>0</v>
      </c>
      <c r="D441" s="56" t="str">
        <f>IFERROR(IF(OR(Attendance_Warning[[#This Row],[Sick Leaves]]&gt;3,Attendance_Warning[[#This Row],[Unpaid Leaves]]&gt;3),"Warning","OK"),"Not Found")</f>
        <v>OK</v>
      </c>
    </row>
    <row r="442" spans="1:4" x14ac:dyDescent="0.35">
      <c r="A442" s="36" t="str">
        <f>_xlfn.TEXTJOIN(" ",TRUE,Employees_Data[[#This Row],[First Name]],Employees_Data[[#This Row],[Last Name]])</f>
        <v>Iin Murad</v>
      </c>
      <c r="B442" s="63">
        <v>0</v>
      </c>
      <c r="C442" s="54">
        <v>0</v>
      </c>
      <c r="D442" s="54" t="str">
        <f>IFERROR(IF(OR(Attendance_Warning[[#This Row],[Sick Leaves]]&gt;3,Attendance_Warning[[#This Row],[Unpaid Leaves]]&gt;3),"Warning","OK"),"Not Found")</f>
        <v>OK</v>
      </c>
    </row>
    <row r="443" spans="1:4" x14ac:dyDescent="0.35">
      <c r="A443" s="40" t="str">
        <f>_xlfn.TEXTJOIN(" ",TRUE,Employees_Data[[#This Row],[First Name]],Employees_Data[[#This Row],[Last Name]])</f>
        <v>Baha Aldiyn Marzuq</v>
      </c>
      <c r="B443" s="64">
        <v>6</v>
      </c>
      <c r="C443" s="56">
        <v>0</v>
      </c>
      <c r="D443" s="56" t="str">
        <f>IFERROR(IF(OR(Attendance_Warning[[#This Row],[Sick Leaves]]&gt;3,Attendance_Warning[[#This Row],[Unpaid Leaves]]&gt;3),"Warning","OK"),"Not Found")</f>
        <v>Warning</v>
      </c>
    </row>
    <row r="444" spans="1:4" x14ac:dyDescent="0.35">
      <c r="A444" s="36" t="str">
        <f>_xlfn.TEXTJOIN(" ",TRUE,Employees_Data[[#This Row],[First Name]],Employees_Data[[#This Row],[Last Name]])</f>
        <v>Abd Alruhmin Hamj</v>
      </c>
      <c r="B444" s="63">
        <v>1</v>
      </c>
      <c r="C444" s="54">
        <v>0</v>
      </c>
      <c r="D444" s="54" t="str">
        <f>IFERROR(IF(OR(Attendance_Warning[[#This Row],[Sick Leaves]]&gt;3,Attendance_Warning[[#This Row],[Unpaid Leaves]]&gt;3),"Warning","OK"),"Not Found")</f>
        <v>OK</v>
      </c>
    </row>
    <row r="445" spans="1:4" x14ac:dyDescent="0.35">
      <c r="A445" s="40" t="str">
        <f>_xlfn.TEXTJOIN(" ",TRUE,Employees_Data[[#This Row],[First Name]],Employees_Data[[#This Row],[Last Name]])</f>
        <v>Ahmad Bradey</v>
      </c>
      <c r="B445" s="64">
        <v>0</v>
      </c>
      <c r="C445" s="56">
        <v>4</v>
      </c>
      <c r="D445" s="56" t="str">
        <f>IFERROR(IF(OR(Attendance_Warning[[#This Row],[Sick Leaves]]&gt;3,Attendance_Warning[[#This Row],[Unpaid Leaves]]&gt;3),"Warning","OK"),"Not Found")</f>
        <v>Warning</v>
      </c>
    </row>
    <row r="446" spans="1:4" x14ac:dyDescent="0.35">
      <c r="A446" s="36" t="str">
        <f>_xlfn.TEXTJOIN(" ",TRUE,Employees_Data[[#This Row],[First Name]],Employees_Data[[#This Row],[Last Name]])</f>
        <v>Sabah Qadish</v>
      </c>
      <c r="B446" s="63">
        <v>1</v>
      </c>
      <c r="C446" s="54">
        <v>0</v>
      </c>
      <c r="D446" s="54" t="str">
        <f>IFERROR(IF(OR(Attendance_Warning[[#This Row],[Sick Leaves]]&gt;3,Attendance_Warning[[#This Row],[Unpaid Leaves]]&gt;3),"Warning","OK"),"Not Found")</f>
        <v>OK</v>
      </c>
    </row>
    <row r="447" spans="1:4" x14ac:dyDescent="0.35">
      <c r="A447" s="40" t="str">
        <f>_xlfn.TEXTJOIN(" ",TRUE,Employees_Data[[#This Row],[First Name]],Employees_Data[[#This Row],[Last Name]])</f>
        <v>Asra Almisri</v>
      </c>
      <c r="B447" s="64">
        <v>1</v>
      </c>
      <c r="C447" s="56">
        <v>0</v>
      </c>
      <c r="D447" s="56" t="str">
        <f>IFERROR(IF(OR(Attendance_Warning[[#This Row],[Sick Leaves]]&gt;3,Attendance_Warning[[#This Row],[Unpaid Leaves]]&gt;3),"Warning","OK"),"Not Found")</f>
        <v>OK</v>
      </c>
    </row>
    <row r="448" spans="1:4" x14ac:dyDescent="0.35">
      <c r="A448" s="36" t="str">
        <f>_xlfn.TEXTJOIN(" ",TRUE,Employees_Data[[#This Row],[First Name]],Employees_Data[[#This Row],[Last Name]])</f>
        <v>Faras Kawaara</v>
      </c>
      <c r="B448" s="63">
        <v>6</v>
      </c>
      <c r="C448" s="54">
        <v>0</v>
      </c>
      <c r="D448" s="54" t="str">
        <f>IFERROR(IF(OR(Attendance_Warning[[#This Row],[Sick Leaves]]&gt;3,Attendance_Warning[[#This Row],[Unpaid Leaves]]&gt;3),"Warning","OK"),"Not Found")</f>
        <v>Warning</v>
      </c>
    </row>
    <row r="449" spans="1:4" x14ac:dyDescent="0.35">
      <c r="A449" s="40" t="str">
        <f>_xlfn.TEXTJOIN(" ",TRUE,Employees_Data[[#This Row],[First Name]],Employees_Data[[#This Row],[Last Name]])</f>
        <v>Muhamad Abunfis</v>
      </c>
      <c r="B449" s="64">
        <v>0</v>
      </c>
      <c r="C449" s="56">
        <v>0</v>
      </c>
      <c r="D449" s="56" t="str">
        <f>IFERROR(IF(OR(Attendance_Warning[[#This Row],[Sick Leaves]]&gt;3,Attendance_Warning[[#This Row],[Unpaid Leaves]]&gt;3),"Warning","OK"),"Not Found")</f>
        <v>OK</v>
      </c>
    </row>
    <row r="450" spans="1:4" x14ac:dyDescent="0.35">
      <c r="A450" s="36" t="str">
        <f>_xlfn.TEXTJOIN(" ",TRUE,Employees_Data[[#This Row],[First Name]],Employees_Data[[#This Row],[Last Name]])</f>
        <v>Lawiy Shiah</v>
      </c>
      <c r="B450" s="63">
        <v>6</v>
      </c>
      <c r="C450" s="54">
        <v>1</v>
      </c>
      <c r="D450" s="54" t="str">
        <f>IFERROR(IF(OR(Attendance_Warning[[#This Row],[Sick Leaves]]&gt;3,Attendance_Warning[[#This Row],[Unpaid Leaves]]&gt;3),"Warning","OK"),"Not Found")</f>
        <v>Warning</v>
      </c>
    </row>
    <row r="451" spans="1:4" x14ac:dyDescent="0.35">
      <c r="A451" s="40" t="str">
        <f>_xlfn.TEXTJOIN(" ",TRUE,Employees_Data[[#This Row],[First Name]],Employees_Data[[#This Row],[Last Name]])</f>
        <v>Rama Alsaghir</v>
      </c>
      <c r="B451" s="64">
        <v>2</v>
      </c>
      <c r="C451" s="56">
        <v>0</v>
      </c>
      <c r="D451" s="56" t="str">
        <f>IFERROR(IF(OR(Attendance_Warning[[#This Row],[Sick Leaves]]&gt;3,Attendance_Warning[[#This Row],[Unpaid Leaves]]&gt;3),"Warning","OK"),"Not Found")</f>
        <v>OK</v>
      </c>
    </row>
    <row r="452" spans="1:4" x14ac:dyDescent="0.35">
      <c r="A452" s="36" t="str">
        <f>_xlfn.TEXTJOIN(" ",TRUE,Employees_Data[[#This Row],[First Name]],Employees_Data[[#This Row],[Last Name]])</f>
        <v>Ahmad Qadimati</v>
      </c>
      <c r="B452" s="63">
        <v>0</v>
      </c>
      <c r="C452" s="54">
        <v>0</v>
      </c>
      <c r="D452" s="54" t="str">
        <f>IFERROR(IF(OR(Attendance_Warning[[#This Row],[Sick Leaves]]&gt;3,Attendance_Warning[[#This Row],[Unpaid Leaves]]&gt;3),"Warning","OK"),"Not Found")</f>
        <v>OK</v>
      </c>
    </row>
    <row r="453" spans="1:4" x14ac:dyDescent="0.35">
      <c r="A453" s="40" t="str">
        <f>_xlfn.TEXTJOIN(" ",TRUE,Employees_Data[[#This Row],[First Name]],Employees_Data[[#This Row],[Last Name]])</f>
        <v>Qays Dahna</v>
      </c>
      <c r="B453" s="64">
        <v>0</v>
      </c>
      <c r="C453" s="56">
        <v>0</v>
      </c>
      <c r="D453" s="56" t="str">
        <f>IFERROR(IF(OR(Attendance_Warning[[#This Row],[Sick Leaves]]&gt;3,Attendance_Warning[[#This Row],[Unpaid Leaves]]&gt;3),"Warning","OK"),"Not Found")</f>
        <v>OK</v>
      </c>
    </row>
    <row r="454" spans="1:4" x14ac:dyDescent="0.35">
      <c r="A454" s="36" t="str">
        <f>_xlfn.TEXTJOIN(" ",TRUE,Employees_Data[[#This Row],[First Name]],Employees_Data[[#This Row],[Last Name]])</f>
        <v>Raja Eaziza</v>
      </c>
      <c r="B454" s="63">
        <v>6</v>
      </c>
      <c r="C454" s="54">
        <v>0</v>
      </c>
      <c r="D454" s="54" t="str">
        <f>IFERROR(IF(OR(Attendance_Warning[[#This Row],[Sick Leaves]]&gt;3,Attendance_Warning[[#This Row],[Unpaid Leaves]]&gt;3),"Warning","OK"),"Not Found")</f>
        <v>Warning</v>
      </c>
    </row>
    <row r="455" spans="1:4" x14ac:dyDescent="0.35">
      <c r="A455" s="40" t="str">
        <f>_xlfn.TEXTJOIN(" ",TRUE,Employees_Data[[#This Row],[First Name]],Employees_Data[[#This Row],[Last Name]])</f>
        <v>Emar Nakaash</v>
      </c>
      <c r="B455" s="64">
        <v>1</v>
      </c>
      <c r="C455" s="56">
        <v>5</v>
      </c>
      <c r="D455" s="56" t="str">
        <f>IFERROR(IF(OR(Attendance_Warning[[#This Row],[Sick Leaves]]&gt;3,Attendance_Warning[[#This Row],[Unpaid Leaves]]&gt;3),"Warning","OK"),"Not Found")</f>
        <v>Warning</v>
      </c>
    </row>
    <row r="456" spans="1:4" x14ac:dyDescent="0.35">
      <c r="A456" s="36" t="str">
        <f>_xlfn.TEXTJOIN(" ",TRUE,Employees_Data[[#This Row],[First Name]],Employees_Data[[#This Row],[Last Name]])</f>
        <v>Ranya Khuluf</v>
      </c>
      <c r="B456" s="63">
        <v>0</v>
      </c>
      <c r="C456" s="54">
        <v>0</v>
      </c>
      <c r="D456" s="54" t="str">
        <f>IFERROR(IF(OR(Attendance_Warning[[#This Row],[Sick Leaves]]&gt;3,Attendance_Warning[[#This Row],[Unpaid Leaves]]&gt;3),"Warning","OK"),"Not Found")</f>
        <v>OK</v>
      </c>
    </row>
    <row r="457" spans="1:4" x14ac:dyDescent="0.35">
      <c r="A457" s="40" t="str">
        <f>_xlfn.TEXTJOIN(" ",TRUE,Employees_Data[[#This Row],[First Name]],Employees_Data[[#This Row],[Last Name]])</f>
        <v>Kinda Zaki</v>
      </c>
      <c r="B457" s="64">
        <v>0</v>
      </c>
      <c r="C457" s="56">
        <v>2</v>
      </c>
      <c r="D457" s="56" t="str">
        <f>IFERROR(IF(OR(Attendance_Warning[[#This Row],[Sick Leaves]]&gt;3,Attendance_Warning[[#This Row],[Unpaid Leaves]]&gt;3),"Warning","OK"),"Not Found")</f>
        <v>OK</v>
      </c>
    </row>
    <row r="458" spans="1:4" x14ac:dyDescent="0.35">
      <c r="A458" s="36" t="str">
        <f>_xlfn.TEXTJOIN(" ",TRUE,Employees_Data[[#This Row],[First Name]],Employees_Data[[#This Row],[Last Name]])</f>
        <v>Muhamad Asamh Tubae</v>
      </c>
      <c r="B458" s="63">
        <v>0</v>
      </c>
      <c r="C458" s="54">
        <v>0</v>
      </c>
      <c r="D458" s="54" t="str">
        <f>IFERROR(IF(OR(Attendance_Warning[[#This Row],[Sick Leaves]]&gt;3,Attendance_Warning[[#This Row],[Unpaid Leaves]]&gt;3),"Warning","OK"),"Not Found")</f>
        <v>OK</v>
      </c>
    </row>
    <row r="459" spans="1:4" x14ac:dyDescent="0.35">
      <c r="A459" s="40" t="str">
        <f>_xlfn.TEXTJOIN(" ",TRUE,Employees_Data[[#This Row],[First Name]],Employees_Data[[#This Row],[Last Name]])</f>
        <v>Ahmad Daeas</v>
      </c>
      <c r="B459" s="64">
        <v>1</v>
      </c>
      <c r="C459" s="56">
        <v>0</v>
      </c>
      <c r="D459" s="56" t="str">
        <f>IFERROR(IF(OR(Attendance_Warning[[#This Row],[Sick Leaves]]&gt;3,Attendance_Warning[[#This Row],[Unpaid Leaves]]&gt;3),"Warning","OK"),"Not Found")</f>
        <v>OK</v>
      </c>
    </row>
    <row r="460" spans="1:4" x14ac:dyDescent="0.35">
      <c r="A460" s="36" t="str">
        <f>_xlfn.TEXTJOIN(" ",TRUE,Employees_Data[[#This Row],[First Name]],Employees_Data[[#This Row],[Last Name]])</f>
        <v>Muhamad Shadi Alkhiat</v>
      </c>
      <c r="B460" s="63">
        <v>0</v>
      </c>
      <c r="C460" s="54">
        <v>6</v>
      </c>
      <c r="D460" s="54" t="str">
        <f>IFERROR(IF(OR(Attendance_Warning[[#This Row],[Sick Leaves]]&gt;3,Attendance_Warning[[#This Row],[Unpaid Leaves]]&gt;3),"Warning","OK"),"Not Found")</f>
        <v>Warning</v>
      </c>
    </row>
    <row r="461" spans="1:4" x14ac:dyDescent="0.35">
      <c r="A461" s="40" t="str">
        <f>_xlfn.TEXTJOIN(" ",TRUE,Employees_Data[[#This Row],[First Name]],Employees_Data[[#This Row],[Last Name]])</f>
        <v>Omaimah Tqi Aldiyn</v>
      </c>
      <c r="B461" s="64">
        <v>6</v>
      </c>
      <c r="C461" s="56">
        <v>5</v>
      </c>
      <c r="D461" s="56" t="str">
        <f>IFERROR(IF(OR(Attendance_Warning[[#This Row],[Sick Leaves]]&gt;3,Attendance_Warning[[#This Row],[Unpaid Leaves]]&gt;3),"Warning","OK"),"Not Found")</f>
        <v>Warning</v>
      </c>
    </row>
    <row r="462" spans="1:4" x14ac:dyDescent="0.35">
      <c r="A462" s="36" t="str">
        <f>_xlfn.TEXTJOIN(" ",TRUE,Employees_Data[[#This Row],[First Name]],Employees_Data[[#This Row],[Last Name]])</f>
        <v>Tahani Yasir</v>
      </c>
      <c r="B462" s="63">
        <v>3</v>
      </c>
      <c r="C462" s="54">
        <v>0</v>
      </c>
      <c r="D462" s="54" t="str">
        <f>IFERROR(IF(OR(Attendance_Warning[[#This Row],[Sick Leaves]]&gt;3,Attendance_Warning[[#This Row],[Unpaid Leaves]]&gt;3),"Warning","OK"),"Not Found")</f>
        <v>OK</v>
      </c>
    </row>
    <row r="463" spans="1:4" x14ac:dyDescent="0.35">
      <c r="A463" s="40" t="str">
        <f>_xlfn.TEXTJOIN(" ",TRUE,Employees_Data[[#This Row],[First Name]],Employees_Data[[#This Row],[Last Name]])</f>
        <v>Hasan Alfywmi</v>
      </c>
      <c r="B463" s="64">
        <v>2</v>
      </c>
      <c r="C463" s="56">
        <v>0</v>
      </c>
      <c r="D463" s="56" t="str">
        <f>IFERROR(IF(OR(Attendance_Warning[[#This Row],[Sick Leaves]]&gt;3,Attendance_Warning[[#This Row],[Unpaid Leaves]]&gt;3),"Warning","OK"),"Not Found")</f>
        <v>OK</v>
      </c>
    </row>
    <row r="464" spans="1:4" x14ac:dyDescent="0.35">
      <c r="A464" s="36" t="str">
        <f>_xlfn.TEXTJOIN(" ",TRUE,Employees_Data[[#This Row],[First Name]],Employees_Data[[#This Row],[Last Name]])</f>
        <v>Zahir Zarie</v>
      </c>
      <c r="B464" s="63">
        <v>4</v>
      </c>
      <c r="C464" s="54">
        <v>4</v>
      </c>
      <c r="D464" s="54" t="str">
        <f>IFERROR(IF(OR(Attendance_Warning[[#This Row],[Sick Leaves]]&gt;3,Attendance_Warning[[#This Row],[Unpaid Leaves]]&gt;3),"Warning","OK"),"Not Found")</f>
        <v>Warning</v>
      </c>
    </row>
    <row r="465" spans="1:4" x14ac:dyDescent="0.35">
      <c r="A465" s="40" t="str">
        <f>_xlfn.TEXTJOIN(" ",TRUE,Employees_Data[[#This Row],[First Name]],Employees_Data[[#This Row],[Last Name]])</f>
        <v>Muhamad Eaqad</v>
      </c>
      <c r="B465" s="64">
        <v>0</v>
      </c>
      <c r="C465" s="56">
        <v>5</v>
      </c>
      <c r="D465" s="56" t="str">
        <f>IFERROR(IF(OR(Attendance_Warning[[#This Row],[Sick Leaves]]&gt;3,Attendance_Warning[[#This Row],[Unpaid Leaves]]&gt;3),"Warning","OK"),"Not Found")</f>
        <v>Warning</v>
      </c>
    </row>
    <row r="466" spans="1:4" x14ac:dyDescent="0.35">
      <c r="A466" s="36" t="str">
        <f>_xlfn.TEXTJOIN(" ",TRUE,Employees_Data[[#This Row],[First Name]],Employees_Data[[#This Row],[Last Name]])</f>
        <v>Ahmad Hamuwd</v>
      </c>
      <c r="B466" s="63">
        <v>0</v>
      </c>
      <c r="C466" s="54">
        <v>0</v>
      </c>
      <c r="D466" s="54" t="str">
        <f>IFERROR(IF(OR(Attendance_Warning[[#This Row],[Sick Leaves]]&gt;3,Attendance_Warning[[#This Row],[Unpaid Leaves]]&gt;3),"Warning","OK"),"Not Found")</f>
        <v>OK</v>
      </c>
    </row>
    <row r="467" spans="1:4" x14ac:dyDescent="0.35">
      <c r="A467" s="40" t="str">
        <f>_xlfn.TEXTJOIN(" ",TRUE,Employees_Data[[#This Row],[First Name]],Employees_Data[[#This Row],[Last Name]])</f>
        <v>Ismaeil Jdwe</v>
      </c>
      <c r="B467" s="64">
        <v>4</v>
      </c>
      <c r="C467" s="56">
        <v>0</v>
      </c>
      <c r="D467" s="56" t="str">
        <f>IFERROR(IF(OR(Attendance_Warning[[#This Row],[Sick Leaves]]&gt;3,Attendance_Warning[[#This Row],[Unpaid Leaves]]&gt;3),"Warning","OK"),"Not Found")</f>
        <v>Warning</v>
      </c>
    </row>
    <row r="468" spans="1:4" x14ac:dyDescent="0.35">
      <c r="A468" s="36" t="str">
        <f>_xlfn.TEXTJOIN(" ",TRUE,Employees_Data[[#This Row],[First Name]],Employees_Data[[#This Row],[Last Name]])</f>
        <v>Muhamad Saeid Alzarey</v>
      </c>
      <c r="B468" s="63">
        <v>0</v>
      </c>
      <c r="C468" s="54">
        <v>0</v>
      </c>
      <c r="D468" s="54" t="str">
        <f>IFERROR(IF(OR(Attendance_Warning[[#This Row],[Sick Leaves]]&gt;3,Attendance_Warning[[#This Row],[Unpaid Leaves]]&gt;3),"Warning","OK"),"Not Found")</f>
        <v>OK</v>
      </c>
    </row>
    <row r="469" spans="1:4" x14ac:dyDescent="0.35">
      <c r="A469" s="40" t="str">
        <f>_xlfn.TEXTJOIN(" ",TRUE,Employees_Data[[#This Row],[First Name]],Employees_Data[[#This Row],[Last Name]])</f>
        <v>Bakr Eubdallah</v>
      </c>
      <c r="B469" s="64">
        <v>4</v>
      </c>
      <c r="C469" s="56">
        <v>0</v>
      </c>
      <c r="D469" s="56" t="str">
        <f>IFERROR(IF(OR(Attendance_Warning[[#This Row],[Sick Leaves]]&gt;3,Attendance_Warning[[#This Row],[Unpaid Leaves]]&gt;3),"Warning","OK"),"Not Found")</f>
        <v>Warning</v>
      </c>
    </row>
    <row r="470" spans="1:4" x14ac:dyDescent="0.35">
      <c r="A470" s="36" t="str">
        <f>_xlfn.TEXTJOIN(" ",TRUE,Employees_Data[[#This Row],[First Name]],Employees_Data[[#This Row],[Last Name]])</f>
        <v>Muhamad Basil</v>
      </c>
      <c r="B470" s="63">
        <v>5</v>
      </c>
      <c r="C470" s="54">
        <v>0</v>
      </c>
      <c r="D470" s="54" t="str">
        <f>IFERROR(IF(OR(Attendance_Warning[[#This Row],[Sick Leaves]]&gt;3,Attendance_Warning[[#This Row],[Unpaid Leaves]]&gt;3),"Warning","OK"),"Not Found")</f>
        <v>Warning</v>
      </c>
    </row>
    <row r="471" spans="1:4" x14ac:dyDescent="0.35">
      <c r="A471" s="40" t="str">
        <f>_xlfn.TEXTJOIN(" ",TRUE,Employees_Data[[#This Row],[First Name]],Employees_Data[[#This Row],[Last Name]])</f>
        <v>Ahmad Alnajar</v>
      </c>
      <c r="B471" s="64">
        <v>0</v>
      </c>
      <c r="C471" s="56">
        <v>0</v>
      </c>
      <c r="D471" s="56" t="str">
        <f>IFERROR(IF(OR(Attendance_Warning[[#This Row],[Sick Leaves]]&gt;3,Attendance_Warning[[#This Row],[Unpaid Leaves]]&gt;3),"Warning","OK"),"Not Found")</f>
        <v>OK</v>
      </c>
    </row>
    <row r="472" spans="1:4" x14ac:dyDescent="0.35">
      <c r="A472" s="36" t="str">
        <f>_xlfn.TEXTJOIN(" ",TRUE,Employees_Data[[#This Row],[First Name]],Employees_Data[[#This Row],[Last Name]])</f>
        <v>Muhamad Alsaman</v>
      </c>
      <c r="B472" s="63">
        <v>0</v>
      </c>
      <c r="C472" s="54">
        <v>0</v>
      </c>
      <c r="D472" s="54" t="str">
        <f>IFERROR(IF(OR(Attendance_Warning[[#This Row],[Sick Leaves]]&gt;3,Attendance_Warning[[#This Row],[Unpaid Leaves]]&gt;3),"Warning","OK"),"Not Found")</f>
        <v>OK</v>
      </c>
    </row>
    <row r="473" spans="1:4" x14ac:dyDescent="0.35">
      <c r="A473" s="40" t="str">
        <f>_xlfn.TEXTJOIN(" ",TRUE,Employees_Data[[#This Row],[First Name]],Employees_Data[[#This Row],[Last Name]])</f>
        <v>Lina Wayly</v>
      </c>
      <c r="B473" s="64">
        <v>4</v>
      </c>
      <c r="C473" s="56">
        <v>0</v>
      </c>
      <c r="D473" s="56" t="str">
        <f>IFERROR(IF(OR(Attendance_Warning[[#This Row],[Sick Leaves]]&gt;3,Attendance_Warning[[#This Row],[Unpaid Leaves]]&gt;3),"Warning","OK"),"Not Found")</f>
        <v>Warning</v>
      </c>
    </row>
    <row r="474" spans="1:4" x14ac:dyDescent="0.35">
      <c r="A474" s="36" t="str">
        <f>_xlfn.TEXTJOIN(" ",TRUE,Employees_Data[[#This Row],[First Name]],Employees_Data[[#This Row],[Last Name]])</f>
        <v>Raghid Hutayniun</v>
      </c>
      <c r="B474" s="63">
        <v>0</v>
      </c>
      <c r="C474" s="54">
        <v>0</v>
      </c>
      <c r="D474" s="54" t="str">
        <f>IFERROR(IF(OR(Attendance_Warning[[#This Row],[Sick Leaves]]&gt;3,Attendance_Warning[[#This Row],[Unpaid Leaves]]&gt;3),"Warning","OK"),"Not Found")</f>
        <v>OK</v>
      </c>
    </row>
    <row r="475" spans="1:4" x14ac:dyDescent="0.35">
      <c r="A475" s="40" t="str">
        <f>_xlfn.TEXTJOIN(" ",TRUE,Employees_Data[[#This Row],[First Name]],Employees_Data[[#This Row],[Last Name]])</f>
        <v>Ruba Alsiraj</v>
      </c>
      <c r="B475" s="64">
        <v>5</v>
      </c>
      <c r="C475" s="56">
        <v>0</v>
      </c>
      <c r="D475" s="56" t="str">
        <f>IFERROR(IF(OR(Attendance_Warning[[#This Row],[Sick Leaves]]&gt;3,Attendance_Warning[[#This Row],[Unpaid Leaves]]&gt;3),"Warning","OK"),"Not Found")</f>
        <v>Warning</v>
      </c>
    </row>
    <row r="476" spans="1:4" x14ac:dyDescent="0.35">
      <c r="A476" s="36" t="str">
        <f>_xlfn.TEXTJOIN(" ",TRUE,Employees_Data[[#This Row],[First Name]],Employees_Data[[#This Row],[Last Name]])</f>
        <v>Adnan Allaadhiqanii</v>
      </c>
      <c r="B476" s="63">
        <v>1</v>
      </c>
      <c r="C476" s="54">
        <v>4</v>
      </c>
      <c r="D476" s="54" t="str">
        <f>IFERROR(IF(OR(Attendance_Warning[[#This Row],[Sick Leaves]]&gt;3,Attendance_Warning[[#This Row],[Unpaid Leaves]]&gt;3),"Warning","OK"),"Not Found")</f>
        <v>Warning</v>
      </c>
    </row>
    <row r="477" spans="1:4" x14ac:dyDescent="0.35">
      <c r="A477" s="40" t="str">
        <f>_xlfn.TEXTJOIN(" ",TRUE,Employees_Data[[#This Row],[First Name]],Employees_Data[[#This Row],[Last Name]])</f>
        <v>Muhamad Shaeban</v>
      </c>
      <c r="B477" s="64">
        <v>3</v>
      </c>
      <c r="C477" s="56">
        <v>0</v>
      </c>
      <c r="D477" s="56" t="str">
        <f>IFERROR(IF(OR(Attendance_Warning[[#This Row],[Sick Leaves]]&gt;3,Attendance_Warning[[#This Row],[Unpaid Leaves]]&gt;3),"Warning","OK"),"Not Found")</f>
        <v>OK</v>
      </c>
    </row>
    <row r="478" spans="1:4" x14ac:dyDescent="0.35">
      <c r="A478" s="36" t="str">
        <f>_xlfn.TEXTJOIN(" ",TRUE,Employees_Data[[#This Row],[First Name]],Employees_Data[[#This Row],[Last Name]])</f>
        <v>Ghyath Abu</v>
      </c>
      <c r="B478" s="63">
        <v>3</v>
      </c>
      <c r="C478" s="54">
        <v>0</v>
      </c>
      <c r="D478" s="54" t="str">
        <f>IFERROR(IF(OR(Attendance_Warning[[#This Row],[Sick Leaves]]&gt;3,Attendance_Warning[[#This Row],[Unpaid Leaves]]&gt;3),"Warning","OK"),"Not Found")</f>
        <v>OK</v>
      </c>
    </row>
    <row r="479" spans="1:4" x14ac:dyDescent="0.35">
      <c r="A479" s="40" t="str">
        <f>_xlfn.TEXTJOIN(" ",TRUE,Employees_Data[[#This Row],[First Name]],Employees_Data[[#This Row],[Last Name]])</f>
        <v>Basil Farahat</v>
      </c>
      <c r="B479" s="64">
        <v>0</v>
      </c>
      <c r="C479" s="56">
        <v>0</v>
      </c>
      <c r="D479" s="56" t="str">
        <f>IFERROR(IF(OR(Attendance_Warning[[#This Row],[Sick Leaves]]&gt;3,Attendance_Warning[[#This Row],[Unpaid Leaves]]&gt;3),"Warning","OK"),"Not Found")</f>
        <v>OK</v>
      </c>
    </row>
    <row r="480" spans="1:4" x14ac:dyDescent="0.35">
      <c r="A480" s="36" t="str">
        <f>_xlfn.TEXTJOIN(" ",TRUE,Employees_Data[[#This Row],[First Name]],Employees_Data[[#This Row],[Last Name]])</f>
        <v>Khalid Siriul</v>
      </c>
      <c r="B480" s="63">
        <v>3</v>
      </c>
      <c r="C480" s="54">
        <v>0</v>
      </c>
      <c r="D480" s="54" t="str">
        <f>IFERROR(IF(OR(Attendance_Warning[[#This Row],[Sick Leaves]]&gt;3,Attendance_Warning[[#This Row],[Unpaid Leaves]]&gt;3),"Warning","OK"),"Not Found")</f>
        <v>OK</v>
      </c>
    </row>
    <row r="481" spans="1:4" x14ac:dyDescent="0.35">
      <c r="A481" s="40" t="str">
        <f>_xlfn.TEXTJOIN(" ",TRUE,Employees_Data[[#This Row],[First Name]],Employees_Data[[#This Row],[Last Name]])</f>
        <v>Salah Aldiyn Salayk</v>
      </c>
      <c r="B481" s="64">
        <v>3</v>
      </c>
      <c r="C481" s="56">
        <v>0</v>
      </c>
      <c r="D481" s="56" t="str">
        <f>IFERROR(IF(OR(Attendance_Warning[[#This Row],[Sick Leaves]]&gt;3,Attendance_Warning[[#This Row],[Unpaid Leaves]]&gt;3),"Warning","OK"),"Not Found")</f>
        <v>OK</v>
      </c>
    </row>
    <row r="482" spans="1:4" x14ac:dyDescent="0.35">
      <c r="A482" s="36" t="str">
        <f>_xlfn.TEXTJOIN(" ",TRUE,Employees_Data[[#This Row],[First Name]],Employees_Data[[#This Row],[Last Name]])</f>
        <v>Bilal Einziin</v>
      </c>
      <c r="B482" s="63">
        <v>4</v>
      </c>
      <c r="C482" s="54">
        <v>0</v>
      </c>
      <c r="D482" s="54" t="str">
        <f>IFERROR(IF(OR(Attendance_Warning[[#This Row],[Sick Leaves]]&gt;3,Attendance_Warning[[#This Row],[Unpaid Leaves]]&gt;3),"Warning","OK"),"Not Found")</f>
        <v>Warning</v>
      </c>
    </row>
    <row r="483" spans="1:4" x14ac:dyDescent="0.35">
      <c r="A483" s="40" t="str">
        <f>_xlfn.TEXTJOIN(" ",TRUE,Employees_Data[[#This Row],[First Name]],Employees_Data[[#This Row],[Last Name]])</f>
        <v>Abdalrhmin Aljuju</v>
      </c>
      <c r="B483" s="64">
        <v>1</v>
      </c>
      <c r="C483" s="56">
        <v>0</v>
      </c>
      <c r="D483" s="56" t="str">
        <f>IFERROR(IF(OR(Attendance_Warning[[#This Row],[Sick Leaves]]&gt;3,Attendance_Warning[[#This Row],[Unpaid Leaves]]&gt;3),"Warning","OK"),"Not Found")</f>
        <v>OK</v>
      </c>
    </row>
    <row r="484" spans="1:4" x14ac:dyDescent="0.35">
      <c r="A484" s="36" t="str">
        <f>_xlfn.TEXTJOIN(" ",TRUE,Employees_Data[[#This Row],[First Name]],Employees_Data[[#This Row],[Last Name]])</f>
        <v>Lawy Nadaf</v>
      </c>
      <c r="B484" s="63">
        <v>4</v>
      </c>
      <c r="C484" s="54">
        <v>0</v>
      </c>
      <c r="D484" s="54" t="str">
        <f>IFERROR(IF(OR(Attendance_Warning[[#This Row],[Sick Leaves]]&gt;3,Attendance_Warning[[#This Row],[Unpaid Leaves]]&gt;3),"Warning","OK"),"Not Found")</f>
        <v>Warning</v>
      </c>
    </row>
    <row r="485" spans="1:4" x14ac:dyDescent="0.35">
      <c r="A485" s="40" t="str">
        <f>_xlfn.TEXTJOIN(" ",TRUE,Employees_Data[[#This Row],[First Name]],Employees_Data[[#This Row],[Last Name]])</f>
        <v>Ali Muhamad</v>
      </c>
      <c r="B485" s="64">
        <v>0</v>
      </c>
      <c r="C485" s="56">
        <v>0</v>
      </c>
      <c r="D485" s="56" t="str">
        <f>IFERROR(IF(OR(Attendance_Warning[[#This Row],[Sick Leaves]]&gt;3,Attendance_Warning[[#This Row],[Unpaid Leaves]]&gt;3),"Warning","OK"),"Not Found")</f>
        <v>OK</v>
      </c>
    </row>
    <row r="486" spans="1:4" x14ac:dyDescent="0.35">
      <c r="A486" s="36" t="str">
        <f>_xlfn.TEXTJOIN(" ",TRUE,Employees_Data[[#This Row],[First Name]],Employees_Data[[#This Row],[Last Name]])</f>
        <v>Mahir Bikar</v>
      </c>
      <c r="B486" s="63">
        <v>0</v>
      </c>
      <c r="C486" s="54">
        <v>0</v>
      </c>
      <c r="D486" s="54" t="str">
        <f>IFERROR(IF(OR(Attendance_Warning[[#This Row],[Sick Leaves]]&gt;3,Attendance_Warning[[#This Row],[Unpaid Leaves]]&gt;3),"Warning","OK"),"Not Found")</f>
        <v>OK</v>
      </c>
    </row>
    <row r="487" spans="1:4" x14ac:dyDescent="0.35">
      <c r="A487" s="40" t="str">
        <f>_xlfn.TEXTJOIN(" ",TRUE,Employees_Data[[#This Row],[First Name]],Employees_Data[[#This Row],[Last Name]])</f>
        <v>Iad Alhusayn</v>
      </c>
      <c r="B487" s="64">
        <v>2</v>
      </c>
      <c r="C487" s="56">
        <v>6</v>
      </c>
      <c r="D487" s="56" t="str">
        <f>IFERROR(IF(OR(Attendance_Warning[[#This Row],[Sick Leaves]]&gt;3,Attendance_Warning[[#This Row],[Unpaid Leaves]]&gt;3),"Warning","OK"),"Not Found")</f>
        <v>Warning</v>
      </c>
    </row>
    <row r="488" spans="1:4" x14ac:dyDescent="0.35">
      <c r="A488" s="36" t="str">
        <f>_xlfn.TEXTJOIN(" ",TRUE,Employees_Data[[#This Row],[First Name]],Employees_Data[[#This Row],[Last Name]])</f>
        <v>Husam Ziada</v>
      </c>
      <c r="B488" s="63">
        <v>0</v>
      </c>
      <c r="C488" s="54">
        <v>1</v>
      </c>
      <c r="D488" s="54" t="str">
        <f>IFERROR(IF(OR(Attendance_Warning[[#This Row],[Sick Leaves]]&gt;3,Attendance_Warning[[#This Row],[Unpaid Leaves]]&gt;3),"Warning","OK"),"Not Found")</f>
        <v>OK</v>
      </c>
    </row>
    <row r="489" spans="1:4" x14ac:dyDescent="0.35">
      <c r="A489" s="40" t="str">
        <f>_xlfn.TEXTJOIN(" ",TRUE,Employees_Data[[#This Row],[First Name]],Employees_Data[[#This Row],[Last Name]])</f>
        <v>Ahmad Eashur</v>
      </c>
      <c r="B489" s="64">
        <v>0</v>
      </c>
      <c r="C489" s="56">
        <v>5</v>
      </c>
      <c r="D489" s="56" t="str">
        <f>IFERROR(IF(OR(Attendance_Warning[[#This Row],[Sick Leaves]]&gt;3,Attendance_Warning[[#This Row],[Unpaid Leaves]]&gt;3),"Warning","OK"),"Not Found")</f>
        <v>Warning</v>
      </c>
    </row>
    <row r="490" spans="1:4" x14ac:dyDescent="0.35">
      <c r="A490" s="36" t="str">
        <f>_xlfn.TEXTJOIN(" ",TRUE,Employees_Data[[#This Row],[First Name]],Employees_Data[[#This Row],[Last Name]])</f>
        <v>Ahmad Naqawuh</v>
      </c>
      <c r="B490" s="63">
        <v>0</v>
      </c>
      <c r="C490" s="54">
        <v>0</v>
      </c>
      <c r="D490" s="54" t="str">
        <f>IFERROR(IF(OR(Attendance_Warning[[#This Row],[Sick Leaves]]&gt;3,Attendance_Warning[[#This Row],[Unpaid Leaves]]&gt;3),"Warning","OK"),"Not Found")</f>
        <v>OK</v>
      </c>
    </row>
    <row r="491" spans="1:4" x14ac:dyDescent="0.35">
      <c r="A491" s="40" t="str">
        <f>_xlfn.TEXTJOIN(" ",TRUE,Employees_Data[[#This Row],[First Name]],Employees_Data[[#This Row],[Last Name]])</f>
        <v>Tamadur Barghuth</v>
      </c>
      <c r="B491" s="64">
        <v>0</v>
      </c>
      <c r="C491" s="56">
        <v>0</v>
      </c>
      <c r="D491" s="56" t="str">
        <f>IFERROR(IF(OR(Attendance_Warning[[#This Row],[Sick Leaves]]&gt;3,Attendance_Warning[[#This Row],[Unpaid Leaves]]&gt;3),"Warning","OK"),"Not Found")</f>
        <v>OK</v>
      </c>
    </row>
    <row r="492" spans="1:4" x14ac:dyDescent="0.35">
      <c r="A492" s="36" t="str">
        <f>_xlfn.TEXTJOIN(" ",TRUE,Employees_Data[[#This Row],[First Name]],Employees_Data[[#This Row],[Last Name]])</f>
        <v>Diea Jazar</v>
      </c>
      <c r="B492" s="63">
        <v>0</v>
      </c>
      <c r="C492" s="54">
        <v>0</v>
      </c>
      <c r="D492" s="54" t="str">
        <f>IFERROR(IF(OR(Attendance_Warning[[#This Row],[Sick Leaves]]&gt;3,Attendance_Warning[[#This Row],[Unpaid Leaves]]&gt;3),"Warning","OK"),"Not Found")</f>
        <v>OK</v>
      </c>
    </row>
    <row r="493" spans="1:4" x14ac:dyDescent="0.35">
      <c r="A493" s="40" t="str">
        <f>_xlfn.TEXTJOIN(" ",TRUE,Employees_Data[[#This Row],[First Name]],Employees_Data[[#This Row],[Last Name]])</f>
        <v>Bashshar Mareiun</v>
      </c>
      <c r="B493" s="64">
        <v>0</v>
      </c>
      <c r="C493" s="56">
        <v>0</v>
      </c>
      <c r="D493" s="56" t="str">
        <f>IFERROR(IF(OR(Attendance_Warning[[#This Row],[Sick Leaves]]&gt;3,Attendance_Warning[[#This Row],[Unpaid Leaves]]&gt;3),"Warning","OK"),"Not Found")</f>
        <v>OK</v>
      </c>
    </row>
    <row r="494" spans="1:4" x14ac:dyDescent="0.35">
      <c r="A494" s="36" t="str">
        <f>_xlfn.TEXTJOIN(" ",TRUE,Employees_Data[[#This Row],[First Name]],Employees_Data[[#This Row],[Last Name]])</f>
        <v>Abdaleziz Eiwad</v>
      </c>
      <c r="B494" s="63">
        <v>6</v>
      </c>
      <c r="C494" s="54">
        <v>0</v>
      </c>
      <c r="D494" s="54" t="str">
        <f>IFERROR(IF(OR(Attendance_Warning[[#This Row],[Sick Leaves]]&gt;3,Attendance_Warning[[#This Row],[Unpaid Leaves]]&gt;3),"Warning","OK"),"Not Found")</f>
        <v>Warning</v>
      </c>
    </row>
    <row r="495" spans="1:4" x14ac:dyDescent="0.35">
      <c r="A495" s="40" t="str">
        <f>_xlfn.TEXTJOIN(" ",TRUE,Employees_Data[[#This Row],[First Name]],Employees_Data[[#This Row],[Last Name]])</f>
        <v>Amir Alkhawam</v>
      </c>
      <c r="B495" s="64">
        <v>1</v>
      </c>
      <c r="C495" s="56">
        <v>0</v>
      </c>
      <c r="D495" s="56" t="str">
        <f>IFERROR(IF(OR(Attendance_Warning[[#This Row],[Sick Leaves]]&gt;3,Attendance_Warning[[#This Row],[Unpaid Leaves]]&gt;3),"Warning","OK"),"Not Found")</f>
        <v>OK</v>
      </c>
    </row>
    <row r="496" spans="1:4" x14ac:dyDescent="0.35">
      <c r="A496" s="36" t="str">
        <f>_xlfn.TEXTJOIN(" ",TRUE,Employees_Data[[#This Row],[First Name]],Employees_Data[[#This Row],[Last Name]])</f>
        <v>Alia Maseud</v>
      </c>
      <c r="B496" s="63">
        <v>6</v>
      </c>
      <c r="C496" s="54">
        <v>0</v>
      </c>
      <c r="D496" s="54" t="str">
        <f>IFERROR(IF(OR(Attendance_Warning[[#This Row],[Sick Leaves]]&gt;3,Attendance_Warning[[#This Row],[Unpaid Leaves]]&gt;3),"Warning","OK"),"Not Found")</f>
        <v>Warning</v>
      </c>
    </row>
    <row r="497" spans="1:4" x14ac:dyDescent="0.35">
      <c r="A497" s="40" t="str">
        <f>_xlfn.TEXTJOIN(" ",TRUE,Employees_Data[[#This Row],[First Name]],Employees_Data[[#This Row],[Last Name]])</f>
        <v>Asra Abuhani</v>
      </c>
      <c r="B497" s="64">
        <v>5</v>
      </c>
      <c r="C497" s="56">
        <v>0</v>
      </c>
      <c r="D497" s="56" t="str">
        <f>IFERROR(IF(OR(Attendance_Warning[[#This Row],[Sick Leaves]]&gt;3,Attendance_Warning[[#This Row],[Unpaid Leaves]]&gt;3),"Warning","OK"),"Not Found")</f>
        <v>Warning</v>
      </c>
    </row>
    <row r="498" spans="1:4" x14ac:dyDescent="0.35">
      <c r="A498" s="36" t="str">
        <f>_xlfn.TEXTJOIN(" ",TRUE,Employees_Data[[#This Row],[First Name]],Employees_Data[[#This Row],[Last Name]])</f>
        <v>Ahmad Alshamy</v>
      </c>
      <c r="B498" s="63">
        <v>6</v>
      </c>
      <c r="C498" s="54">
        <v>0</v>
      </c>
      <c r="D498" s="54" t="str">
        <f>IFERROR(IF(OR(Attendance_Warning[[#This Row],[Sick Leaves]]&gt;3,Attendance_Warning[[#This Row],[Unpaid Leaves]]&gt;3),"Warning","OK"),"Not Found")</f>
        <v>Warning</v>
      </c>
    </row>
    <row r="499" spans="1:4" x14ac:dyDescent="0.35">
      <c r="A499" s="40" t="str">
        <f>_xlfn.TEXTJOIN(" ",TRUE,Employees_Data[[#This Row],[First Name]],Employees_Data[[#This Row],[Last Name]])</f>
        <v>Baha Eusqul</v>
      </c>
      <c r="B499" s="64">
        <v>6</v>
      </c>
      <c r="C499" s="56">
        <v>0</v>
      </c>
      <c r="D499" s="56" t="str">
        <f>IFERROR(IF(OR(Attendance_Warning[[#This Row],[Sick Leaves]]&gt;3,Attendance_Warning[[#This Row],[Unpaid Leaves]]&gt;3),"Warning","OK"),"Not Found")</f>
        <v>Warning</v>
      </c>
    </row>
    <row r="500" spans="1:4" x14ac:dyDescent="0.35">
      <c r="A500" s="36" t="str">
        <f>_xlfn.TEXTJOIN(" ",TRUE,Employees_Data[[#This Row],[First Name]],Employees_Data[[#This Row],[Last Name]])</f>
        <v>Muhamad Hylmyh</v>
      </c>
      <c r="B500" s="63">
        <v>6</v>
      </c>
      <c r="C500" s="54">
        <v>0</v>
      </c>
      <c r="D500" s="54" t="str">
        <f>IFERROR(IF(OR(Attendance_Warning[[#This Row],[Sick Leaves]]&gt;3,Attendance_Warning[[#This Row],[Unpaid Leaves]]&gt;3),"Warning","OK"),"Not Found")</f>
        <v>Warning</v>
      </c>
    </row>
    <row r="501" spans="1:4" x14ac:dyDescent="0.35">
      <c r="A501" s="40" t="str">
        <f>_xlfn.TEXTJOIN(" ",TRUE,Employees_Data[[#This Row],[First Name]],Employees_Data[[#This Row],[Last Name]])</f>
        <v>Khadijah Turkamani</v>
      </c>
      <c r="B501" s="64">
        <v>0</v>
      </c>
      <c r="C501" s="56">
        <v>0</v>
      </c>
      <c r="D501" s="56" t="str">
        <f>IFERROR(IF(OR(Attendance_Warning[[#This Row],[Sick Leaves]]&gt;3,Attendance_Warning[[#This Row],[Unpaid Leaves]]&gt;3),"Warning","OK"),"Not Found")</f>
        <v>OK</v>
      </c>
    </row>
    <row r="502" spans="1:4" x14ac:dyDescent="0.35">
      <c r="A502" s="36" t="str">
        <f>_xlfn.TEXTJOIN(" ",TRUE,Employees_Data[[#This Row],[First Name]],Employees_Data[[#This Row],[Last Name]])</f>
        <v>Asra Jameah</v>
      </c>
      <c r="B502" s="63">
        <v>0</v>
      </c>
      <c r="C502" s="54">
        <v>6</v>
      </c>
      <c r="D502" s="54" t="str">
        <f>IFERROR(IF(OR(Attendance_Warning[[#This Row],[Sick Leaves]]&gt;3,Attendance_Warning[[#This Row],[Unpaid Leaves]]&gt;3),"Warning","OK"),"Not Found")</f>
        <v>Warning</v>
      </c>
    </row>
    <row r="503" spans="1:4" x14ac:dyDescent="0.35">
      <c r="A503" s="40" t="str">
        <f>_xlfn.TEXTJOIN(" ",TRUE,Employees_Data[[#This Row],[First Name]],Employees_Data[[#This Row],[Last Name]])</f>
        <v>Akram Alhulwanii</v>
      </c>
      <c r="B503" s="64">
        <v>1</v>
      </c>
      <c r="C503" s="56">
        <v>0</v>
      </c>
      <c r="D503" s="56" t="str">
        <f>IFERROR(IF(OR(Attendance_Warning[[#This Row],[Sick Leaves]]&gt;3,Attendance_Warning[[#This Row],[Unpaid Leaves]]&gt;3),"Warning","OK"),"Not Found")</f>
        <v>OK</v>
      </c>
    </row>
    <row r="504" spans="1:4" x14ac:dyDescent="0.35">
      <c r="A504" s="36" t="str">
        <f>_xlfn.TEXTJOIN(" ",TRUE,Employees_Data[[#This Row],[First Name]],Employees_Data[[#This Row],[Last Name]])</f>
        <v>Samir Almisri</v>
      </c>
      <c r="B504" s="63">
        <v>1</v>
      </c>
      <c r="C504" s="54">
        <v>0</v>
      </c>
      <c r="D504" s="54" t="str">
        <f>IFERROR(IF(OR(Attendance_Warning[[#This Row],[Sick Leaves]]&gt;3,Attendance_Warning[[#This Row],[Unpaid Leaves]]&gt;3),"Warning","OK"),"Not Found")</f>
        <v>OK</v>
      </c>
    </row>
    <row r="505" spans="1:4" x14ac:dyDescent="0.35">
      <c r="A505" s="40" t="str">
        <f>_xlfn.TEXTJOIN(" ",TRUE,Employees_Data[[#This Row],[First Name]],Employees_Data[[#This Row],[Last Name]])</f>
        <v>Ahmad Iidris</v>
      </c>
      <c r="B505" s="64">
        <v>0</v>
      </c>
      <c r="C505" s="56">
        <v>4</v>
      </c>
      <c r="D505" s="56" t="str">
        <f>IFERROR(IF(OR(Attendance_Warning[[#This Row],[Sick Leaves]]&gt;3,Attendance_Warning[[#This Row],[Unpaid Leaves]]&gt;3),"Warning","OK"),"Not Found")</f>
        <v>Warning</v>
      </c>
    </row>
    <row r="506" spans="1:4" x14ac:dyDescent="0.35">
      <c r="A506" s="36" t="str">
        <f>_xlfn.TEXTJOIN(" ",TRUE,Employees_Data[[#This Row],[First Name]],Employees_Data[[#This Row],[Last Name]])</f>
        <v>Khawla Dawi</v>
      </c>
      <c r="B506" s="63">
        <v>3</v>
      </c>
      <c r="C506" s="54">
        <v>0</v>
      </c>
      <c r="D506" s="54" t="str">
        <f>IFERROR(IF(OR(Attendance_Warning[[#This Row],[Sick Leaves]]&gt;3,Attendance_Warning[[#This Row],[Unpaid Leaves]]&gt;3),"Warning","OK"),"Not Found")</f>
        <v>OK</v>
      </c>
    </row>
    <row r="507" spans="1:4" x14ac:dyDescent="0.35">
      <c r="A507" s="40" t="str">
        <f>_xlfn.TEXTJOIN(" ",TRUE,Employees_Data[[#This Row],[First Name]],Employees_Data[[#This Row],[Last Name]])</f>
        <v>Rayid Zazana</v>
      </c>
      <c r="B507" s="64">
        <v>1</v>
      </c>
      <c r="C507" s="56">
        <v>0</v>
      </c>
      <c r="D507" s="56" t="str">
        <f>IFERROR(IF(OR(Attendance_Warning[[#This Row],[Sick Leaves]]&gt;3,Attendance_Warning[[#This Row],[Unpaid Leaves]]&gt;3),"Warning","OK"),"Not Found")</f>
        <v>OK</v>
      </c>
    </row>
    <row r="508" spans="1:4" x14ac:dyDescent="0.35">
      <c r="A508" s="36" t="str">
        <f>_xlfn.TEXTJOIN(" ",TRUE,Employees_Data[[#This Row],[First Name]],Employees_Data[[#This Row],[Last Name]])</f>
        <v>Razan Iybw</v>
      </c>
      <c r="B508" s="63">
        <v>0</v>
      </c>
      <c r="C508" s="54">
        <v>0</v>
      </c>
      <c r="D508" s="54" t="str">
        <f>IFERROR(IF(OR(Attendance_Warning[[#This Row],[Sick Leaves]]&gt;3,Attendance_Warning[[#This Row],[Unpaid Leaves]]&gt;3),"Warning","OK"),"Not Found")</f>
        <v>OK</v>
      </c>
    </row>
    <row r="509" spans="1:4" x14ac:dyDescent="0.35">
      <c r="A509" s="40" t="str">
        <f>_xlfn.TEXTJOIN(" ",TRUE,Employees_Data[[#This Row],[First Name]],Employees_Data[[#This Row],[Last Name]])</f>
        <v>Jamil Ghabur</v>
      </c>
      <c r="B509" s="64">
        <v>0</v>
      </c>
      <c r="C509" s="56">
        <v>0</v>
      </c>
      <c r="D509" s="56" t="str">
        <f>IFERROR(IF(OR(Attendance_Warning[[#This Row],[Sick Leaves]]&gt;3,Attendance_Warning[[#This Row],[Unpaid Leaves]]&gt;3),"Warning","OK"),"Not Found")</f>
        <v>OK</v>
      </c>
    </row>
    <row r="510" spans="1:4" x14ac:dyDescent="0.35">
      <c r="A510" s="36" t="str">
        <f>_xlfn.TEXTJOIN(" ",TRUE,Employees_Data[[#This Row],[First Name]],Employees_Data[[#This Row],[Last Name]])</f>
        <v>Alaa Sultan</v>
      </c>
      <c r="B510" s="63">
        <v>0</v>
      </c>
      <c r="C510" s="54">
        <v>0</v>
      </c>
      <c r="D510" s="54" t="str">
        <f>IFERROR(IF(OR(Attendance_Warning[[#This Row],[Sick Leaves]]&gt;3,Attendance_Warning[[#This Row],[Unpaid Leaves]]&gt;3),"Warning","OK"),"Not Found")</f>
        <v>OK</v>
      </c>
    </row>
    <row r="511" spans="1:4" x14ac:dyDescent="0.35">
      <c r="A511" s="40" t="str">
        <f>_xlfn.TEXTJOIN(" ",TRUE,Employees_Data[[#This Row],[First Name]],Employees_Data[[#This Row],[Last Name]])</f>
        <v>Sultan Taysir</v>
      </c>
      <c r="B511" s="64">
        <v>0</v>
      </c>
      <c r="C511" s="56">
        <v>3</v>
      </c>
      <c r="D511" s="56" t="str">
        <f>IFERROR(IF(OR(Attendance_Warning[[#This Row],[Sick Leaves]]&gt;3,Attendance_Warning[[#This Row],[Unpaid Leaves]]&gt;3),"Warning","OK"),"Not Found")</f>
        <v>OK</v>
      </c>
    </row>
    <row r="512" spans="1:4" x14ac:dyDescent="0.35">
      <c r="A512" s="36" t="str">
        <f>_xlfn.TEXTJOIN(" ",TRUE,Employees_Data[[#This Row],[First Name]],Employees_Data[[#This Row],[Last Name]])</f>
        <v>Hanan Kurdiun</v>
      </c>
      <c r="B512" s="63">
        <v>0</v>
      </c>
      <c r="C512" s="54">
        <v>2</v>
      </c>
      <c r="D512" s="54" t="str">
        <f>IFERROR(IF(OR(Attendance_Warning[[#This Row],[Sick Leaves]]&gt;3,Attendance_Warning[[#This Row],[Unpaid Leaves]]&gt;3),"Warning","OK"),"Not Found")</f>
        <v>OK</v>
      </c>
    </row>
    <row r="513" spans="1:4" x14ac:dyDescent="0.35">
      <c r="A513" s="40" t="str">
        <f>_xlfn.TEXTJOIN(" ",TRUE,Employees_Data[[#This Row],[First Name]],Employees_Data[[#This Row],[Last Name]])</f>
        <v>Basil Salih</v>
      </c>
      <c r="B513" s="64">
        <v>0</v>
      </c>
      <c r="C513" s="56">
        <v>6</v>
      </c>
      <c r="D513" s="56" t="str">
        <f>IFERROR(IF(OR(Attendance_Warning[[#This Row],[Sick Leaves]]&gt;3,Attendance_Warning[[#This Row],[Unpaid Leaves]]&gt;3),"Warning","OK"),"Not Found")</f>
        <v>Warning</v>
      </c>
    </row>
    <row r="514" spans="1:4" x14ac:dyDescent="0.35">
      <c r="A514" s="36" t="str">
        <f>_xlfn.TEXTJOIN(" ",TRUE,Employees_Data[[#This Row],[First Name]],Employees_Data[[#This Row],[Last Name]])</f>
        <v>Rita Dib</v>
      </c>
      <c r="B514" s="63">
        <v>0</v>
      </c>
      <c r="C514" s="54">
        <v>0</v>
      </c>
      <c r="D514" s="54" t="str">
        <f>IFERROR(IF(OR(Attendance_Warning[[#This Row],[Sick Leaves]]&gt;3,Attendance_Warning[[#This Row],[Unpaid Leaves]]&gt;3),"Warning","OK"),"Not Found")</f>
        <v>OK</v>
      </c>
    </row>
    <row r="515" spans="1:4" x14ac:dyDescent="0.35">
      <c r="A515" s="40" t="str">
        <f>_xlfn.TEXTJOIN(" ",TRUE,Employees_Data[[#This Row],[First Name]],Employees_Data[[#This Row],[Last Name]])</f>
        <v>Muhamad Alghush</v>
      </c>
      <c r="B515" s="64">
        <v>0</v>
      </c>
      <c r="C515" s="56">
        <v>0</v>
      </c>
      <c r="D515" s="56" t="str">
        <f>IFERROR(IF(OR(Attendance_Warning[[#This Row],[Sick Leaves]]&gt;3,Attendance_Warning[[#This Row],[Unpaid Leaves]]&gt;3),"Warning","OK"),"Not Found")</f>
        <v>OK</v>
      </c>
    </row>
    <row r="516" spans="1:4" x14ac:dyDescent="0.35">
      <c r="A516" s="36" t="str">
        <f>_xlfn.TEXTJOIN(" ",TRUE,Employees_Data[[#This Row],[First Name]],Employees_Data[[#This Row],[Last Name]])</f>
        <v>Muhamad Iismaeil</v>
      </c>
      <c r="B516" s="63">
        <v>0</v>
      </c>
      <c r="C516" s="54">
        <v>0</v>
      </c>
      <c r="D516" s="54" t="str">
        <f>IFERROR(IF(OR(Attendance_Warning[[#This Row],[Sick Leaves]]&gt;3,Attendance_Warning[[#This Row],[Unpaid Leaves]]&gt;3),"Warning","OK"),"Not Found")</f>
        <v>OK</v>
      </c>
    </row>
    <row r="517" spans="1:4" x14ac:dyDescent="0.35">
      <c r="A517" s="40" t="str">
        <f>_xlfn.TEXTJOIN(" ",TRUE,Employees_Data[[#This Row],[First Name]],Employees_Data[[#This Row],[Last Name]])</f>
        <v>Khaldun Alsaedi</v>
      </c>
      <c r="B517" s="64">
        <v>2</v>
      </c>
      <c r="C517" s="56">
        <v>0</v>
      </c>
      <c r="D517" s="56" t="str">
        <f>IFERROR(IF(OR(Attendance_Warning[[#This Row],[Sick Leaves]]&gt;3,Attendance_Warning[[#This Row],[Unpaid Leaves]]&gt;3),"Warning","OK"),"Not Found")</f>
        <v>OK</v>
      </c>
    </row>
    <row r="518" spans="1:4" x14ac:dyDescent="0.35">
      <c r="A518" s="36" t="str">
        <f>_xlfn.TEXTJOIN(" ",TRUE,Employees_Data[[#This Row],[First Name]],Employees_Data[[#This Row],[Last Name]])</f>
        <v>Ghaliah Eibad</v>
      </c>
      <c r="B518" s="63">
        <v>1</v>
      </c>
      <c r="C518" s="54">
        <v>5</v>
      </c>
      <c r="D518" s="54" t="str">
        <f>IFERROR(IF(OR(Attendance_Warning[[#This Row],[Sick Leaves]]&gt;3,Attendance_Warning[[#This Row],[Unpaid Leaves]]&gt;3),"Warning","OK"),"Not Found")</f>
        <v>Warning</v>
      </c>
    </row>
    <row r="519" spans="1:4" x14ac:dyDescent="0.35">
      <c r="A519" s="40" t="str">
        <f>_xlfn.TEXTJOIN(" ",TRUE,Employees_Data[[#This Row],[First Name]],Employees_Data[[#This Row],[Last Name]])</f>
        <v>Muhamad Alsaedi</v>
      </c>
      <c r="B519" s="64">
        <v>0</v>
      </c>
      <c r="C519" s="56">
        <v>0</v>
      </c>
      <c r="D519" s="56" t="str">
        <f>IFERROR(IF(OR(Attendance_Warning[[#This Row],[Sick Leaves]]&gt;3,Attendance_Warning[[#This Row],[Unpaid Leaves]]&gt;3),"Warning","OK"),"Not Found")</f>
        <v>OK</v>
      </c>
    </row>
    <row r="520" spans="1:4" x14ac:dyDescent="0.35">
      <c r="A520" s="36" t="str">
        <f>_xlfn.TEXTJOIN(" ",TRUE,Employees_Data[[#This Row],[First Name]],Employees_Data[[#This Row],[Last Name]])</f>
        <v>Eala Zaniqa</v>
      </c>
      <c r="B520" s="63">
        <v>0</v>
      </c>
      <c r="C520" s="54">
        <v>4</v>
      </c>
      <c r="D520" s="54" t="str">
        <f>IFERROR(IF(OR(Attendance_Warning[[#This Row],[Sick Leaves]]&gt;3,Attendance_Warning[[#This Row],[Unpaid Leaves]]&gt;3),"Warning","OK"),"Not Found")</f>
        <v>Warning</v>
      </c>
    </row>
    <row r="521" spans="1:4" x14ac:dyDescent="0.35">
      <c r="A521" s="40" t="str">
        <f>_xlfn.TEXTJOIN(" ",TRUE,Employees_Data[[#This Row],[First Name]],Employees_Data[[#This Row],[Last Name]])</f>
        <v>Ayham Sharfah</v>
      </c>
      <c r="B521" s="64">
        <v>0</v>
      </c>
      <c r="C521" s="56">
        <v>0</v>
      </c>
      <c r="D521" s="56" t="str">
        <f>IFERROR(IF(OR(Attendance_Warning[[#This Row],[Sick Leaves]]&gt;3,Attendance_Warning[[#This Row],[Unpaid Leaves]]&gt;3),"Warning","OK"),"Not Found")</f>
        <v>OK</v>
      </c>
    </row>
    <row r="522" spans="1:4" x14ac:dyDescent="0.35">
      <c r="A522" s="36" t="str">
        <f>_xlfn.TEXTJOIN(" ",TRUE,Employees_Data[[#This Row],[First Name]],Employees_Data[[#This Row],[Last Name]])</f>
        <v>Ahmad Kazeur</v>
      </c>
      <c r="B522" s="63">
        <v>0</v>
      </c>
      <c r="C522" s="54">
        <v>0</v>
      </c>
      <c r="D522" s="54" t="str">
        <f>IFERROR(IF(OR(Attendance_Warning[[#This Row],[Sick Leaves]]&gt;3,Attendance_Warning[[#This Row],[Unpaid Leaves]]&gt;3),"Warning","OK"),"Not Found")</f>
        <v>OK</v>
      </c>
    </row>
    <row r="523" spans="1:4" x14ac:dyDescent="0.35">
      <c r="A523" s="40" t="str">
        <f>_xlfn.TEXTJOIN(" ",TRUE,Employees_Data[[#This Row],[First Name]],Employees_Data[[#This Row],[Last Name]])</f>
        <v>Mujdi Kiwan</v>
      </c>
      <c r="B523" s="64">
        <v>0</v>
      </c>
      <c r="C523" s="56">
        <v>0</v>
      </c>
      <c r="D523" s="56" t="str">
        <f>IFERROR(IF(OR(Attendance_Warning[[#This Row],[Sick Leaves]]&gt;3,Attendance_Warning[[#This Row],[Unpaid Leaves]]&gt;3),"Warning","OK"),"Not Found")</f>
        <v>OK</v>
      </c>
    </row>
    <row r="524" spans="1:4" x14ac:dyDescent="0.35">
      <c r="A524" s="36" t="str">
        <f>_xlfn.TEXTJOIN(" ",TRUE,Employees_Data[[#This Row],[First Name]],Employees_Data[[#This Row],[Last Name]])</f>
        <v>Muhamad Altynawi</v>
      </c>
      <c r="B524" s="63">
        <v>0</v>
      </c>
      <c r="C524" s="54">
        <v>0</v>
      </c>
      <c r="D524" s="54" t="str">
        <f>IFERROR(IF(OR(Attendance_Warning[[#This Row],[Sick Leaves]]&gt;3,Attendance_Warning[[#This Row],[Unpaid Leaves]]&gt;3),"Warning","OK"),"Not Found")</f>
        <v>OK</v>
      </c>
    </row>
    <row r="525" spans="1:4" x14ac:dyDescent="0.35">
      <c r="A525" s="40" t="str">
        <f>_xlfn.TEXTJOIN(" ",TRUE,Employees_Data[[#This Row],[First Name]],Employees_Data[[#This Row],[Last Name]])</f>
        <v>Lama Alhasan</v>
      </c>
      <c r="B525" s="64">
        <v>0</v>
      </c>
      <c r="C525" s="56">
        <v>4</v>
      </c>
      <c r="D525" s="56" t="str">
        <f>IFERROR(IF(OR(Attendance_Warning[[#This Row],[Sick Leaves]]&gt;3,Attendance_Warning[[#This Row],[Unpaid Leaves]]&gt;3),"Warning","OK"),"Not Found")</f>
        <v>Warning</v>
      </c>
    </row>
    <row r="526" spans="1:4" x14ac:dyDescent="0.35">
      <c r="A526" s="36" t="str">
        <f>_xlfn.TEXTJOIN(" ",TRUE,Employees_Data[[#This Row],[First Name]],Employees_Data[[#This Row],[Last Name]])</f>
        <v>Lama Almisri</v>
      </c>
      <c r="B526" s="63">
        <v>0</v>
      </c>
      <c r="C526" s="54">
        <v>0</v>
      </c>
      <c r="D526" s="54" t="str">
        <f>IFERROR(IF(OR(Attendance_Warning[[#This Row],[Sick Leaves]]&gt;3,Attendance_Warning[[#This Row],[Unpaid Leaves]]&gt;3),"Warning","OK"),"Not Found")</f>
        <v>OK</v>
      </c>
    </row>
    <row r="527" spans="1:4" x14ac:dyDescent="0.35">
      <c r="A527" s="40" t="str">
        <f>_xlfn.TEXTJOIN(" ",TRUE,Employees_Data[[#This Row],[First Name]],Employees_Data[[#This Row],[Last Name]])</f>
        <v>Thayir Hamuwda</v>
      </c>
      <c r="B527" s="64">
        <v>0</v>
      </c>
      <c r="C527" s="56">
        <v>0</v>
      </c>
      <c r="D527" s="56" t="str">
        <f>IFERROR(IF(OR(Attendance_Warning[[#This Row],[Sick Leaves]]&gt;3,Attendance_Warning[[#This Row],[Unpaid Leaves]]&gt;3),"Warning","OK"),"Not Found")</f>
        <v>OK</v>
      </c>
    </row>
    <row r="528" spans="1:4" x14ac:dyDescent="0.35">
      <c r="A528" s="36" t="str">
        <f>_xlfn.TEXTJOIN(" ",TRUE,Employees_Data[[#This Row],[First Name]],Employees_Data[[#This Row],[Last Name]])</f>
        <v>Abdallah Zakariaa</v>
      </c>
      <c r="B528" s="63">
        <v>0</v>
      </c>
      <c r="C528" s="54">
        <v>4</v>
      </c>
      <c r="D528" s="54" t="str">
        <f>IFERROR(IF(OR(Attendance_Warning[[#This Row],[Sick Leaves]]&gt;3,Attendance_Warning[[#This Row],[Unpaid Leaves]]&gt;3),"Warning","OK"),"Not Found")</f>
        <v>Warning</v>
      </c>
    </row>
    <row r="529" spans="1:4" x14ac:dyDescent="0.35">
      <c r="A529" s="40" t="str">
        <f>_xlfn.TEXTJOIN(" ",TRUE,Employees_Data[[#This Row],[First Name]],Employees_Data[[#This Row],[Last Name]])</f>
        <v>Ikhlas Alhasan</v>
      </c>
      <c r="B529" s="64">
        <v>0</v>
      </c>
      <c r="C529" s="56">
        <v>0</v>
      </c>
      <c r="D529" s="56" t="str">
        <f>IFERROR(IF(OR(Attendance_Warning[[#This Row],[Sick Leaves]]&gt;3,Attendance_Warning[[#This Row],[Unpaid Leaves]]&gt;3),"Warning","OK"),"Not Found")</f>
        <v>OK</v>
      </c>
    </row>
    <row r="530" spans="1:4" x14ac:dyDescent="0.35">
      <c r="A530" s="36" t="str">
        <f>_xlfn.TEXTJOIN(" ",TRUE,Employees_Data[[#This Row],[First Name]],Employees_Data[[#This Row],[Last Name]])</f>
        <v>Muhamad Jzayrly</v>
      </c>
      <c r="B530" s="63">
        <v>3</v>
      </c>
      <c r="C530" s="54">
        <v>0</v>
      </c>
      <c r="D530" s="54" t="str">
        <f>IFERROR(IF(OR(Attendance_Warning[[#This Row],[Sick Leaves]]&gt;3,Attendance_Warning[[#This Row],[Unpaid Leaves]]&gt;3),"Warning","OK"),"Not Found")</f>
        <v>OK</v>
      </c>
    </row>
    <row r="531" spans="1:4" x14ac:dyDescent="0.35">
      <c r="A531" s="40" t="str">
        <f>_xlfn.TEXTJOIN(" ",TRUE,Employees_Data[[#This Row],[First Name]],Employees_Data[[#This Row],[Last Name]])</f>
        <v>Husam Badr</v>
      </c>
      <c r="B531" s="64">
        <v>1</v>
      </c>
      <c r="C531" s="56">
        <v>6</v>
      </c>
      <c r="D531" s="56" t="str">
        <f>IFERROR(IF(OR(Attendance_Warning[[#This Row],[Sick Leaves]]&gt;3,Attendance_Warning[[#This Row],[Unpaid Leaves]]&gt;3),"Warning","OK"),"Not Found")</f>
        <v>Warning</v>
      </c>
    </row>
    <row r="532" spans="1:4" x14ac:dyDescent="0.35">
      <c r="A532" s="36" t="str">
        <f>_xlfn.TEXTJOIN(" ",TRUE,Employees_Data[[#This Row],[First Name]],Employees_Data[[#This Row],[Last Name]])</f>
        <v>Rami Hunun</v>
      </c>
      <c r="B532" s="63">
        <v>6</v>
      </c>
      <c r="C532" s="54">
        <v>0</v>
      </c>
      <c r="D532" s="54" t="str">
        <f>IFERROR(IF(OR(Attendance_Warning[[#This Row],[Sick Leaves]]&gt;3,Attendance_Warning[[#This Row],[Unpaid Leaves]]&gt;3),"Warning","OK"),"Not Found")</f>
        <v>Warning</v>
      </c>
    </row>
    <row r="533" spans="1:4" x14ac:dyDescent="0.35">
      <c r="A533" s="40" t="str">
        <f>_xlfn.TEXTJOIN(" ",TRUE,Employees_Data[[#This Row],[First Name]],Employees_Data[[#This Row],[Last Name]])</f>
        <v>Alia Abu</v>
      </c>
      <c r="B533" s="64">
        <v>0</v>
      </c>
      <c r="C533" s="56">
        <v>0</v>
      </c>
      <c r="D533" s="56" t="str">
        <f>IFERROR(IF(OR(Attendance_Warning[[#This Row],[Sick Leaves]]&gt;3,Attendance_Warning[[#This Row],[Unpaid Leaves]]&gt;3),"Warning","OK"),"Not Found")</f>
        <v>OK</v>
      </c>
    </row>
    <row r="534" spans="1:4" x14ac:dyDescent="0.35">
      <c r="A534" s="36" t="str">
        <f>_xlfn.TEXTJOIN(" ",TRUE,Employees_Data[[#This Row],[First Name]],Employees_Data[[#This Row],[Last Name]])</f>
        <v>Samir Sariji</v>
      </c>
      <c r="B534" s="63">
        <v>0</v>
      </c>
      <c r="C534" s="54">
        <v>0</v>
      </c>
      <c r="D534" s="54" t="str">
        <f>IFERROR(IF(OR(Attendance_Warning[[#This Row],[Sick Leaves]]&gt;3,Attendance_Warning[[#This Row],[Unpaid Leaves]]&gt;3),"Warning","OK"),"Not Found")</f>
        <v>OK</v>
      </c>
    </row>
    <row r="535" spans="1:4" x14ac:dyDescent="0.35">
      <c r="A535" s="40" t="str">
        <f>_xlfn.TEXTJOIN(" ",TRUE,Employees_Data[[#This Row],[First Name]],Employees_Data[[#This Row],[Last Name]])</f>
        <v>Muhamad Albieli</v>
      </c>
      <c r="B535" s="64">
        <v>0</v>
      </c>
      <c r="C535" s="56">
        <v>0</v>
      </c>
      <c r="D535" s="56" t="str">
        <f>IFERROR(IF(OR(Attendance_Warning[[#This Row],[Sick Leaves]]&gt;3,Attendance_Warning[[#This Row],[Unpaid Leaves]]&gt;3),"Warning","OK"),"Not Found")</f>
        <v>OK</v>
      </c>
    </row>
    <row r="536" spans="1:4" x14ac:dyDescent="0.35">
      <c r="A536" s="36" t="str">
        <f>_xlfn.TEXTJOIN(" ",TRUE,Employees_Data[[#This Row],[First Name]],Employees_Data[[#This Row],[Last Name]])</f>
        <v>Ahmad Eyd Bndqjy</v>
      </c>
      <c r="B536" s="63">
        <v>1</v>
      </c>
      <c r="C536" s="54">
        <v>0</v>
      </c>
      <c r="D536" s="54" t="str">
        <f>IFERROR(IF(OR(Attendance_Warning[[#This Row],[Sick Leaves]]&gt;3,Attendance_Warning[[#This Row],[Unpaid Leaves]]&gt;3),"Warning","OK"),"Not Found")</f>
        <v>OK</v>
      </c>
    </row>
    <row r="537" spans="1:4" x14ac:dyDescent="0.35">
      <c r="A537" s="40" t="str">
        <f>_xlfn.TEXTJOIN(" ",TRUE,Employees_Data[[#This Row],[First Name]],Employees_Data[[#This Row],[Last Name]])</f>
        <v>Maria Lulu</v>
      </c>
      <c r="B537" s="64">
        <v>0</v>
      </c>
      <c r="C537" s="56">
        <v>0</v>
      </c>
      <c r="D537" s="56" t="str">
        <f>IFERROR(IF(OR(Attendance_Warning[[#This Row],[Sick Leaves]]&gt;3,Attendance_Warning[[#This Row],[Unpaid Leaves]]&gt;3),"Warning","OK"),"Not Found")</f>
        <v>OK</v>
      </c>
    </row>
    <row r="538" spans="1:4" x14ac:dyDescent="0.35">
      <c r="A538" s="36" t="str">
        <f>_xlfn.TEXTJOIN(" ",TRUE,Employees_Data[[#This Row],[First Name]],Employees_Data[[#This Row],[Last Name]])</f>
        <v>Muhamad Shhybr</v>
      </c>
      <c r="B538" s="63">
        <v>0</v>
      </c>
      <c r="C538" s="54">
        <v>0</v>
      </c>
      <c r="D538" s="54" t="str">
        <f>IFERROR(IF(OR(Attendance_Warning[[#This Row],[Sick Leaves]]&gt;3,Attendance_Warning[[#This Row],[Unpaid Leaves]]&gt;3),"Warning","OK"),"Not Found")</f>
        <v>OK</v>
      </c>
    </row>
    <row r="539" spans="1:4" x14ac:dyDescent="0.35">
      <c r="A539" s="40" t="str">
        <f>_xlfn.TEXTJOIN(" ",TRUE,Employees_Data[[#This Row],[First Name]],Employees_Data[[#This Row],[Last Name]])</f>
        <v>Abdalbasit Aljazayiriu</v>
      </c>
      <c r="B539" s="64">
        <v>1</v>
      </c>
      <c r="C539" s="56">
        <v>0</v>
      </c>
      <c r="D539" s="56" t="str">
        <f>IFERROR(IF(OR(Attendance_Warning[[#This Row],[Sick Leaves]]&gt;3,Attendance_Warning[[#This Row],[Unpaid Leaves]]&gt;3),"Warning","OK"),"Not Found")</f>
        <v>OK</v>
      </c>
    </row>
    <row r="540" spans="1:4" x14ac:dyDescent="0.35">
      <c r="A540" s="36" t="str">
        <f>_xlfn.TEXTJOIN(" ",TRUE,Employees_Data[[#This Row],[First Name]],Employees_Data[[#This Row],[Last Name]])</f>
        <v>Bilal Aywbi</v>
      </c>
      <c r="B540" s="63">
        <v>1</v>
      </c>
      <c r="C540" s="54">
        <v>0</v>
      </c>
      <c r="D540" s="54" t="str">
        <f>IFERROR(IF(OR(Attendance_Warning[[#This Row],[Sick Leaves]]&gt;3,Attendance_Warning[[#This Row],[Unpaid Leaves]]&gt;3),"Warning","OK"),"Not Found")</f>
        <v>OK</v>
      </c>
    </row>
    <row r="541" spans="1:4" x14ac:dyDescent="0.35">
      <c r="A541" s="40" t="str">
        <f>_xlfn.TEXTJOIN(" ",TRUE,Employees_Data[[#This Row],[First Name]],Employees_Data[[#This Row],[Last Name]])</f>
        <v>Ahmad Dabana</v>
      </c>
      <c r="B541" s="64">
        <v>3</v>
      </c>
      <c r="C541" s="56">
        <v>0</v>
      </c>
      <c r="D541" s="56" t="str">
        <f>IFERROR(IF(OR(Attendance_Warning[[#This Row],[Sick Leaves]]&gt;3,Attendance_Warning[[#This Row],[Unpaid Leaves]]&gt;3),"Warning","OK"),"Not Found")</f>
        <v>OK</v>
      </c>
    </row>
    <row r="542" spans="1:4" x14ac:dyDescent="0.35">
      <c r="A542" s="36" t="str">
        <f>_xlfn.TEXTJOIN(" ",TRUE,Employees_Data[[#This Row],[First Name]],Employees_Data[[#This Row],[Last Name]])</f>
        <v>Fawaz Ghazal</v>
      </c>
      <c r="B542" s="63">
        <v>0</v>
      </c>
      <c r="C542" s="54">
        <v>0</v>
      </c>
      <c r="D542" s="54" t="str">
        <f>IFERROR(IF(OR(Attendance_Warning[[#This Row],[Sick Leaves]]&gt;3,Attendance_Warning[[#This Row],[Unpaid Leaves]]&gt;3),"Warning","OK"),"Not Found")</f>
        <v>OK</v>
      </c>
    </row>
    <row r="543" spans="1:4" x14ac:dyDescent="0.35">
      <c r="A543" s="40" t="str">
        <f>_xlfn.TEXTJOIN(" ",TRUE,Employees_Data[[#This Row],[First Name]],Employees_Data[[#This Row],[Last Name]])</f>
        <v>Bisam Altahhan</v>
      </c>
      <c r="B543" s="64">
        <v>2</v>
      </c>
      <c r="C543" s="56">
        <v>0</v>
      </c>
      <c r="D543" s="56" t="str">
        <f>IFERROR(IF(OR(Attendance_Warning[[#This Row],[Sick Leaves]]&gt;3,Attendance_Warning[[#This Row],[Unpaid Leaves]]&gt;3),"Warning","OK"),"Not Found")</f>
        <v>OK</v>
      </c>
    </row>
    <row r="544" spans="1:4" x14ac:dyDescent="0.35">
      <c r="A544" s="36" t="str">
        <f>_xlfn.TEXTJOIN(" ",TRUE,Employees_Data[[#This Row],[First Name]],Employees_Data[[#This Row],[Last Name]])</f>
        <v>Muhamad Amir</v>
      </c>
      <c r="B544" s="63">
        <v>3</v>
      </c>
      <c r="C544" s="54">
        <v>0</v>
      </c>
      <c r="D544" s="54" t="str">
        <f>IFERROR(IF(OR(Attendance_Warning[[#This Row],[Sick Leaves]]&gt;3,Attendance_Warning[[#This Row],[Unpaid Leaves]]&gt;3),"Warning","OK"),"Not Found")</f>
        <v>OK</v>
      </c>
    </row>
    <row r="545" spans="1:4" x14ac:dyDescent="0.35">
      <c r="A545" s="40" t="str">
        <f>_xlfn.TEXTJOIN(" ",TRUE,Employees_Data[[#This Row],[First Name]],Employees_Data[[#This Row],[Last Name]])</f>
        <v>Lilas Nafae</v>
      </c>
      <c r="B545" s="64">
        <v>0</v>
      </c>
      <c r="C545" s="56">
        <v>5</v>
      </c>
      <c r="D545" s="56" t="str">
        <f>IFERROR(IF(OR(Attendance_Warning[[#This Row],[Sick Leaves]]&gt;3,Attendance_Warning[[#This Row],[Unpaid Leaves]]&gt;3),"Warning","OK"),"Not Found")</f>
        <v>Warning</v>
      </c>
    </row>
    <row r="546" spans="1:4" x14ac:dyDescent="0.35">
      <c r="A546" s="36" t="str">
        <f>_xlfn.TEXTJOIN(" ",TRUE,Employees_Data[[#This Row],[First Name]],Employees_Data[[#This Row],[Last Name]])</f>
        <v>Muhamad Ayman</v>
      </c>
      <c r="B546" s="63">
        <v>2</v>
      </c>
      <c r="C546" s="54">
        <v>0</v>
      </c>
      <c r="D546" s="54" t="str">
        <f>IFERROR(IF(OR(Attendance_Warning[[#This Row],[Sick Leaves]]&gt;3,Attendance_Warning[[#This Row],[Unpaid Leaves]]&gt;3),"Warning","OK"),"Not Found")</f>
        <v>OK</v>
      </c>
    </row>
    <row r="547" spans="1:4" x14ac:dyDescent="0.35">
      <c r="A547" s="40" t="str">
        <f>_xlfn.TEXTJOIN(" ",TRUE,Employees_Data[[#This Row],[First Name]],Employees_Data[[#This Row],[Last Name]])</f>
        <v>Ranim Earabi</v>
      </c>
      <c r="B547" s="64">
        <v>0</v>
      </c>
      <c r="C547" s="56">
        <v>0</v>
      </c>
      <c r="D547" s="56" t="str">
        <f>IFERROR(IF(OR(Attendance_Warning[[#This Row],[Sick Leaves]]&gt;3,Attendance_Warning[[#This Row],[Unpaid Leaves]]&gt;3),"Warning","OK"),"Not Found")</f>
        <v>OK</v>
      </c>
    </row>
    <row r="548" spans="1:4" x14ac:dyDescent="0.35">
      <c r="A548" s="36" t="str">
        <f>_xlfn.TEXTJOIN(" ",TRUE,Employees_Data[[#This Row],[First Name]],Employees_Data[[#This Row],[Last Name]])</f>
        <v>Amani Altujjar</v>
      </c>
      <c r="B548" s="63">
        <v>0</v>
      </c>
      <c r="C548" s="54">
        <v>1</v>
      </c>
      <c r="D548" s="54" t="str">
        <f>IFERROR(IF(OR(Attendance_Warning[[#This Row],[Sick Leaves]]&gt;3,Attendance_Warning[[#This Row],[Unpaid Leaves]]&gt;3),"Warning","OK"),"Not Found")</f>
        <v>OK</v>
      </c>
    </row>
    <row r="549" spans="1:4" x14ac:dyDescent="0.35">
      <c r="A549" s="40" t="str">
        <f>_xlfn.TEXTJOIN(" ",TRUE,Employees_Data[[#This Row],[First Name]],Employees_Data[[#This Row],[Last Name]])</f>
        <v>Muhamad Rashid</v>
      </c>
      <c r="B549" s="64">
        <v>0</v>
      </c>
      <c r="C549" s="56">
        <v>1</v>
      </c>
      <c r="D549" s="56" t="str">
        <f>IFERROR(IF(OR(Attendance_Warning[[#This Row],[Sick Leaves]]&gt;3,Attendance_Warning[[#This Row],[Unpaid Leaves]]&gt;3),"Warning","OK"),"Not Found")</f>
        <v>OK</v>
      </c>
    </row>
    <row r="550" spans="1:4" x14ac:dyDescent="0.35">
      <c r="A550" s="36" t="str">
        <f>_xlfn.TEXTJOIN(" ",TRUE,Employees_Data[[#This Row],[First Name]],Employees_Data[[#This Row],[Last Name]])</f>
        <v>Amin Hamid</v>
      </c>
      <c r="B550" s="63">
        <v>4</v>
      </c>
      <c r="C550" s="54">
        <v>0</v>
      </c>
      <c r="D550" s="54" t="str">
        <f>IFERROR(IF(OR(Attendance_Warning[[#This Row],[Sick Leaves]]&gt;3,Attendance_Warning[[#This Row],[Unpaid Leaves]]&gt;3),"Warning","OK"),"Not Found")</f>
        <v>Warning</v>
      </c>
    </row>
    <row r="551" spans="1:4" x14ac:dyDescent="0.35">
      <c r="A551" s="40" t="str">
        <f>_xlfn.TEXTJOIN(" ",TRUE,Employees_Data[[#This Row],[First Name]],Employees_Data[[#This Row],[Last Name]])</f>
        <v>Khalid Jameah</v>
      </c>
      <c r="B551" s="64">
        <v>1</v>
      </c>
      <c r="C551" s="56">
        <v>5</v>
      </c>
      <c r="D551" s="56" t="str">
        <f>IFERROR(IF(OR(Attendance_Warning[[#This Row],[Sick Leaves]]&gt;3,Attendance_Warning[[#This Row],[Unpaid Leaves]]&gt;3),"Warning","OK"),"Not Found")</f>
        <v>Warning</v>
      </c>
    </row>
    <row r="552" spans="1:4" x14ac:dyDescent="0.35">
      <c r="A552" s="36" t="str">
        <f>_xlfn.TEXTJOIN(" ",TRUE,Employees_Data[[#This Row],[First Name]],Employees_Data[[#This Row],[Last Name]])</f>
        <v>Fahd Shaykh</v>
      </c>
      <c r="B552" s="63">
        <v>4</v>
      </c>
      <c r="C552" s="54">
        <v>0</v>
      </c>
      <c r="D552" s="54" t="str">
        <f>IFERROR(IF(OR(Attendance_Warning[[#This Row],[Sick Leaves]]&gt;3,Attendance_Warning[[#This Row],[Unpaid Leaves]]&gt;3),"Warning","OK"),"Not Found")</f>
        <v>Warning</v>
      </c>
    </row>
    <row r="553" spans="1:4" x14ac:dyDescent="0.35">
      <c r="A553" s="40" t="str">
        <f>_xlfn.TEXTJOIN(" ",TRUE,Employees_Data[[#This Row],[First Name]],Employees_Data[[#This Row],[Last Name]])</f>
        <v>Lilas Kashik</v>
      </c>
      <c r="B553" s="64">
        <v>1</v>
      </c>
      <c r="C553" s="56">
        <v>0</v>
      </c>
      <c r="D553" s="56" t="str">
        <f>IFERROR(IF(OR(Attendance_Warning[[#This Row],[Sick Leaves]]&gt;3,Attendance_Warning[[#This Row],[Unpaid Leaves]]&gt;3),"Warning","OK"),"Not Found")</f>
        <v>OK</v>
      </c>
    </row>
    <row r="554" spans="1:4" x14ac:dyDescent="0.35">
      <c r="A554" s="36" t="str">
        <f>_xlfn.TEXTJOIN(" ",TRUE,Employees_Data[[#This Row],[First Name]],Employees_Data[[#This Row],[Last Name]])</f>
        <v>Fatima Hasan</v>
      </c>
      <c r="B554" s="63">
        <v>2</v>
      </c>
      <c r="C554" s="54">
        <v>0</v>
      </c>
      <c r="D554" s="54" t="str">
        <f>IFERROR(IF(OR(Attendance_Warning[[#This Row],[Sick Leaves]]&gt;3,Attendance_Warning[[#This Row],[Unpaid Leaves]]&gt;3),"Warning","OK"),"Not Found")</f>
        <v>OK</v>
      </c>
    </row>
    <row r="555" spans="1:4" x14ac:dyDescent="0.35">
      <c r="A555" s="40" t="str">
        <f>_xlfn.TEXTJOIN(" ",TRUE,Employees_Data[[#This Row],[First Name]],Employees_Data[[#This Row],[Last Name]])</f>
        <v>Diea Dakhal</v>
      </c>
      <c r="B555" s="64">
        <v>0</v>
      </c>
      <c r="C555" s="56">
        <v>0</v>
      </c>
      <c r="D555" s="56" t="str">
        <f>IFERROR(IF(OR(Attendance_Warning[[#This Row],[Sick Leaves]]&gt;3,Attendance_Warning[[#This Row],[Unpaid Leaves]]&gt;3),"Warning","OK"),"Not Found")</f>
        <v>OK</v>
      </c>
    </row>
    <row r="556" spans="1:4" x14ac:dyDescent="0.35">
      <c r="A556" s="36" t="str">
        <f>_xlfn.TEXTJOIN(" ",TRUE,Employees_Data[[#This Row],[First Name]],Employees_Data[[#This Row],[Last Name]])</f>
        <v>Amir Karishati</v>
      </c>
      <c r="B556" s="63">
        <v>0</v>
      </c>
      <c r="C556" s="54">
        <v>4</v>
      </c>
      <c r="D556" s="54" t="str">
        <f>IFERROR(IF(OR(Attendance_Warning[[#This Row],[Sick Leaves]]&gt;3,Attendance_Warning[[#This Row],[Unpaid Leaves]]&gt;3),"Warning","OK"),"Not Found")</f>
        <v>Warning</v>
      </c>
    </row>
    <row r="557" spans="1:4" x14ac:dyDescent="0.35">
      <c r="A557" s="40" t="str">
        <f>_xlfn.TEXTJOIN(" ",TRUE,Employees_Data[[#This Row],[First Name]],Employees_Data[[#This Row],[Last Name]])</f>
        <v>Madlin Alsaed</v>
      </c>
      <c r="B557" s="64">
        <v>1</v>
      </c>
      <c r="C557" s="56">
        <v>4</v>
      </c>
      <c r="D557" s="56" t="str">
        <f>IFERROR(IF(OR(Attendance_Warning[[#This Row],[Sick Leaves]]&gt;3,Attendance_Warning[[#This Row],[Unpaid Leaves]]&gt;3),"Warning","OK"),"Not Found")</f>
        <v>Warning</v>
      </c>
    </row>
    <row r="558" spans="1:4" x14ac:dyDescent="0.35">
      <c r="A558" s="36" t="str">
        <f>_xlfn.TEXTJOIN(" ",TRUE,Employees_Data[[#This Row],[First Name]],Employees_Data[[#This Row],[Last Name]])</f>
        <v>Adnan Aleaqla</v>
      </c>
      <c r="B558" s="63">
        <v>0</v>
      </c>
      <c r="C558" s="54">
        <v>0</v>
      </c>
      <c r="D558" s="54" t="str">
        <f>IFERROR(IF(OR(Attendance_Warning[[#This Row],[Sick Leaves]]&gt;3,Attendance_Warning[[#This Row],[Unpaid Leaves]]&gt;3),"Warning","OK"),"Not Found")</f>
        <v>OK</v>
      </c>
    </row>
    <row r="559" spans="1:4" x14ac:dyDescent="0.35">
      <c r="A559" s="40" t="str">
        <f>_xlfn.TEXTJOIN(" ",TRUE,Employees_Data[[#This Row],[First Name]],Employees_Data[[#This Row],[Last Name]])</f>
        <v>Muhamad Eursaly</v>
      </c>
      <c r="B559" s="64">
        <v>5</v>
      </c>
      <c r="C559" s="56">
        <v>5</v>
      </c>
      <c r="D559" s="56" t="str">
        <f>IFERROR(IF(OR(Attendance_Warning[[#This Row],[Sick Leaves]]&gt;3,Attendance_Warning[[#This Row],[Unpaid Leaves]]&gt;3),"Warning","OK"),"Not Found")</f>
        <v>Warning</v>
      </c>
    </row>
    <row r="560" spans="1:4" x14ac:dyDescent="0.35">
      <c r="A560" s="36" t="str">
        <f>_xlfn.TEXTJOIN(" ",TRUE,Employees_Data[[#This Row],[First Name]],Employees_Data[[#This Row],[Last Name]])</f>
        <v>Ranya Alaishhab</v>
      </c>
      <c r="B560" s="63">
        <v>0</v>
      </c>
      <c r="C560" s="54">
        <v>0</v>
      </c>
      <c r="D560" s="54" t="str">
        <f>IFERROR(IF(OR(Attendance_Warning[[#This Row],[Sick Leaves]]&gt;3,Attendance_Warning[[#This Row],[Unpaid Leaves]]&gt;3),"Warning","OK"),"Not Found")</f>
        <v>OK</v>
      </c>
    </row>
    <row r="561" spans="1:4" x14ac:dyDescent="0.35">
      <c r="A561" s="40" t="str">
        <f>_xlfn.TEXTJOIN(" ",TRUE,Employees_Data[[#This Row],[First Name]],Employees_Data[[#This Row],[Last Name]])</f>
        <v>Rulaa Shannar</v>
      </c>
      <c r="B561" s="64">
        <v>0</v>
      </c>
      <c r="C561" s="56">
        <v>0</v>
      </c>
      <c r="D561" s="56" t="str">
        <f>IFERROR(IF(OR(Attendance_Warning[[#This Row],[Sick Leaves]]&gt;3,Attendance_Warning[[#This Row],[Unpaid Leaves]]&gt;3),"Warning","OK"),"Not Found")</f>
        <v>OK</v>
      </c>
    </row>
    <row r="562" spans="1:4" x14ac:dyDescent="0.35">
      <c r="A562" s="36" t="str">
        <f>_xlfn.TEXTJOIN(" ",TRUE,Employees_Data[[#This Row],[First Name]],Employees_Data[[#This Row],[Last Name]])</f>
        <v>Aynas Alhiwat</v>
      </c>
      <c r="B562" s="63">
        <v>1</v>
      </c>
      <c r="C562" s="54">
        <v>0</v>
      </c>
      <c r="D562" s="54" t="str">
        <f>IFERROR(IF(OR(Attendance_Warning[[#This Row],[Sick Leaves]]&gt;3,Attendance_Warning[[#This Row],[Unpaid Leaves]]&gt;3),"Warning","OK"),"Not Found")</f>
        <v>OK</v>
      </c>
    </row>
    <row r="563" spans="1:4" x14ac:dyDescent="0.35">
      <c r="A563" s="40" t="str">
        <f>_xlfn.TEXTJOIN(" ",TRUE,Employees_Data[[#This Row],[First Name]],Employees_Data[[#This Row],[Last Name]])</f>
        <v>Sara Tabanaj</v>
      </c>
      <c r="B563" s="64">
        <v>2</v>
      </c>
      <c r="C563" s="56">
        <v>0</v>
      </c>
      <c r="D563" s="56" t="str">
        <f>IFERROR(IF(OR(Attendance_Warning[[#This Row],[Sick Leaves]]&gt;3,Attendance_Warning[[#This Row],[Unpaid Leaves]]&gt;3),"Warning","OK"),"Not Found")</f>
        <v>OK</v>
      </c>
    </row>
    <row r="564" spans="1:4" x14ac:dyDescent="0.35">
      <c r="A564" s="36" t="str">
        <f>_xlfn.TEXTJOIN(" ",TRUE,Employees_Data[[#This Row],[First Name]],Employees_Data[[#This Row],[Last Name]])</f>
        <v>Abd Allah Aldahan</v>
      </c>
      <c r="B564" s="63">
        <v>6</v>
      </c>
      <c r="C564" s="54">
        <v>1</v>
      </c>
      <c r="D564" s="54" t="str">
        <f>IFERROR(IF(OR(Attendance_Warning[[#This Row],[Sick Leaves]]&gt;3,Attendance_Warning[[#This Row],[Unpaid Leaves]]&gt;3),"Warning","OK"),"Not Found")</f>
        <v>Warning</v>
      </c>
    </row>
    <row r="565" spans="1:4" x14ac:dyDescent="0.35">
      <c r="A565" s="40" t="str">
        <f>_xlfn.TEXTJOIN(" ",TRUE,Employees_Data[[#This Row],[First Name]],Employees_Data[[#This Row],[Last Name]])</f>
        <v>Muhamad Ramzi</v>
      </c>
      <c r="B565" s="64">
        <v>1</v>
      </c>
      <c r="C565" s="56">
        <v>0</v>
      </c>
      <c r="D565" s="56" t="str">
        <f>IFERROR(IF(OR(Attendance_Warning[[#This Row],[Sick Leaves]]&gt;3,Attendance_Warning[[#This Row],[Unpaid Leaves]]&gt;3),"Warning","OK"),"Not Found")</f>
        <v>OK</v>
      </c>
    </row>
    <row r="566" spans="1:4" x14ac:dyDescent="0.35">
      <c r="A566" s="36" t="str">
        <f>_xlfn.TEXTJOIN(" ",TRUE,Employees_Data[[#This Row],[First Name]],Employees_Data[[#This Row],[Last Name]])</f>
        <v>Jan Mikayiylian</v>
      </c>
      <c r="B566" s="63">
        <v>6</v>
      </c>
      <c r="C566" s="54">
        <v>0</v>
      </c>
      <c r="D566" s="54" t="str">
        <f>IFERROR(IF(OR(Attendance_Warning[[#This Row],[Sick Leaves]]&gt;3,Attendance_Warning[[#This Row],[Unpaid Leaves]]&gt;3),"Warning","OK"),"Not Found")</f>
        <v>Warning</v>
      </c>
    </row>
    <row r="567" spans="1:4" x14ac:dyDescent="0.35">
      <c r="A567" s="40" t="str">
        <f>_xlfn.TEXTJOIN(" ",TRUE,Employees_Data[[#This Row],[First Name]],Employees_Data[[#This Row],[Last Name]])</f>
        <v>Almuthanaa Alsaediu</v>
      </c>
      <c r="B567" s="64">
        <v>0</v>
      </c>
      <c r="C567" s="56">
        <v>0</v>
      </c>
      <c r="D567" s="56" t="str">
        <f>IFERROR(IF(OR(Attendance_Warning[[#This Row],[Sick Leaves]]&gt;3,Attendance_Warning[[#This Row],[Unpaid Leaves]]&gt;3),"Warning","OK"),"Not Found")</f>
        <v>OK</v>
      </c>
    </row>
    <row r="568" spans="1:4" x14ac:dyDescent="0.35">
      <c r="A568" s="36" t="str">
        <f>_xlfn.TEXTJOIN(" ",TRUE,Employees_Data[[#This Row],[First Name]],Employees_Data[[#This Row],[Last Name]])</f>
        <v>Emad Dulul</v>
      </c>
      <c r="B568" s="63">
        <v>0</v>
      </c>
      <c r="C568" s="54">
        <v>0</v>
      </c>
      <c r="D568" s="54" t="str">
        <f>IFERROR(IF(OR(Attendance_Warning[[#This Row],[Sick Leaves]]&gt;3,Attendance_Warning[[#This Row],[Unpaid Leaves]]&gt;3),"Warning","OK"),"Not Found")</f>
        <v>OK</v>
      </c>
    </row>
    <row r="569" spans="1:4" x14ac:dyDescent="0.35">
      <c r="A569" s="40" t="str">
        <f>_xlfn.TEXTJOIN(" ",TRUE,Employees_Data[[#This Row],[First Name]],Employees_Data[[#This Row],[Last Name]])</f>
        <v>Sarah Haydar</v>
      </c>
      <c r="B569" s="64">
        <v>3</v>
      </c>
      <c r="C569" s="56">
        <v>0</v>
      </c>
      <c r="D569" s="56" t="str">
        <f>IFERROR(IF(OR(Attendance_Warning[[#This Row],[Sick Leaves]]&gt;3,Attendance_Warning[[#This Row],[Unpaid Leaves]]&gt;3),"Warning","OK"),"Not Found")</f>
        <v>OK</v>
      </c>
    </row>
    <row r="570" spans="1:4" x14ac:dyDescent="0.35">
      <c r="A570" s="36" t="str">
        <f>_xlfn.TEXTJOIN(" ",TRUE,Employees_Data[[#This Row],[First Name]],Employees_Data[[#This Row],[Last Name]])</f>
        <v>Abdalkarim Shueayb</v>
      </c>
      <c r="B570" s="63">
        <v>5</v>
      </c>
      <c r="C570" s="54">
        <v>0</v>
      </c>
      <c r="D570" s="54" t="str">
        <f>IFERROR(IF(OR(Attendance_Warning[[#This Row],[Sick Leaves]]&gt;3,Attendance_Warning[[#This Row],[Unpaid Leaves]]&gt;3),"Warning","OK"),"Not Found")</f>
        <v>Warning</v>
      </c>
    </row>
    <row r="571" spans="1:4" x14ac:dyDescent="0.35">
      <c r="A571" s="40" t="str">
        <f>_xlfn.TEXTJOIN(" ",TRUE,Employees_Data[[#This Row],[First Name]],Employees_Data[[#This Row],[Last Name]])</f>
        <v>Muhamad Khayr</v>
      </c>
      <c r="B571" s="64">
        <v>0</v>
      </c>
      <c r="C571" s="56">
        <v>0</v>
      </c>
      <c r="D571" s="56" t="str">
        <f>IFERROR(IF(OR(Attendance_Warning[[#This Row],[Sick Leaves]]&gt;3,Attendance_Warning[[#This Row],[Unpaid Leaves]]&gt;3),"Warning","OK"),"Not Found")</f>
        <v>OK</v>
      </c>
    </row>
    <row r="572" spans="1:4" x14ac:dyDescent="0.35">
      <c r="A572" s="36" t="str">
        <f>_xlfn.TEXTJOIN(" ",TRUE,Employees_Data[[#This Row],[First Name]],Employees_Data[[#This Row],[Last Name]])</f>
        <v>Shadi Qitan</v>
      </c>
      <c r="B572" s="63">
        <v>0</v>
      </c>
      <c r="C572" s="54">
        <v>1</v>
      </c>
      <c r="D572" s="54" t="str">
        <f>IFERROR(IF(OR(Attendance_Warning[[#This Row],[Sick Leaves]]&gt;3,Attendance_Warning[[#This Row],[Unpaid Leaves]]&gt;3),"Warning","OK"),"Not Found")</f>
        <v>OK</v>
      </c>
    </row>
    <row r="573" spans="1:4" x14ac:dyDescent="0.35">
      <c r="A573" s="40" t="str">
        <f>_xlfn.TEXTJOIN(" ",TRUE,Employees_Data[[#This Row],[First Name]],Employees_Data[[#This Row],[Last Name]])</f>
        <v>Muhamad Rajab</v>
      </c>
      <c r="B573" s="64">
        <v>0</v>
      </c>
      <c r="C573" s="56">
        <v>0</v>
      </c>
      <c r="D573" s="56" t="str">
        <f>IFERROR(IF(OR(Attendance_Warning[[#This Row],[Sick Leaves]]&gt;3,Attendance_Warning[[#This Row],[Unpaid Leaves]]&gt;3),"Warning","OK"),"Not Found")</f>
        <v>OK</v>
      </c>
    </row>
    <row r="574" spans="1:4" x14ac:dyDescent="0.35">
      <c r="A574" s="36" t="str">
        <f>_xlfn.TEXTJOIN(" ",TRUE,Employees_Data[[#This Row],[First Name]],Employees_Data[[#This Row],[Last Name]])</f>
        <v>Khalid Alkhawam</v>
      </c>
      <c r="B574" s="63">
        <v>0</v>
      </c>
      <c r="C574" s="54">
        <v>0</v>
      </c>
      <c r="D574" s="54" t="str">
        <f>IFERROR(IF(OR(Attendance_Warning[[#This Row],[Sick Leaves]]&gt;3,Attendance_Warning[[#This Row],[Unpaid Leaves]]&gt;3),"Warning","OK"),"Not Found")</f>
        <v>OK</v>
      </c>
    </row>
    <row r="575" spans="1:4" x14ac:dyDescent="0.35">
      <c r="A575" s="40" t="str">
        <f>_xlfn.TEXTJOIN(" ",TRUE,Employees_Data[[#This Row],[First Name]],Employees_Data[[#This Row],[Last Name]])</f>
        <v>Muhamad Asamh</v>
      </c>
      <c r="B575" s="64">
        <v>2</v>
      </c>
      <c r="C575" s="56">
        <v>2</v>
      </c>
      <c r="D575" s="56" t="str">
        <f>IFERROR(IF(OR(Attendance_Warning[[#This Row],[Sick Leaves]]&gt;3,Attendance_Warning[[#This Row],[Unpaid Leaves]]&gt;3),"Warning","OK"),"Not Found")</f>
        <v>OK</v>
      </c>
    </row>
    <row r="576" spans="1:4" x14ac:dyDescent="0.35">
      <c r="A576" s="36" t="str">
        <f>_xlfn.TEXTJOIN(" ",TRUE,Employees_Data[[#This Row],[First Name]],Employees_Data[[#This Row],[Last Name]])</f>
        <v>Alaa Alyusif</v>
      </c>
      <c r="B576" s="63">
        <v>2</v>
      </c>
      <c r="C576" s="54">
        <v>0</v>
      </c>
      <c r="D576" s="54" t="str">
        <f>IFERROR(IF(OR(Attendance_Warning[[#This Row],[Sick Leaves]]&gt;3,Attendance_Warning[[#This Row],[Unpaid Leaves]]&gt;3),"Warning","OK"),"Not Found")</f>
        <v>OK</v>
      </c>
    </row>
    <row r="577" spans="1:4" x14ac:dyDescent="0.35">
      <c r="A577" s="40" t="str">
        <f>_xlfn.TEXTJOIN(" ",TRUE,Employees_Data[[#This Row],[First Name]],Employees_Data[[#This Row],[Last Name]])</f>
        <v>Asym Aleaqqad</v>
      </c>
      <c r="B577" s="64">
        <v>3</v>
      </c>
      <c r="C577" s="56">
        <v>6</v>
      </c>
      <c r="D577" s="56" t="str">
        <f>IFERROR(IF(OR(Attendance_Warning[[#This Row],[Sick Leaves]]&gt;3,Attendance_Warning[[#This Row],[Unpaid Leaves]]&gt;3),"Warning","OK"),"Not Found")</f>
        <v>Warning</v>
      </c>
    </row>
    <row r="578" spans="1:4" x14ac:dyDescent="0.35">
      <c r="A578" s="36" t="str">
        <f>_xlfn.TEXTJOIN(" ",TRUE,Employees_Data[[#This Row],[First Name]],Employees_Data[[#This Row],[Last Name]])</f>
        <v>Ahmad Dahman</v>
      </c>
      <c r="B578" s="63">
        <v>0</v>
      </c>
      <c r="C578" s="54">
        <v>4</v>
      </c>
      <c r="D578" s="54" t="str">
        <f>IFERROR(IF(OR(Attendance_Warning[[#This Row],[Sick Leaves]]&gt;3,Attendance_Warning[[#This Row],[Unpaid Leaves]]&gt;3),"Warning","OK"),"Not Found")</f>
        <v>Warning</v>
      </c>
    </row>
    <row r="579" spans="1:4" x14ac:dyDescent="0.35">
      <c r="A579" s="40" t="str">
        <f>_xlfn.TEXTJOIN(" ",TRUE,Employees_Data[[#This Row],[First Name]],Employees_Data[[#This Row],[Last Name]])</f>
        <v>Oqba Alqintar</v>
      </c>
      <c r="B579" s="64">
        <v>1</v>
      </c>
      <c r="C579" s="56">
        <v>0</v>
      </c>
      <c r="D579" s="56" t="str">
        <f>IFERROR(IF(OR(Attendance_Warning[[#This Row],[Sick Leaves]]&gt;3,Attendance_Warning[[#This Row],[Unpaid Leaves]]&gt;3),"Warning","OK"),"Not Found")</f>
        <v>OK</v>
      </c>
    </row>
    <row r="580" spans="1:4" x14ac:dyDescent="0.35">
      <c r="A580" s="36" t="str">
        <f>_xlfn.TEXTJOIN(" ",TRUE,Employees_Data[[#This Row],[First Name]],Employees_Data[[#This Row],[Last Name]])</f>
        <v>Rahaf Laylanaan</v>
      </c>
      <c r="B580" s="63">
        <v>0</v>
      </c>
      <c r="C580" s="54">
        <v>3</v>
      </c>
      <c r="D580" s="54" t="str">
        <f>IFERROR(IF(OR(Attendance_Warning[[#This Row],[Sick Leaves]]&gt;3,Attendance_Warning[[#This Row],[Unpaid Leaves]]&gt;3),"Warning","OK"),"Not Found")</f>
        <v>OK</v>
      </c>
    </row>
    <row r="581" spans="1:4" x14ac:dyDescent="0.35">
      <c r="A581" s="40" t="str">
        <f>_xlfn.TEXTJOIN(" ",TRUE,Employees_Data[[#This Row],[First Name]],Employees_Data[[#This Row],[Last Name]])</f>
        <v>Muhamad Rajab</v>
      </c>
      <c r="B581" s="64">
        <v>0</v>
      </c>
      <c r="C581" s="56">
        <v>0</v>
      </c>
      <c r="D581" s="56" t="str">
        <f>IFERROR(IF(OR(Attendance_Warning[[#This Row],[Sick Leaves]]&gt;3,Attendance_Warning[[#This Row],[Unpaid Leaves]]&gt;3),"Warning","OK"),"Not Found")</f>
        <v>OK</v>
      </c>
    </row>
    <row r="582" spans="1:4" x14ac:dyDescent="0.35">
      <c r="A582" s="36" t="str">
        <f>_xlfn.TEXTJOIN(" ",TRUE,Employees_Data[[#This Row],[First Name]],Employees_Data[[#This Row],[Last Name]])</f>
        <v>Ramadan Muhii Aldiyn</v>
      </c>
      <c r="B582" s="63">
        <v>1</v>
      </c>
      <c r="C582" s="54">
        <v>3</v>
      </c>
      <c r="D582" s="54" t="str">
        <f>IFERROR(IF(OR(Attendance_Warning[[#This Row],[Sick Leaves]]&gt;3,Attendance_Warning[[#This Row],[Unpaid Leaves]]&gt;3),"Warning","OK"),"Not Found")</f>
        <v>OK</v>
      </c>
    </row>
    <row r="583" spans="1:4" x14ac:dyDescent="0.35">
      <c r="A583" s="40" t="str">
        <f>_xlfn.TEXTJOIN(" ",TRUE,Employees_Data[[#This Row],[First Name]],Employees_Data[[#This Row],[Last Name]])</f>
        <v>Zaynab Eirat</v>
      </c>
      <c r="B583" s="64">
        <v>5</v>
      </c>
      <c r="C583" s="56">
        <v>0</v>
      </c>
      <c r="D583" s="56" t="str">
        <f>IFERROR(IF(OR(Attendance_Warning[[#This Row],[Sick Leaves]]&gt;3,Attendance_Warning[[#This Row],[Unpaid Leaves]]&gt;3),"Warning","OK"),"Not Found")</f>
        <v>Warning</v>
      </c>
    </row>
    <row r="584" spans="1:4" x14ac:dyDescent="0.35">
      <c r="A584" s="36" t="str">
        <f>_xlfn.TEXTJOIN(" ",TRUE,Employees_Data[[#This Row],[First Name]],Employees_Data[[#This Row],[Last Name]])</f>
        <v>Salah Aldiyn Altibae</v>
      </c>
      <c r="B584" s="63">
        <v>4</v>
      </c>
      <c r="C584" s="54">
        <v>0</v>
      </c>
      <c r="D584" s="54" t="str">
        <f>IFERROR(IF(OR(Attendance_Warning[[#This Row],[Sick Leaves]]&gt;3,Attendance_Warning[[#This Row],[Unpaid Leaves]]&gt;3),"Warning","OK"),"Not Found")</f>
        <v>Warning</v>
      </c>
    </row>
    <row r="585" spans="1:4" x14ac:dyDescent="0.35">
      <c r="A585" s="40" t="str">
        <f>_xlfn.TEXTJOIN(" ",TRUE,Employees_Data[[#This Row],[First Name]],Employees_Data[[#This Row],[Last Name]])</f>
        <v>Faras Alghandur</v>
      </c>
      <c r="B585" s="64">
        <v>0</v>
      </c>
      <c r="C585" s="56">
        <v>0</v>
      </c>
      <c r="D585" s="56" t="str">
        <f>IFERROR(IF(OR(Attendance_Warning[[#This Row],[Sick Leaves]]&gt;3,Attendance_Warning[[#This Row],[Unpaid Leaves]]&gt;3),"Warning","OK"),"Not Found")</f>
        <v>OK</v>
      </c>
    </row>
    <row r="586" spans="1:4" x14ac:dyDescent="0.35">
      <c r="A586" s="36" t="str">
        <f>_xlfn.TEXTJOIN(" ",TRUE,Employees_Data[[#This Row],[First Name]],Employees_Data[[#This Row],[Last Name]])</f>
        <v>Husam Tamim</v>
      </c>
      <c r="B586" s="63">
        <v>1</v>
      </c>
      <c r="C586" s="54">
        <v>0</v>
      </c>
      <c r="D586" s="54" t="str">
        <f>IFERROR(IF(OR(Attendance_Warning[[#This Row],[Sick Leaves]]&gt;3,Attendance_Warning[[#This Row],[Unpaid Leaves]]&gt;3),"Warning","OK"),"Not Found")</f>
        <v>OK</v>
      </c>
    </row>
    <row r="587" spans="1:4" x14ac:dyDescent="0.35">
      <c r="A587" s="40" t="str">
        <f>_xlfn.TEXTJOIN(" ",TRUE,Employees_Data[[#This Row],[First Name]],Employees_Data[[#This Row],[Last Name]])</f>
        <v>Ayat Byd</v>
      </c>
      <c r="B587" s="64">
        <v>3</v>
      </c>
      <c r="C587" s="56">
        <v>0</v>
      </c>
      <c r="D587" s="56" t="str">
        <f>IFERROR(IF(OR(Attendance_Warning[[#This Row],[Sick Leaves]]&gt;3,Attendance_Warning[[#This Row],[Unpaid Leaves]]&gt;3),"Warning","OK"),"Not Found")</f>
        <v>OK</v>
      </c>
    </row>
    <row r="588" spans="1:4" x14ac:dyDescent="0.35">
      <c r="A588" s="36" t="str">
        <f>_xlfn.TEXTJOIN(" ",TRUE,Employees_Data[[#This Row],[First Name]],Employees_Data[[#This Row],[Last Name]])</f>
        <v>Rima Daly</v>
      </c>
      <c r="B588" s="63">
        <v>0</v>
      </c>
      <c r="C588" s="54">
        <v>0</v>
      </c>
      <c r="D588" s="54" t="str">
        <f>IFERROR(IF(OR(Attendance_Warning[[#This Row],[Sick Leaves]]&gt;3,Attendance_Warning[[#This Row],[Unpaid Leaves]]&gt;3),"Warning","OK"),"Not Found")</f>
        <v>OK</v>
      </c>
    </row>
    <row r="589" spans="1:4" x14ac:dyDescent="0.35">
      <c r="A589" s="40" t="str">
        <f>_xlfn.TEXTJOIN(" ",TRUE,Employees_Data[[#This Row],[First Name]],Employees_Data[[#This Row],[Last Name]])</f>
        <v>Muhamad Almunajid</v>
      </c>
      <c r="B589" s="64">
        <v>0</v>
      </c>
      <c r="C589" s="56">
        <v>3</v>
      </c>
      <c r="D589" s="56" t="str">
        <f>IFERROR(IF(OR(Attendance_Warning[[#This Row],[Sick Leaves]]&gt;3,Attendance_Warning[[#This Row],[Unpaid Leaves]]&gt;3),"Warning","OK"),"Not Found")</f>
        <v>OK</v>
      </c>
    </row>
    <row r="590" spans="1:4" x14ac:dyDescent="0.35">
      <c r="A590" s="36" t="str">
        <f>_xlfn.TEXTJOIN(" ",TRUE,Employees_Data[[#This Row],[First Name]],Employees_Data[[#This Row],[Last Name]])</f>
        <v>Eynas Muhamad</v>
      </c>
      <c r="B590" s="63">
        <v>0</v>
      </c>
      <c r="C590" s="54">
        <v>0</v>
      </c>
      <c r="D590" s="54" t="str">
        <f>IFERROR(IF(OR(Attendance_Warning[[#This Row],[Sick Leaves]]&gt;3,Attendance_Warning[[#This Row],[Unpaid Leaves]]&gt;3),"Warning","OK"),"Not Found")</f>
        <v>OK</v>
      </c>
    </row>
    <row r="591" spans="1:4" x14ac:dyDescent="0.35">
      <c r="A591" s="40" t="str">
        <f>_xlfn.TEXTJOIN(" ",TRUE,Employees_Data[[#This Row],[First Name]],Employees_Data[[#This Row],[Last Name]])</f>
        <v>Ahmad Ahmid</v>
      </c>
      <c r="B591" s="64">
        <v>1</v>
      </c>
      <c r="C591" s="56">
        <v>0</v>
      </c>
      <c r="D591" s="56" t="str">
        <f>IFERROR(IF(OR(Attendance_Warning[[#This Row],[Sick Leaves]]&gt;3,Attendance_Warning[[#This Row],[Unpaid Leaves]]&gt;3),"Warning","OK"),"Not Found")</f>
        <v>OK</v>
      </c>
    </row>
    <row r="592" spans="1:4" x14ac:dyDescent="0.35">
      <c r="A592" s="36" t="str">
        <f>_xlfn.TEXTJOIN(" ",TRUE,Employees_Data[[#This Row],[First Name]],Employees_Data[[#This Row],[Last Name]])</f>
        <v>Madlin Aljabaei</v>
      </c>
      <c r="B592" s="63">
        <v>2</v>
      </c>
      <c r="C592" s="54">
        <v>5</v>
      </c>
      <c r="D592" s="54" t="str">
        <f>IFERROR(IF(OR(Attendance_Warning[[#This Row],[Sick Leaves]]&gt;3,Attendance_Warning[[#This Row],[Unpaid Leaves]]&gt;3),"Warning","OK"),"Not Found")</f>
        <v>Warning</v>
      </c>
    </row>
    <row r="593" spans="1:4" x14ac:dyDescent="0.35">
      <c r="A593" s="40" t="str">
        <f>_xlfn.TEXTJOIN(" ",TRUE,Employees_Data[[#This Row],[First Name]],Employees_Data[[#This Row],[Last Name]])</f>
        <v>Ali Alqadri</v>
      </c>
      <c r="B593" s="64">
        <v>0</v>
      </c>
      <c r="C593" s="56">
        <v>0</v>
      </c>
      <c r="D593" s="56" t="str">
        <f>IFERROR(IF(OR(Attendance_Warning[[#This Row],[Sick Leaves]]&gt;3,Attendance_Warning[[#This Row],[Unpaid Leaves]]&gt;3),"Warning","OK"),"Not Found")</f>
        <v>OK</v>
      </c>
    </row>
    <row r="594" spans="1:4" x14ac:dyDescent="0.35">
      <c r="A594" s="36" t="str">
        <f>_xlfn.TEXTJOIN(" ",TRUE,Employees_Data[[#This Row],[First Name]],Employees_Data[[#This Row],[Last Name]])</f>
        <v>Muhamad Dib</v>
      </c>
      <c r="B594" s="63">
        <v>0</v>
      </c>
      <c r="C594" s="54">
        <v>0</v>
      </c>
      <c r="D594" s="54" t="str">
        <f>IFERROR(IF(OR(Attendance_Warning[[#This Row],[Sick Leaves]]&gt;3,Attendance_Warning[[#This Row],[Unpaid Leaves]]&gt;3),"Warning","OK"),"Not Found")</f>
        <v>OK</v>
      </c>
    </row>
    <row r="595" spans="1:4" x14ac:dyDescent="0.35">
      <c r="A595" s="40" t="str">
        <f>_xlfn.TEXTJOIN(" ",TRUE,Employees_Data[[#This Row],[First Name]],Employees_Data[[#This Row],[Last Name]])</f>
        <v>Hanan Bradiei</v>
      </c>
      <c r="B595" s="64">
        <v>6</v>
      </c>
      <c r="C595" s="56">
        <v>0</v>
      </c>
      <c r="D595" s="56" t="str">
        <f>IFERROR(IF(OR(Attendance_Warning[[#This Row],[Sick Leaves]]&gt;3,Attendance_Warning[[#This Row],[Unpaid Leaves]]&gt;3),"Warning","OK"),"Not Found")</f>
        <v>Warning</v>
      </c>
    </row>
    <row r="596" spans="1:4" x14ac:dyDescent="0.35">
      <c r="A596" s="36" t="str">
        <f>_xlfn.TEXTJOIN(" ",TRUE,Employees_Data[[#This Row],[First Name]],Employees_Data[[#This Row],[Last Name]])</f>
        <v>Danah Suirkili</v>
      </c>
      <c r="B596" s="63">
        <v>0</v>
      </c>
      <c r="C596" s="54">
        <v>0</v>
      </c>
      <c r="D596" s="54" t="str">
        <f>IFERROR(IF(OR(Attendance_Warning[[#This Row],[Sick Leaves]]&gt;3,Attendance_Warning[[#This Row],[Unpaid Leaves]]&gt;3),"Warning","OK"),"Not Found")</f>
        <v>OK</v>
      </c>
    </row>
    <row r="597" spans="1:4" x14ac:dyDescent="0.35">
      <c r="A597" s="40" t="str">
        <f>_xlfn.TEXTJOIN(" ",TRUE,Employees_Data[[#This Row],[First Name]],Employees_Data[[#This Row],[Last Name]])</f>
        <v>Ghada Darakal</v>
      </c>
      <c r="B597" s="64">
        <v>0</v>
      </c>
      <c r="C597" s="56">
        <v>3</v>
      </c>
      <c r="D597" s="56" t="str">
        <f>IFERROR(IF(OR(Attendance_Warning[[#This Row],[Sick Leaves]]&gt;3,Attendance_Warning[[#This Row],[Unpaid Leaves]]&gt;3),"Warning","OK"),"Not Found")</f>
        <v>OK</v>
      </c>
    </row>
    <row r="598" spans="1:4" x14ac:dyDescent="0.35">
      <c r="A598" s="36" t="str">
        <f>_xlfn.TEXTJOIN(" ",TRUE,Employees_Data[[#This Row],[First Name]],Employees_Data[[#This Row],[Last Name]])</f>
        <v>Mazin Bihtiti</v>
      </c>
      <c r="B598" s="63">
        <v>0</v>
      </c>
      <c r="C598" s="54">
        <v>0</v>
      </c>
      <c r="D598" s="54" t="str">
        <f>IFERROR(IF(OR(Attendance_Warning[[#This Row],[Sick Leaves]]&gt;3,Attendance_Warning[[#This Row],[Unpaid Leaves]]&gt;3),"Warning","OK"),"Not Found")</f>
        <v>OK</v>
      </c>
    </row>
    <row r="599" spans="1:4" x14ac:dyDescent="0.35">
      <c r="A599" s="40" t="str">
        <f>_xlfn.TEXTJOIN(" ",TRUE,Employees_Data[[#This Row],[First Name]],Employees_Data[[#This Row],[Last Name]])</f>
        <v>Ridwan Alshulyan</v>
      </c>
      <c r="B599" s="64">
        <v>0</v>
      </c>
      <c r="C599" s="56">
        <v>0</v>
      </c>
      <c r="D599" s="56" t="str">
        <f>IFERROR(IF(OR(Attendance_Warning[[#This Row],[Sick Leaves]]&gt;3,Attendance_Warning[[#This Row],[Unpaid Leaves]]&gt;3),"Warning","OK"),"Not Found")</f>
        <v>OK</v>
      </c>
    </row>
    <row r="600" spans="1:4" x14ac:dyDescent="0.35">
      <c r="A600" s="36" t="str">
        <f>_xlfn.TEXTJOIN(" ",TRUE,Employees_Data[[#This Row],[First Name]],Employees_Data[[#This Row],[Last Name]])</f>
        <v>Ali Barghaly</v>
      </c>
      <c r="B600" s="63">
        <v>3</v>
      </c>
      <c r="C600" s="54">
        <v>0</v>
      </c>
      <c r="D600" s="54" t="str">
        <f>IFERROR(IF(OR(Attendance_Warning[[#This Row],[Sick Leaves]]&gt;3,Attendance_Warning[[#This Row],[Unpaid Leaves]]&gt;3),"Warning","OK"),"Not Found")</f>
        <v>OK</v>
      </c>
    </row>
    <row r="601" spans="1:4" x14ac:dyDescent="0.35">
      <c r="A601" s="40" t="str">
        <f>_xlfn.TEXTJOIN(" ",TRUE,Employees_Data[[#This Row],[First Name]],Employees_Data[[#This Row],[Last Name]])</f>
        <v>Iad Badran</v>
      </c>
      <c r="B601" s="64">
        <v>6</v>
      </c>
      <c r="C601" s="56">
        <v>5</v>
      </c>
      <c r="D601" s="56" t="str">
        <f>IFERROR(IF(OR(Attendance_Warning[[#This Row],[Sick Leaves]]&gt;3,Attendance_Warning[[#This Row],[Unpaid Leaves]]&gt;3),"Warning","OK"),"Not Found")</f>
        <v>Warning</v>
      </c>
    </row>
    <row r="602" spans="1:4" x14ac:dyDescent="0.35">
      <c r="A602" s="36" t="str">
        <f>_xlfn.TEXTJOIN(" ",TRUE,Employees_Data[[#This Row],[First Name]],Employees_Data[[#This Row],[Last Name]])</f>
        <v>Abdalrhmin Shwk</v>
      </c>
      <c r="B602" s="63">
        <v>0</v>
      </c>
      <c r="C602" s="54">
        <v>0</v>
      </c>
      <c r="D602" s="54" t="str">
        <f>IFERROR(IF(OR(Attendance_Warning[[#This Row],[Sick Leaves]]&gt;3,Attendance_Warning[[#This Row],[Unpaid Leaves]]&gt;3),"Warning","OK"),"Not Found")</f>
        <v>OK</v>
      </c>
    </row>
    <row r="603" spans="1:4" x14ac:dyDescent="0.35">
      <c r="A603" s="40" t="str">
        <f>_xlfn.TEXTJOIN(" ",TRUE,Employees_Data[[#This Row],[First Name]],Employees_Data[[#This Row],[Last Name]])</f>
        <v>Husam Aldiyn</v>
      </c>
      <c r="B603" s="64">
        <v>0</v>
      </c>
      <c r="C603" s="56">
        <v>0</v>
      </c>
      <c r="D603" s="56" t="str">
        <f>IFERROR(IF(OR(Attendance_Warning[[#This Row],[Sick Leaves]]&gt;3,Attendance_Warning[[#This Row],[Unpaid Leaves]]&gt;3),"Warning","OK"),"Not Found")</f>
        <v>OK</v>
      </c>
    </row>
    <row r="604" spans="1:4" x14ac:dyDescent="0.35">
      <c r="A604" s="36" t="str">
        <f>_xlfn.TEXTJOIN(" ",TRUE,Employees_Data[[#This Row],[First Name]],Employees_Data[[#This Row],[Last Name]])</f>
        <v>Ahmad Hamuwdatan</v>
      </c>
      <c r="B604" s="63">
        <v>0</v>
      </c>
      <c r="C604" s="54">
        <v>0</v>
      </c>
      <c r="D604" s="54" t="str">
        <f>IFERROR(IF(OR(Attendance_Warning[[#This Row],[Sick Leaves]]&gt;3,Attendance_Warning[[#This Row],[Unpaid Leaves]]&gt;3),"Warning","OK"),"Not Found")</f>
        <v>OK</v>
      </c>
    </row>
    <row r="605" spans="1:4" x14ac:dyDescent="0.35">
      <c r="A605" s="40" t="str">
        <f>_xlfn.TEXTJOIN(" ",TRUE,Employees_Data[[#This Row],[First Name]],Employees_Data[[#This Row],[Last Name]])</f>
        <v>Ahmad Laylana</v>
      </c>
      <c r="B605" s="64">
        <v>0</v>
      </c>
      <c r="C605" s="56">
        <v>6</v>
      </c>
      <c r="D605" s="56" t="str">
        <f>IFERROR(IF(OR(Attendance_Warning[[#This Row],[Sick Leaves]]&gt;3,Attendance_Warning[[#This Row],[Unpaid Leaves]]&gt;3),"Warning","OK"),"Not Found")</f>
        <v>Warning</v>
      </c>
    </row>
    <row r="606" spans="1:4" x14ac:dyDescent="0.35">
      <c r="A606" s="36" t="str">
        <f>_xlfn.TEXTJOIN(" ",TRUE,Employees_Data[[#This Row],[First Name]],Employees_Data[[#This Row],[Last Name]])</f>
        <v>Shuruq Aljuju</v>
      </c>
      <c r="B606" s="63">
        <v>2</v>
      </c>
      <c r="C606" s="54">
        <v>0</v>
      </c>
      <c r="D606" s="54" t="str">
        <f>IFERROR(IF(OR(Attendance_Warning[[#This Row],[Sick Leaves]]&gt;3,Attendance_Warning[[#This Row],[Unpaid Leaves]]&gt;3),"Warning","OK"),"Not Found")</f>
        <v>OK</v>
      </c>
    </row>
    <row r="607" spans="1:4" x14ac:dyDescent="0.35">
      <c r="A607" s="40" t="str">
        <f>_xlfn.TEXTJOIN(" ",TRUE,Employees_Data[[#This Row],[First Name]],Employees_Data[[#This Row],[Last Name]])</f>
        <v>Muhamad Alshahrur</v>
      </c>
      <c r="B607" s="64">
        <v>0</v>
      </c>
      <c r="C607" s="56">
        <v>0</v>
      </c>
      <c r="D607" s="56" t="str">
        <f>IFERROR(IF(OR(Attendance_Warning[[#This Row],[Sick Leaves]]&gt;3,Attendance_Warning[[#This Row],[Unpaid Leaves]]&gt;3),"Warning","OK"),"Not Found")</f>
        <v>OK</v>
      </c>
    </row>
    <row r="608" spans="1:4" x14ac:dyDescent="0.35">
      <c r="A608" s="36" t="str">
        <f>_xlfn.TEXTJOIN(" ",TRUE,Employees_Data[[#This Row],[First Name]],Employees_Data[[#This Row],[Last Name]])</f>
        <v>Rafif Khalf</v>
      </c>
      <c r="B608" s="63">
        <v>0</v>
      </c>
      <c r="C608" s="54">
        <v>0</v>
      </c>
      <c r="D608" s="54" t="str">
        <f>IFERROR(IF(OR(Attendance_Warning[[#This Row],[Sick Leaves]]&gt;3,Attendance_Warning[[#This Row],[Unpaid Leaves]]&gt;3),"Warning","OK"),"Not Found")</f>
        <v>OK</v>
      </c>
    </row>
    <row r="609" spans="1:4" x14ac:dyDescent="0.35">
      <c r="A609" s="40" t="str">
        <f>_xlfn.TEXTJOIN(" ",TRUE,Employees_Data[[#This Row],[First Name]],Employees_Data[[#This Row],[Last Name]])</f>
        <v>Muhamad Alkhatib</v>
      </c>
      <c r="B609" s="64">
        <v>0</v>
      </c>
      <c r="C609" s="56">
        <v>0</v>
      </c>
      <c r="D609" s="56" t="str">
        <f>IFERROR(IF(OR(Attendance_Warning[[#This Row],[Sick Leaves]]&gt;3,Attendance_Warning[[#This Row],[Unpaid Leaves]]&gt;3),"Warning","OK"),"Not Found")</f>
        <v>OK</v>
      </c>
    </row>
    <row r="610" spans="1:4" x14ac:dyDescent="0.35">
      <c r="A610" s="36" t="str">
        <f>_xlfn.TEXTJOIN(" ",TRUE,Employees_Data[[#This Row],[First Name]],Employees_Data[[#This Row],[Last Name]])</f>
        <v>Muhamad Albarnawi</v>
      </c>
      <c r="B610" s="63">
        <v>6</v>
      </c>
      <c r="C610" s="54">
        <v>0</v>
      </c>
      <c r="D610" s="54" t="str">
        <f>IFERROR(IF(OR(Attendance_Warning[[#This Row],[Sick Leaves]]&gt;3,Attendance_Warning[[#This Row],[Unpaid Leaves]]&gt;3),"Warning","OK"),"Not Found")</f>
        <v>Warning</v>
      </c>
    </row>
    <row r="611" spans="1:4" x14ac:dyDescent="0.35">
      <c r="A611" s="40" t="str">
        <f>_xlfn.TEXTJOIN(" ",TRUE,Employees_Data[[#This Row],[First Name]],Employees_Data[[#This Row],[Last Name]])</f>
        <v>Ali Almiqdad</v>
      </c>
      <c r="B611" s="64">
        <v>0</v>
      </c>
      <c r="C611" s="56">
        <v>0</v>
      </c>
      <c r="D611" s="56" t="str">
        <f>IFERROR(IF(OR(Attendance_Warning[[#This Row],[Sick Leaves]]&gt;3,Attendance_Warning[[#This Row],[Unpaid Leaves]]&gt;3),"Warning","OK"),"Not Found")</f>
        <v>OK</v>
      </c>
    </row>
    <row r="612" spans="1:4" x14ac:dyDescent="0.35">
      <c r="A612" s="36" t="str">
        <f>_xlfn.TEXTJOIN(" ",TRUE,Employees_Data[[#This Row],[First Name]],Employees_Data[[#This Row],[Last Name]])</f>
        <v>Ranya Faris</v>
      </c>
      <c r="B612" s="63">
        <v>0</v>
      </c>
      <c r="C612" s="54">
        <v>0</v>
      </c>
      <c r="D612" s="54" t="str">
        <f>IFERROR(IF(OR(Attendance_Warning[[#This Row],[Sick Leaves]]&gt;3,Attendance_Warning[[#This Row],[Unpaid Leaves]]&gt;3),"Warning","OK"),"Not Found")</f>
        <v>OK</v>
      </c>
    </row>
    <row r="613" spans="1:4" x14ac:dyDescent="0.35">
      <c r="A613" s="40" t="str">
        <f>_xlfn.TEXTJOIN(" ",TRUE,Employees_Data[[#This Row],[First Name]],Employees_Data[[#This Row],[Last Name]])</f>
        <v>Ali Alshaykh</v>
      </c>
      <c r="B613" s="64">
        <v>0</v>
      </c>
      <c r="C613" s="56">
        <v>0</v>
      </c>
      <c r="D613" s="56" t="str">
        <f>IFERROR(IF(OR(Attendance_Warning[[#This Row],[Sick Leaves]]&gt;3,Attendance_Warning[[#This Row],[Unpaid Leaves]]&gt;3),"Warning","OK"),"Not Found")</f>
        <v>OK</v>
      </c>
    </row>
    <row r="614" spans="1:4" x14ac:dyDescent="0.35">
      <c r="A614" s="36" t="str">
        <f>_xlfn.TEXTJOIN(" ",TRUE,Employees_Data[[#This Row],[First Name]],Employees_Data[[#This Row],[Last Name]])</f>
        <v>Iin Kafa</v>
      </c>
      <c r="B614" s="63">
        <v>0</v>
      </c>
      <c r="C614" s="54">
        <v>0</v>
      </c>
      <c r="D614" s="54" t="str">
        <f>IFERROR(IF(OR(Attendance_Warning[[#This Row],[Sick Leaves]]&gt;3,Attendance_Warning[[#This Row],[Unpaid Leaves]]&gt;3),"Warning","OK"),"Not Found")</f>
        <v>OK</v>
      </c>
    </row>
    <row r="615" spans="1:4" x14ac:dyDescent="0.35">
      <c r="A615" s="40" t="str">
        <f>_xlfn.TEXTJOIN(" ",TRUE,Employees_Data[[#This Row],[First Name]],Employees_Data[[#This Row],[Last Name]])</f>
        <v>Muhamad Almaghribi</v>
      </c>
      <c r="B615" s="64">
        <v>0</v>
      </c>
      <c r="C615" s="56">
        <v>0</v>
      </c>
      <c r="D615" s="56" t="str">
        <f>IFERROR(IF(OR(Attendance_Warning[[#This Row],[Sick Leaves]]&gt;3,Attendance_Warning[[#This Row],[Unpaid Leaves]]&gt;3),"Warning","OK"),"Not Found")</f>
        <v>OK</v>
      </c>
    </row>
    <row r="616" spans="1:4" x14ac:dyDescent="0.35">
      <c r="A616" s="36" t="str">
        <f>_xlfn.TEXTJOIN(" ",TRUE,Employees_Data[[#This Row],[First Name]],Employees_Data[[#This Row],[Last Name]])</f>
        <v>Sami Aldrwysh</v>
      </c>
      <c r="B616" s="63">
        <v>0</v>
      </c>
      <c r="C616" s="54">
        <v>0</v>
      </c>
      <c r="D616" s="54" t="str">
        <f>IFERROR(IF(OR(Attendance_Warning[[#This Row],[Sick Leaves]]&gt;3,Attendance_Warning[[#This Row],[Unpaid Leaves]]&gt;3),"Warning","OK"),"Not Found")</f>
        <v>OK</v>
      </c>
    </row>
    <row r="617" spans="1:4" x14ac:dyDescent="0.35">
      <c r="A617" s="40" t="str">
        <f>_xlfn.TEXTJOIN(" ",TRUE,Employees_Data[[#This Row],[First Name]],Employees_Data[[#This Row],[Last Name]])</f>
        <v>Samah Alkhatib</v>
      </c>
      <c r="B617" s="64">
        <v>6</v>
      </c>
      <c r="C617" s="56">
        <v>0</v>
      </c>
      <c r="D617" s="56" t="str">
        <f>IFERROR(IF(OR(Attendance_Warning[[#This Row],[Sick Leaves]]&gt;3,Attendance_Warning[[#This Row],[Unpaid Leaves]]&gt;3),"Warning","OK"),"Not Found")</f>
        <v>Warning</v>
      </c>
    </row>
    <row r="618" spans="1:4" x14ac:dyDescent="0.35">
      <c r="A618" s="36" t="str">
        <f>_xlfn.TEXTJOIN(" ",TRUE,Employees_Data[[#This Row],[First Name]],Employees_Data[[#This Row],[Last Name]])</f>
        <v>Eala Hatim</v>
      </c>
      <c r="B618" s="63">
        <v>0</v>
      </c>
      <c r="C618" s="54">
        <v>0</v>
      </c>
      <c r="D618" s="54" t="str">
        <f>IFERROR(IF(OR(Attendance_Warning[[#This Row],[Sick Leaves]]&gt;3,Attendance_Warning[[#This Row],[Unpaid Leaves]]&gt;3),"Warning","OK"),"Not Found")</f>
        <v>OK</v>
      </c>
    </row>
    <row r="619" spans="1:4" x14ac:dyDescent="0.35">
      <c r="A619" s="40" t="str">
        <f>_xlfn.TEXTJOIN(" ",TRUE,Employees_Data[[#This Row],[First Name]],Employees_Data[[#This Row],[Last Name]])</f>
        <v>Dalia Nahlawi</v>
      </c>
      <c r="B619" s="64">
        <v>6</v>
      </c>
      <c r="C619" s="56">
        <v>0</v>
      </c>
      <c r="D619" s="56" t="str">
        <f>IFERROR(IF(OR(Attendance_Warning[[#This Row],[Sick Leaves]]&gt;3,Attendance_Warning[[#This Row],[Unpaid Leaves]]&gt;3),"Warning","OK"),"Not Found")</f>
        <v>Warning</v>
      </c>
    </row>
    <row r="620" spans="1:4" x14ac:dyDescent="0.35">
      <c r="A620" s="36" t="str">
        <f>_xlfn.TEXTJOIN(" ",TRUE,Employees_Data[[#This Row],[First Name]],Employees_Data[[#This Row],[Last Name]])</f>
        <v>Rabye' Alzrqawy</v>
      </c>
      <c r="B620" s="63">
        <v>1</v>
      </c>
      <c r="C620" s="54">
        <v>0</v>
      </c>
      <c r="D620" s="54" t="str">
        <f>IFERROR(IF(OR(Attendance_Warning[[#This Row],[Sick Leaves]]&gt;3,Attendance_Warning[[#This Row],[Unpaid Leaves]]&gt;3),"Warning","OK"),"Not Found")</f>
        <v>OK</v>
      </c>
    </row>
    <row r="621" spans="1:4" x14ac:dyDescent="0.35">
      <c r="A621" s="40" t="str">
        <f>_xlfn.TEXTJOIN(" ",TRUE,Employees_Data[[#This Row],[First Name]],Employees_Data[[#This Row],[Last Name]])</f>
        <v>Kholoud Huquq</v>
      </c>
      <c r="B621" s="64">
        <v>0</v>
      </c>
      <c r="C621" s="56">
        <v>6</v>
      </c>
      <c r="D621" s="56" t="str">
        <f>IFERROR(IF(OR(Attendance_Warning[[#This Row],[Sick Leaves]]&gt;3,Attendance_Warning[[#This Row],[Unpaid Leaves]]&gt;3),"Warning","OK"),"Not Found")</f>
        <v>Warning</v>
      </c>
    </row>
    <row r="622" spans="1:4" x14ac:dyDescent="0.35">
      <c r="A622" s="36" t="str">
        <f>_xlfn.TEXTJOIN(" ",TRUE,Employees_Data[[#This Row],[First Name]],Employees_Data[[#This Row],[Last Name]])</f>
        <v>Ibrahim Alqatish</v>
      </c>
      <c r="B622" s="63">
        <v>0</v>
      </c>
      <c r="C622" s="54">
        <v>0</v>
      </c>
      <c r="D622" s="54" t="str">
        <f>IFERROR(IF(OR(Attendance_Warning[[#This Row],[Sick Leaves]]&gt;3,Attendance_Warning[[#This Row],[Unpaid Leaves]]&gt;3),"Warning","OK"),"Not Found")</f>
        <v>OK</v>
      </c>
    </row>
    <row r="623" spans="1:4" x14ac:dyDescent="0.35">
      <c r="A623" s="40" t="str">
        <f>_xlfn.TEXTJOIN(" ",TRUE,Employees_Data[[#This Row],[First Name]],Employees_Data[[#This Row],[Last Name]])</f>
        <v>Salih Altawil</v>
      </c>
      <c r="B623" s="64">
        <v>5</v>
      </c>
      <c r="C623" s="56">
        <v>0</v>
      </c>
      <c r="D623" s="56" t="str">
        <f>IFERROR(IF(OR(Attendance_Warning[[#This Row],[Sick Leaves]]&gt;3,Attendance_Warning[[#This Row],[Unpaid Leaves]]&gt;3),"Warning","OK"),"Not Found")</f>
        <v>Warning</v>
      </c>
    </row>
    <row r="624" spans="1:4" x14ac:dyDescent="0.35">
      <c r="A624" s="36" t="str">
        <f>_xlfn.TEXTJOIN(" ",TRUE,Employees_Data[[#This Row],[First Name]],Employees_Data[[#This Row],[Last Name]])</f>
        <v>Sami Alsyd Ahmad</v>
      </c>
      <c r="B624" s="63">
        <v>1</v>
      </c>
      <c r="C624" s="54">
        <v>0</v>
      </c>
      <c r="D624" s="54" t="str">
        <f>IFERROR(IF(OR(Attendance_Warning[[#This Row],[Sick Leaves]]&gt;3,Attendance_Warning[[#This Row],[Unpaid Leaves]]&gt;3),"Warning","OK"),"Not Found")</f>
        <v>OK</v>
      </c>
    </row>
    <row r="625" spans="1:4" x14ac:dyDescent="0.35">
      <c r="A625" s="40" t="str">
        <f>_xlfn.TEXTJOIN(" ",TRUE,Employees_Data[[#This Row],[First Name]],Employees_Data[[#This Row],[Last Name]])</f>
        <v>Zahir Aleitar</v>
      </c>
      <c r="B625" s="64">
        <v>0</v>
      </c>
      <c r="C625" s="56">
        <v>4</v>
      </c>
      <c r="D625" s="56" t="str">
        <f>IFERROR(IF(OR(Attendance_Warning[[#This Row],[Sick Leaves]]&gt;3,Attendance_Warning[[#This Row],[Unpaid Leaves]]&gt;3),"Warning","OK"),"Not Found")</f>
        <v>Warning</v>
      </c>
    </row>
    <row r="626" spans="1:4" x14ac:dyDescent="0.35">
      <c r="A626" s="36" t="str">
        <f>_xlfn.TEXTJOIN(" ",TRUE,Employees_Data[[#This Row],[First Name]],Employees_Data[[#This Row],[Last Name]])</f>
        <v>Fatir Alealiu</v>
      </c>
      <c r="B626" s="63">
        <v>0</v>
      </c>
      <c r="C626" s="54">
        <v>0</v>
      </c>
      <c r="D626" s="54" t="str">
        <f>IFERROR(IF(OR(Attendance_Warning[[#This Row],[Sick Leaves]]&gt;3,Attendance_Warning[[#This Row],[Unpaid Leaves]]&gt;3),"Warning","OK"),"Not Found")</f>
        <v>OK</v>
      </c>
    </row>
    <row r="627" spans="1:4" x14ac:dyDescent="0.35">
      <c r="A627" s="40" t="str">
        <f>_xlfn.TEXTJOIN(" ",TRUE,Employees_Data[[#This Row],[First Name]],Employees_Data[[#This Row],[Last Name]])</f>
        <v>Samir Alealiu</v>
      </c>
      <c r="B627" s="64">
        <v>0</v>
      </c>
      <c r="C627" s="56">
        <v>0</v>
      </c>
      <c r="D627" s="56" t="str">
        <f>IFERROR(IF(OR(Attendance_Warning[[#This Row],[Sick Leaves]]&gt;3,Attendance_Warning[[#This Row],[Unpaid Leaves]]&gt;3),"Warning","OK"),"Not Found")</f>
        <v>OK</v>
      </c>
    </row>
    <row r="628" spans="1:4" x14ac:dyDescent="0.35">
      <c r="A628" s="36" t="str">
        <f>_xlfn.TEXTJOIN(" ",TRUE,Employees_Data[[#This Row],[First Name]],Employees_Data[[#This Row],[Last Name]])</f>
        <v>Muhamad Sulayman</v>
      </c>
      <c r="B628" s="63">
        <v>6</v>
      </c>
      <c r="C628" s="54">
        <v>0</v>
      </c>
      <c r="D628" s="54" t="str">
        <f>IFERROR(IF(OR(Attendance_Warning[[#This Row],[Sick Leaves]]&gt;3,Attendance_Warning[[#This Row],[Unpaid Leaves]]&gt;3),"Warning","OK"),"Not Found")</f>
        <v>Warning</v>
      </c>
    </row>
    <row r="629" spans="1:4" x14ac:dyDescent="0.35">
      <c r="A629" s="40" t="str">
        <f>_xlfn.TEXTJOIN(" ",TRUE,Employees_Data[[#This Row],[First Name]],Employees_Data[[#This Row],[Last Name]])</f>
        <v>Muhamad Suqabani</v>
      </c>
      <c r="B629" s="64">
        <v>6</v>
      </c>
      <c r="C629" s="56">
        <v>5</v>
      </c>
      <c r="D629" s="56" t="str">
        <f>IFERROR(IF(OR(Attendance_Warning[[#This Row],[Sick Leaves]]&gt;3,Attendance_Warning[[#This Row],[Unpaid Leaves]]&gt;3),"Warning","OK"),"Not Found")</f>
        <v>Warning</v>
      </c>
    </row>
    <row r="630" spans="1:4" x14ac:dyDescent="0.35">
      <c r="A630" s="36" t="str">
        <f>_xlfn.TEXTJOIN(" ",TRUE,Employees_Data[[#This Row],[First Name]],Employees_Data[[#This Row],[Last Name]])</f>
        <v>Muhamad Aldubbas</v>
      </c>
      <c r="B630" s="63">
        <v>0</v>
      </c>
      <c r="C630" s="54">
        <v>3</v>
      </c>
      <c r="D630" s="54" t="str">
        <f>IFERROR(IF(OR(Attendance_Warning[[#This Row],[Sick Leaves]]&gt;3,Attendance_Warning[[#This Row],[Unpaid Leaves]]&gt;3),"Warning","OK"),"Not Found")</f>
        <v>OK</v>
      </c>
    </row>
    <row r="631" spans="1:4" x14ac:dyDescent="0.35">
      <c r="A631" s="40" t="str">
        <f>_xlfn.TEXTJOIN(" ",TRUE,Employees_Data[[#This Row],[First Name]],Employees_Data[[#This Row],[Last Name]])</f>
        <v>Hamzaa Astitih</v>
      </c>
      <c r="B631" s="64">
        <v>0</v>
      </c>
      <c r="C631" s="56">
        <v>0</v>
      </c>
      <c r="D631" s="56" t="str">
        <f>IFERROR(IF(OR(Attendance_Warning[[#This Row],[Sick Leaves]]&gt;3,Attendance_Warning[[#This Row],[Unpaid Leaves]]&gt;3),"Warning","OK"),"Not Found")</f>
        <v>OK</v>
      </c>
    </row>
    <row r="632" spans="1:4" x14ac:dyDescent="0.35">
      <c r="A632" s="36" t="str">
        <f>_xlfn.TEXTJOIN(" ",TRUE,Employees_Data[[#This Row],[First Name]],Employees_Data[[#This Row],[Last Name]])</f>
        <v>Sulayman Zinu</v>
      </c>
      <c r="B632" s="63">
        <v>1</v>
      </c>
      <c r="C632" s="54">
        <v>0</v>
      </c>
      <c r="D632" s="54" t="str">
        <f>IFERROR(IF(OR(Attendance_Warning[[#This Row],[Sick Leaves]]&gt;3,Attendance_Warning[[#This Row],[Unpaid Leaves]]&gt;3),"Warning","OK"),"Not Found")</f>
        <v>OK</v>
      </c>
    </row>
    <row r="633" spans="1:4" x14ac:dyDescent="0.35">
      <c r="A633" s="40" t="str">
        <f>_xlfn.TEXTJOIN(" ",TRUE,Employees_Data[[#This Row],[First Name]],Employees_Data[[#This Row],[Last Name]])</f>
        <v>Alaa Alrifaei</v>
      </c>
      <c r="B633" s="64">
        <v>2</v>
      </c>
      <c r="C633" s="56">
        <v>0</v>
      </c>
      <c r="D633" s="56" t="str">
        <f>IFERROR(IF(OR(Attendance_Warning[[#This Row],[Sick Leaves]]&gt;3,Attendance_Warning[[#This Row],[Unpaid Leaves]]&gt;3),"Warning","OK"),"Not Found")</f>
        <v>OK</v>
      </c>
    </row>
    <row r="634" spans="1:4" x14ac:dyDescent="0.35">
      <c r="A634" s="36" t="str">
        <f>_xlfn.TEXTJOIN(" ",TRUE,Employees_Data[[#This Row],[First Name]],Employees_Data[[#This Row],[Last Name]])</f>
        <v>Rasha Alrifaei</v>
      </c>
      <c r="B634" s="63">
        <v>4</v>
      </c>
      <c r="C634" s="54">
        <v>0</v>
      </c>
      <c r="D634" s="54" t="str">
        <f>IFERROR(IF(OR(Attendance_Warning[[#This Row],[Sick Leaves]]&gt;3,Attendance_Warning[[#This Row],[Unpaid Leaves]]&gt;3),"Warning","OK"),"Not Found")</f>
        <v>Warning</v>
      </c>
    </row>
    <row r="635" spans="1:4" x14ac:dyDescent="0.35">
      <c r="A635" s="40" t="str">
        <f>_xlfn.TEXTJOIN(" ",TRUE,Employees_Data[[#This Row],[First Name]],Employees_Data[[#This Row],[Last Name]])</f>
        <v>Bayan Darbika</v>
      </c>
      <c r="B635" s="64">
        <v>0</v>
      </c>
      <c r="C635" s="56">
        <v>6</v>
      </c>
      <c r="D635" s="56" t="str">
        <f>IFERROR(IF(OR(Attendance_Warning[[#This Row],[Sick Leaves]]&gt;3,Attendance_Warning[[#This Row],[Unpaid Leaves]]&gt;3),"Warning","OK"),"Not Found")</f>
        <v>Warning</v>
      </c>
    </row>
    <row r="636" spans="1:4" x14ac:dyDescent="0.35">
      <c r="A636" s="36" t="str">
        <f>_xlfn.TEXTJOIN(" ",TRUE,Employees_Data[[#This Row],[First Name]],Employees_Data[[#This Row],[Last Name]])</f>
        <v>Iin Almunzilijiu</v>
      </c>
      <c r="B636" s="63">
        <v>0</v>
      </c>
      <c r="C636" s="54">
        <v>2</v>
      </c>
      <c r="D636" s="54" t="str">
        <f>IFERROR(IF(OR(Attendance_Warning[[#This Row],[Sick Leaves]]&gt;3,Attendance_Warning[[#This Row],[Unpaid Leaves]]&gt;3),"Warning","OK"),"Not Found")</f>
        <v>OK</v>
      </c>
    </row>
    <row r="637" spans="1:4" x14ac:dyDescent="0.35">
      <c r="A637" s="40" t="str">
        <f>_xlfn.TEXTJOIN(" ",TRUE,Employees_Data[[#This Row],[First Name]],Employees_Data[[#This Row],[Last Name]])</f>
        <v>Abd Alwahhab Aldhiyab</v>
      </c>
      <c r="B637" s="64">
        <v>6</v>
      </c>
      <c r="C637" s="56">
        <v>3</v>
      </c>
      <c r="D637" s="56" t="str">
        <f>IFERROR(IF(OR(Attendance_Warning[[#This Row],[Sick Leaves]]&gt;3,Attendance_Warning[[#This Row],[Unpaid Leaves]]&gt;3),"Warning","OK"),"Not Found")</f>
        <v>Warning</v>
      </c>
    </row>
    <row r="638" spans="1:4" x14ac:dyDescent="0.35">
      <c r="A638" s="36" t="str">
        <f>_xlfn.TEXTJOIN(" ",TRUE,Employees_Data[[#This Row],[First Name]],Employees_Data[[#This Row],[Last Name]])</f>
        <v>Hanan Salahi</v>
      </c>
      <c r="B638" s="63">
        <v>3</v>
      </c>
      <c r="C638" s="54">
        <v>0</v>
      </c>
      <c r="D638" s="54" t="str">
        <f>IFERROR(IF(OR(Attendance_Warning[[#This Row],[Sick Leaves]]&gt;3,Attendance_Warning[[#This Row],[Unpaid Leaves]]&gt;3),"Warning","OK"),"Not Found")</f>
        <v>OK</v>
      </c>
    </row>
    <row r="639" spans="1:4" x14ac:dyDescent="0.35">
      <c r="A639" s="40" t="str">
        <f>_xlfn.TEXTJOIN(" ",TRUE,Employees_Data[[#This Row],[First Name]],Employees_Data[[#This Row],[Last Name]])</f>
        <v>Mari Ayuwb</v>
      </c>
      <c r="B639" s="64">
        <v>0</v>
      </c>
      <c r="C639" s="56">
        <v>4</v>
      </c>
      <c r="D639" s="56" t="str">
        <f>IFERROR(IF(OR(Attendance_Warning[[#This Row],[Sick Leaves]]&gt;3,Attendance_Warning[[#This Row],[Unpaid Leaves]]&gt;3),"Warning","OK"),"Not Found")</f>
        <v>Warning</v>
      </c>
    </row>
    <row r="640" spans="1:4" x14ac:dyDescent="0.35">
      <c r="A640" s="36" t="str">
        <f>_xlfn.TEXTJOIN(" ",TRUE,Employees_Data[[#This Row],[First Name]],Employees_Data[[#This Row],[Last Name]])</f>
        <v>Omar Shawqi</v>
      </c>
      <c r="B640" s="63">
        <v>6</v>
      </c>
      <c r="C640" s="54">
        <v>0</v>
      </c>
      <c r="D640" s="54" t="str">
        <f>IFERROR(IF(OR(Attendance_Warning[[#This Row],[Sick Leaves]]&gt;3,Attendance_Warning[[#This Row],[Unpaid Leaves]]&gt;3),"Warning","OK"),"Not Found")</f>
        <v>Warning</v>
      </c>
    </row>
    <row r="641" spans="1:4" x14ac:dyDescent="0.35">
      <c r="A641" s="40" t="str">
        <f>_xlfn.TEXTJOIN(" ",TRUE,Employees_Data[[#This Row],[First Name]],Employees_Data[[#This Row],[Last Name]])</f>
        <v>Tariq Aldhahabi</v>
      </c>
      <c r="B641" s="64">
        <v>0</v>
      </c>
      <c r="C641" s="56">
        <v>0</v>
      </c>
      <c r="D641" s="56" t="str">
        <f>IFERROR(IF(OR(Attendance_Warning[[#This Row],[Sick Leaves]]&gt;3,Attendance_Warning[[#This Row],[Unpaid Leaves]]&gt;3),"Warning","OK"),"Not Found")</f>
        <v>OK</v>
      </c>
    </row>
    <row r="642" spans="1:4" x14ac:dyDescent="0.35">
      <c r="A642" s="36" t="str">
        <f>_xlfn.TEXTJOIN(" ",TRUE,Employees_Data[[#This Row],[First Name]],Employees_Data[[#This Row],[Last Name]])</f>
        <v>Rama Asead</v>
      </c>
      <c r="B642" s="63">
        <v>4</v>
      </c>
      <c r="C642" s="54">
        <v>0</v>
      </c>
      <c r="D642" s="54" t="str">
        <f>IFERROR(IF(OR(Attendance_Warning[[#This Row],[Sick Leaves]]&gt;3,Attendance_Warning[[#This Row],[Unpaid Leaves]]&gt;3),"Warning","OK"),"Not Found")</f>
        <v>Warning</v>
      </c>
    </row>
    <row r="643" spans="1:4" x14ac:dyDescent="0.35">
      <c r="A643" s="40" t="str">
        <f>_xlfn.TEXTJOIN(" ",TRUE,Employees_Data[[#This Row],[First Name]],Employees_Data[[#This Row],[Last Name]])</f>
        <v>Ghayth Eali</v>
      </c>
      <c r="B643" s="64">
        <v>0</v>
      </c>
      <c r="C643" s="56">
        <v>0</v>
      </c>
      <c r="D643" s="56" t="str">
        <f>IFERROR(IF(OR(Attendance_Warning[[#This Row],[Sick Leaves]]&gt;3,Attendance_Warning[[#This Row],[Unpaid Leaves]]&gt;3),"Warning","OK"),"Not Found")</f>
        <v>OK</v>
      </c>
    </row>
    <row r="644" spans="1:4" x14ac:dyDescent="0.35">
      <c r="A644" s="36" t="str">
        <f>_xlfn.TEXTJOIN(" ",TRUE,Employees_Data[[#This Row],[First Name]],Employees_Data[[#This Row],[Last Name]])</f>
        <v>Mahir Eabuwd</v>
      </c>
      <c r="B644" s="63">
        <v>4</v>
      </c>
      <c r="C644" s="54">
        <v>0</v>
      </c>
      <c r="D644" s="54" t="str">
        <f>IFERROR(IF(OR(Attendance_Warning[[#This Row],[Sick Leaves]]&gt;3,Attendance_Warning[[#This Row],[Unpaid Leaves]]&gt;3),"Warning","OK"),"Not Found")</f>
        <v>Warning</v>
      </c>
    </row>
    <row r="645" spans="1:4" x14ac:dyDescent="0.35">
      <c r="A645" s="40" t="str">
        <f>_xlfn.TEXTJOIN(" ",TRUE,Employees_Data[[#This Row],[First Name]],Employees_Data[[#This Row],[Last Name]])</f>
        <v>Muwmin Almujahid</v>
      </c>
      <c r="B645" s="64">
        <v>0</v>
      </c>
      <c r="C645" s="56">
        <v>0</v>
      </c>
      <c r="D645" s="56" t="str">
        <f>IFERROR(IF(OR(Attendance_Warning[[#This Row],[Sick Leaves]]&gt;3,Attendance_Warning[[#This Row],[Unpaid Leaves]]&gt;3),"Warning","OK"),"Not Found")</f>
        <v>OK</v>
      </c>
    </row>
    <row r="646" spans="1:4" x14ac:dyDescent="0.35">
      <c r="A646" s="36" t="str">
        <f>_xlfn.TEXTJOIN(" ",TRUE,Employees_Data[[#This Row],[First Name]],Employees_Data[[#This Row],[Last Name]])</f>
        <v>Dima Drwysh</v>
      </c>
      <c r="B646" s="63">
        <v>0</v>
      </c>
      <c r="C646" s="54">
        <v>0</v>
      </c>
      <c r="D646" s="54" t="str">
        <f>IFERROR(IF(OR(Attendance_Warning[[#This Row],[Sick Leaves]]&gt;3,Attendance_Warning[[#This Row],[Unpaid Leaves]]&gt;3),"Warning","OK"),"Not Found")</f>
        <v>OK</v>
      </c>
    </row>
    <row r="647" spans="1:4" x14ac:dyDescent="0.35">
      <c r="A647" s="40" t="str">
        <f>_xlfn.TEXTJOIN(" ",TRUE,Employees_Data[[#This Row],[First Name]],Employees_Data[[#This Row],[Last Name]])</f>
        <v>Muhamad Khalid</v>
      </c>
      <c r="B647" s="64">
        <v>0</v>
      </c>
      <c r="C647" s="56">
        <v>0</v>
      </c>
      <c r="D647" s="56" t="str">
        <f>IFERROR(IF(OR(Attendance_Warning[[#This Row],[Sick Leaves]]&gt;3,Attendance_Warning[[#This Row],[Unpaid Leaves]]&gt;3),"Warning","OK"),"Not Found")</f>
        <v>OK</v>
      </c>
    </row>
    <row r="648" spans="1:4" x14ac:dyDescent="0.35">
      <c r="A648" s="36" t="str">
        <f>_xlfn.TEXTJOIN(" ",TRUE,Employees_Data[[#This Row],[First Name]],Employees_Data[[#This Row],[Last Name]])</f>
        <v>Diea Filyun</v>
      </c>
      <c r="B648" s="63">
        <v>0</v>
      </c>
      <c r="C648" s="54">
        <v>0</v>
      </c>
      <c r="D648" s="54" t="str">
        <f>IFERROR(IF(OR(Attendance_Warning[[#This Row],[Sick Leaves]]&gt;3,Attendance_Warning[[#This Row],[Unpaid Leaves]]&gt;3),"Warning","OK"),"Not Found")</f>
        <v>OK</v>
      </c>
    </row>
    <row r="649" spans="1:4" x14ac:dyDescent="0.35">
      <c r="A649" s="40" t="str">
        <f>_xlfn.TEXTJOIN(" ",TRUE,Employees_Data[[#This Row],[First Name]],Employees_Data[[#This Row],[Last Name]])</f>
        <v>Muhamad Tasbihji</v>
      </c>
      <c r="B649" s="64">
        <v>0</v>
      </c>
      <c r="C649" s="56">
        <v>2</v>
      </c>
      <c r="D649" s="56" t="str">
        <f>IFERROR(IF(OR(Attendance_Warning[[#This Row],[Sick Leaves]]&gt;3,Attendance_Warning[[#This Row],[Unpaid Leaves]]&gt;3),"Warning","OK"),"Not Found")</f>
        <v>OK</v>
      </c>
    </row>
    <row r="650" spans="1:4" x14ac:dyDescent="0.35">
      <c r="A650" s="36" t="str">
        <f>_xlfn.TEXTJOIN(" ",TRUE,Employees_Data[[#This Row],[First Name]],Employees_Data[[#This Row],[Last Name]])</f>
        <v>Mazin Shumut</v>
      </c>
      <c r="B650" s="63">
        <v>0</v>
      </c>
      <c r="C650" s="54">
        <v>0</v>
      </c>
      <c r="D650" s="54" t="str">
        <f>IFERROR(IF(OR(Attendance_Warning[[#This Row],[Sick Leaves]]&gt;3,Attendance_Warning[[#This Row],[Unpaid Leaves]]&gt;3),"Warning","OK"),"Not Found")</f>
        <v>OK</v>
      </c>
    </row>
    <row r="651" spans="1:4" x14ac:dyDescent="0.35">
      <c r="A651" s="40" t="str">
        <f>_xlfn.TEXTJOIN(" ",TRUE,Employees_Data[[#This Row],[First Name]],Employees_Data[[#This Row],[Last Name]])</f>
        <v>Omar Zaqzuq</v>
      </c>
      <c r="B651" s="64">
        <v>3</v>
      </c>
      <c r="C651" s="56">
        <v>0</v>
      </c>
      <c r="D651" s="56" t="str">
        <f>IFERROR(IF(OR(Attendance_Warning[[#This Row],[Sick Leaves]]&gt;3,Attendance_Warning[[#This Row],[Unpaid Leaves]]&gt;3),"Warning","OK"),"Not Found")</f>
        <v>OK</v>
      </c>
    </row>
    <row r="652" spans="1:4" x14ac:dyDescent="0.35">
      <c r="A652" s="36" t="str">
        <f>_xlfn.TEXTJOIN(" ",TRUE,Employees_Data[[#This Row],[First Name]],Employees_Data[[#This Row],[Last Name]])</f>
        <v>Yasmin Eamir</v>
      </c>
      <c r="B652" s="63">
        <v>0</v>
      </c>
      <c r="C652" s="54">
        <v>0</v>
      </c>
      <c r="D652" s="54" t="str">
        <f>IFERROR(IF(OR(Attendance_Warning[[#This Row],[Sick Leaves]]&gt;3,Attendance_Warning[[#This Row],[Unpaid Leaves]]&gt;3),"Warning","OK"),"Not Found")</f>
        <v>OK</v>
      </c>
    </row>
    <row r="653" spans="1:4" x14ac:dyDescent="0.35">
      <c r="A653" s="40" t="str">
        <f>_xlfn.TEXTJOIN(" ",TRUE,Employees_Data[[#This Row],[First Name]],Employees_Data[[#This Row],[Last Name]])</f>
        <v>Muhamad Haydar</v>
      </c>
      <c r="B653" s="64">
        <v>6</v>
      </c>
      <c r="C653" s="56">
        <v>0</v>
      </c>
      <c r="D653" s="56" t="str">
        <f>IFERROR(IF(OR(Attendance_Warning[[#This Row],[Sick Leaves]]&gt;3,Attendance_Warning[[#This Row],[Unpaid Leaves]]&gt;3),"Warning","OK"),"Not Found")</f>
        <v>Warning</v>
      </c>
    </row>
    <row r="654" spans="1:4" x14ac:dyDescent="0.35">
      <c r="A654" s="36" t="str">
        <f>_xlfn.TEXTJOIN(" ",TRUE,Employees_Data[[#This Row],[First Name]],Employees_Data[[#This Row],[Last Name]])</f>
        <v>Muhamad Ratib</v>
      </c>
      <c r="B654" s="63">
        <v>6</v>
      </c>
      <c r="C654" s="54">
        <v>0</v>
      </c>
      <c r="D654" s="54" t="str">
        <f>IFERROR(IF(OR(Attendance_Warning[[#This Row],[Sick Leaves]]&gt;3,Attendance_Warning[[#This Row],[Unpaid Leaves]]&gt;3),"Warning","OK"),"Not Found")</f>
        <v>Warning</v>
      </c>
    </row>
    <row r="655" spans="1:4" x14ac:dyDescent="0.35">
      <c r="A655" s="40" t="str">
        <f>_xlfn.TEXTJOIN(" ",TRUE,Employees_Data[[#This Row],[First Name]],Employees_Data[[#This Row],[Last Name]])</f>
        <v>Muayid Siedih</v>
      </c>
      <c r="B655" s="64">
        <v>0</v>
      </c>
      <c r="C655" s="56">
        <v>0</v>
      </c>
      <c r="D655" s="56" t="str">
        <f>IFERROR(IF(OR(Attendance_Warning[[#This Row],[Sick Leaves]]&gt;3,Attendance_Warning[[#This Row],[Unpaid Leaves]]&gt;3),"Warning","OK"),"Not Found")</f>
        <v>OK</v>
      </c>
    </row>
    <row r="656" spans="1:4" x14ac:dyDescent="0.35">
      <c r="A656" s="36" t="str">
        <f>_xlfn.TEXTJOIN(" ",TRUE,Employees_Data[[#This Row],[First Name]],Employees_Data[[#This Row],[Last Name]])</f>
        <v>Husam Alhamd</v>
      </c>
      <c r="B656" s="63">
        <v>0</v>
      </c>
      <c r="C656" s="54">
        <v>0</v>
      </c>
      <c r="D656" s="54" t="str">
        <f>IFERROR(IF(OR(Attendance_Warning[[#This Row],[Sick Leaves]]&gt;3,Attendance_Warning[[#This Row],[Unpaid Leaves]]&gt;3),"Warning","OK"),"Not Found")</f>
        <v>OK</v>
      </c>
    </row>
    <row r="657" spans="1:4" x14ac:dyDescent="0.35">
      <c r="A657" s="40" t="str">
        <f>_xlfn.TEXTJOIN(" ",TRUE,Employees_Data[[#This Row],[First Name]],Employees_Data[[#This Row],[Last Name]])</f>
        <v>Abdalkrim Fadal</v>
      </c>
      <c r="B657" s="64">
        <v>4</v>
      </c>
      <c r="C657" s="56">
        <v>0</v>
      </c>
      <c r="D657" s="56" t="str">
        <f>IFERROR(IF(OR(Attendance_Warning[[#This Row],[Sick Leaves]]&gt;3,Attendance_Warning[[#This Row],[Unpaid Leaves]]&gt;3),"Warning","OK"),"Not Found")</f>
        <v>Warning</v>
      </c>
    </row>
    <row r="658" spans="1:4" x14ac:dyDescent="0.35">
      <c r="A658" s="36" t="str">
        <f>_xlfn.TEXTJOIN(" ",TRUE,Employees_Data[[#This Row],[First Name]],Employees_Data[[#This Row],[Last Name]])</f>
        <v>Bayan Eurnus</v>
      </c>
      <c r="B658" s="63">
        <v>0</v>
      </c>
      <c r="C658" s="54">
        <v>0</v>
      </c>
      <c r="D658" s="54" t="str">
        <f>IFERROR(IF(OR(Attendance_Warning[[#This Row],[Sick Leaves]]&gt;3,Attendance_Warning[[#This Row],[Unpaid Leaves]]&gt;3),"Warning","OK"),"Not Found")</f>
        <v>OK</v>
      </c>
    </row>
    <row r="659" spans="1:4" x14ac:dyDescent="0.35">
      <c r="A659" s="40" t="str">
        <f>_xlfn.TEXTJOIN(" ",TRUE,Employees_Data[[#This Row],[First Name]],Employees_Data[[#This Row],[Last Name]])</f>
        <v>Abd Almueiyn Eitaya</v>
      </c>
      <c r="B659" s="64">
        <v>0</v>
      </c>
      <c r="C659" s="56">
        <v>0</v>
      </c>
      <c r="D659" s="56" t="str">
        <f>IFERROR(IF(OR(Attendance_Warning[[#This Row],[Sick Leaves]]&gt;3,Attendance_Warning[[#This Row],[Unpaid Leaves]]&gt;3),"Warning","OK"),"Not Found")</f>
        <v>OK</v>
      </c>
    </row>
    <row r="660" spans="1:4" x14ac:dyDescent="0.35">
      <c r="A660" s="36" t="str">
        <f>_xlfn.TEXTJOIN(" ",TRUE,Employees_Data[[#This Row],[First Name]],Employees_Data[[#This Row],[Last Name]])</f>
        <v>Sahar Qisam</v>
      </c>
      <c r="B660" s="63">
        <v>0</v>
      </c>
      <c r="C660" s="54">
        <v>0</v>
      </c>
      <c r="D660" s="54" t="str">
        <f>IFERROR(IF(OR(Attendance_Warning[[#This Row],[Sick Leaves]]&gt;3,Attendance_Warning[[#This Row],[Unpaid Leaves]]&gt;3),"Warning","OK"),"Not Found")</f>
        <v>OK</v>
      </c>
    </row>
    <row r="661" spans="1:4" x14ac:dyDescent="0.35">
      <c r="A661" s="40" t="str">
        <f>_xlfn.TEXTJOIN(" ",TRUE,Employees_Data[[#This Row],[First Name]],Employees_Data[[#This Row],[Last Name]])</f>
        <v>Rafat Musaa</v>
      </c>
      <c r="B661" s="64">
        <v>5</v>
      </c>
      <c r="C661" s="56">
        <v>0</v>
      </c>
      <c r="D661" s="56" t="str">
        <f>IFERROR(IF(OR(Attendance_Warning[[#This Row],[Sick Leaves]]&gt;3,Attendance_Warning[[#This Row],[Unpaid Leaves]]&gt;3),"Warning","OK"),"Not Found")</f>
        <v>Warning</v>
      </c>
    </row>
    <row r="662" spans="1:4" x14ac:dyDescent="0.35">
      <c r="A662" s="36" t="str">
        <f>_xlfn.TEXTJOIN(" ",TRUE,Employees_Data[[#This Row],[First Name]],Employees_Data[[#This Row],[Last Name]])</f>
        <v>Shafiq Almalih</v>
      </c>
      <c r="B662" s="63">
        <v>0</v>
      </c>
      <c r="C662" s="54">
        <v>0</v>
      </c>
      <c r="D662" s="54" t="str">
        <f>IFERROR(IF(OR(Attendance_Warning[[#This Row],[Sick Leaves]]&gt;3,Attendance_Warning[[#This Row],[Unpaid Leaves]]&gt;3),"Warning","OK"),"Not Found")</f>
        <v>OK</v>
      </c>
    </row>
    <row r="663" spans="1:4" x14ac:dyDescent="0.35">
      <c r="A663" s="40" t="str">
        <f>_xlfn.TEXTJOIN(" ",TRUE,Employees_Data[[#This Row],[First Name]],Employees_Data[[#This Row],[Last Name]])</f>
        <v>Raghad Aghasi</v>
      </c>
      <c r="B663" s="64">
        <v>0</v>
      </c>
      <c r="C663" s="56">
        <v>0</v>
      </c>
      <c r="D663" s="56" t="str">
        <f>IFERROR(IF(OR(Attendance_Warning[[#This Row],[Sick Leaves]]&gt;3,Attendance_Warning[[#This Row],[Unpaid Leaves]]&gt;3),"Warning","OK"),"Not Found")</f>
        <v>OK</v>
      </c>
    </row>
    <row r="664" spans="1:4" x14ac:dyDescent="0.35">
      <c r="A664" s="36" t="str">
        <f>_xlfn.TEXTJOIN(" ",TRUE,Employees_Data[[#This Row],[First Name]],Employees_Data[[#This Row],[Last Name]])</f>
        <v>Ruba Alhumwi</v>
      </c>
      <c r="B664" s="63">
        <v>0</v>
      </c>
      <c r="C664" s="54">
        <v>0</v>
      </c>
      <c r="D664" s="54" t="str">
        <f>IFERROR(IF(OR(Attendance_Warning[[#This Row],[Sick Leaves]]&gt;3,Attendance_Warning[[#This Row],[Unpaid Leaves]]&gt;3),"Warning","OK"),"Not Found")</f>
        <v>OK</v>
      </c>
    </row>
    <row r="665" spans="1:4" x14ac:dyDescent="0.35">
      <c r="A665" s="40" t="str">
        <f>_xlfn.TEXTJOIN(" ",TRUE,Employees_Data[[#This Row],[First Name]],Employees_Data[[#This Row],[Last Name]])</f>
        <v>Bilal Alqalish</v>
      </c>
      <c r="B665" s="64">
        <v>0</v>
      </c>
      <c r="C665" s="56">
        <v>0</v>
      </c>
      <c r="D665" s="56" t="str">
        <f>IFERROR(IF(OR(Attendance_Warning[[#This Row],[Sick Leaves]]&gt;3,Attendance_Warning[[#This Row],[Unpaid Leaves]]&gt;3),"Warning","OK"),"Not Found")</f>
        <v>OK</v>
      </c>
    </row>
    <row r="666" spans="1:4" x14ac:dyDescent="0.35">
      <c r="A666" s="36" t="str">
        <f>_xlfn.TEXTJOIN(" ",TRUE,Employees_Data[[#This Row],[First Name]],Employees_Data[[#This Row],[Last Name]])</f>
        <v>Muhamad Almisri</v>
      </c>
      <c r="B666" s="63">
        <v>6</v>
      </c>
      <c r="C666" s="54">
        <v>0</v>
      </c>
      <c r="D666" s="54" t="str">
        <f>IFERROR(IF(OR(Attendance_Warning[[#This Row],[Sick Leaves]]&gt;3,Attendance_Warning[[#This Row],[Unpaid Leaves]]&gt;3),"Warning","OK"),"Not Found")</f>
        <v>Warning</v>
      </c>
    </row>
    <row r="667" spans="1:4" x14ac:dyDescent="0.35">
      <c r="A667" s="40" t="str">
        <f>_xlfn.TEXTJOIN(" ",TRUE,Employees_Data[[#This Row],[First Name]],Employees_Data[[#This Row],[Last Name]])</f>
        <v>Husayn Hawria</v>
      </c>
      <c r="B667" s="64">
        <v>0</v>
      </c>
      <c r="C667" s="56">
        <v>0</v>
      </c>
      <c r="D667" s="56" t="str">
        <f>IFERROR(IF(OR(Attendance_Warning[[#This Row],[Sick Leaves]]&gt;3,Attendance_Warning[[#This Row],[Unpaid Leaves]]&gt;3),"Warning","OK"),"Not Found")</f>
        <v>OK</v>
      </c>
    </row>
    <row r="668" spans="1:4" x14ac:dyDescent="0.35">
      <c r="A668" s="36" t="str">
        <f>_xlfn.TEXTJOIN(" ",TRUE,Employees_Data[[#This Row],[First Name]],Employees_Data[[#This Row],[Last Name]])</f>
        <v>Safa Alshahadat</v>
      </c>
      <c r="B668" s="63">
        <v>5</v>
      </c>
      <c r="C668" s="54">
        <v>2</v>
      </c>
      <c r="D668" s="54" t="str">
        <f>IFERROR(IF(OR(Attendance_Warning[[#This Row],[Sick Leaves]]&gt;3,Attendance_Warning[[#This Row],[Unpaid Leaves]]&gt;3),"Warning","OK"),"Not Found")</f>
        <v>Warning</v>
      </c>
    </row>
    <row r="669" spans="1:4" x14ac:dyDescent="0.35">
      <c r="A669" s="40" t="str">
        <f>_xlfn.TEXTJOIN(" ",TRUE,Employees_Data[[#This Row],[First Name]],Employees_Data[[#This Row],[Last Name]])</f>
        <v>Ahmad Aldiyk</v>
      </c>
      <c r="B669" s="64">
        <v>4</v>
      </c>
      <c r="C669" s="56">
        <v>0</v>
      </c>
      <c r="D669" s="56" t="str">
        <f>IFERROR(IF(OR(Attendance_Warning[[#This Row],[Sick Leaves]]&gt;3,Attendance_Warning[[#This Row],[Unpaid Leaves]]&gt;3),"Warning","OK"),"Not Found")</f>
        <v>Warning</v>
      </c>
    </row>
    <row r="670" spans="1:4" x14ac:dyDescent="0.35">
      <c r="A670" s="36" t="str">
        <f>_xlfn.TEXTJOIN(" ",TRUE,Employees_Data[[#This Row],[First Name]],Employees_Data[[#This Row],[Last Name]])</f>
        <v>Hind Almueasaeas</v>
      </c>
      <c r="B670" s="63">
        <v>1</v>
      </c>
      <c r="C670" s="54">
        <v>0</v>
      </c>
      <c r="D670" s="54" t="str">
        <f>IFERROR(IF(OR(Attendance_Warning[[#This Row],[Sick Leaves]]&gt;3,Attendance_Warning[[#This Row],[Unpaid Leaves]]&gt;3),"Warning","OK"),"Not Found")</f>
        <v>OK</v>
      </c>
    </row>
    <row r="671" spans="1:4" x14ac:dyDescent="0.35">
      <c r="A671" s="40" t="str">
        <f>_xlfn.TEXTJOIN(" ",TRUE,Employees_Data[[#This Row],[First Name]],Employees_Data[[#This Row],[Last Name]])</f>
        <v>Dania Earmush</v>
      </c>
      <c r="B671" s="64">
        <v>6</v>
      </c>
      <c r="C671" s="56">
        <v>6</v>
      </c>
      <c r="D671" s="56" t="str">
        <f>IFERROR(IF(OR(Attendance_Warning[[#This Row],[Sick Leaves]]&gt;3,Attendance_Warning[[#This Row],[Unpaid Leaves]]&gt;3),"Warning","OK"),"Not Found")</f>
        <v>Warning</v>
      </c>
    </row>
    <row r="672" spans="1:4" x14ac:dyDescent="0.35">
      <c r="A672" s="36" t="str">
        <f>_xlfn.TEXTJOIN(" ",TRUE,Employees_Data[[#This Row],[First Name]],Employees_Data[[#This Row],[Last Name]])</f>
        <v>Ayly Bahriin</v>
      </c>
      <c r="B672" s="63">
        <v>3</v>
      </c>
      <c r="C672" s="54">
        <v>0</v>
      </c>
      <c r="D672" s="54" t="str">
        <f>IFERROR(IF(OR(Attendance_Warning[[#This Row],[Sick Leaves]]&gt;3,Attendance_Warning[[#This Row],[Unpaid Leaves]]&gt;3),"Warning","OK"),"Not Found")</f>
        <v>OK</v>
      </c>
    </row>
    <row r="673" spans="1:4" x14ac:dyDescent="0.35">
      <c r="A673" s="40" t="str">
        <f>_xlfn.TEXTJOIN(" ",TRUE,Employees_Data[[#This Row],[First Name]],Employees_Data[[#This Row],[Last Name]])</f>
        <v>Jihan Nadir</v>
      </c>
      <c r="B673" s="64">
        <v>6</v>
      </c>
      <c r="C673" s="56">
        <v>0</v>
      </c>
      <c r="D673" s="56" t="str">
        <f>IFERROR(IF(OR(Attendance_Warning[[#This Row],[Sick Leaves]]&gt;3,Attendance_Warning[[#This Row],[Unpaid Leaves]]&gt;3),"Warning","OK"),"Not Found")</f>
        <v>Warning</v>
      </c>
    </row>
    <row r="674" spans="1:4" x14ac:dyDescent="0.35">
      <c r="A674" s="36" t="str">
        <f>_xlfn.TEXTJOIN(" ",TRUE,Employees_Data[[#This Row],[First Name]],Employees_Data[[#This Row],[Last Name]])</f>
        <v>Muhamad Sharif Aldaghly</v>
      </c>
      <c r="B674" s="63">
        <v>0</v>
      </c>
      <c r="C674" s="54">
        <v>0</v>
      </c>
      <c r="D674" s="54" t="str">
        <f>IFERROR(IF(OR(Attendance_Warning[[#This Row],[Sick Leaves]]&gt;3,Attendance_Warning[[#This Row],[Unpaid Leaves]]&gt;3),"Warning","OK"),"Not Found")</f>
        <v>OK</v>
      </c>
    </row>
    <row r="675" spans="1:4" x14ac:dyDescent="0.35">
      <c r="A675" s="40" t="str">
        <f>_xlfn.TEXTJOIN(" ",TRUE,Employees_Data[[#This Row],[First Name]],Employees_Data[[#This Row],[Last Name]])</f>
        <v>Emara bwalsibae</v>
      </c>
      <c r="B675" s="64">
        <v>4</v>
      </c>
      <c r="C675" s="56">
        <v>0</v>
      </c>
      <c r="D675" s="56" t="str">
        <f>IFERROR(IF(OR(Attendance_Warning[[#This Row],[Sick Leaves]]&gt;3,Attendance_Warning[[#This Row],[Unpaid Leaves]]&gt;3),"Warning","OK"),"Not Found")</f>
        <v>Warning</v>
      </c>
    </row>
    <row r="676" spans="1:4" x14ac:dyDescent="0.35">
      <c r="A676" s="36" t="str">
        <f>_xlfn.TEXTJOIN(" ",TRUE,Employees_Data[[#This Row],[First Name]],Employees_Data[[#This Row],[Last Name]])</f>
        <v>Razzan Alhusayni</v>
      </c>
      <c r="B676" s="63">
        <v>1</v>
      </c>
      <c r="C676" s="54">
        <v>0</v>
      </c>
      <c r="D676" s="54" t="str">
        <f>IFERROR(IF(OR(Attendance_Warning[[#This Row],[Sick Leaves]]&gt;3,Attendance_Warning[[#This Row],[Unpaid Leaves]]&gt;3),"Warning","OK"),"Not Found")</f>
        <v>OK</v>
      </c>
    </row>
    <row r="677" spans="1:4" x14ac:dyDescent="0.35">
      <c r="A677" s="40" t="str">
        <f>_xlfn.TEXTJOIN(" ",TRUE,Employees_Data[[#This Row],[First Name]],Employees_Data[[#This Row],[Last Name]])</f>
        <v>Ghassan Aljamal</v>
      </c>
      <c r="B677" s="64">
        <v>2</v>
      </c>
      <c r="C677" s="56">
        <v>0</v>
      </c>
      <c r="D677" s="56" t="str">
        <f>IFERROR(IF(OR(Attendance_Warning[[#This Row],[Sick Leaves]]&gt;3,Attendance_Warning[[#This Row],[Unpaid Leaves]]&gt;3),"Warning","OK"),"Not Found")</f>
        <v>OK</v>
      </c>
    </row>
    <row r="678" spans="1:4" x14ac:dyDescent="0.35">
      <c r="A678" s="36" t="str">
        <f>_xlfn.TEXTJOIN(" ",TRUE,Employees_Data[[#This Row],[First Name]],Employees_Data[[#This Row],[Last Name]])</f>
        <v>Omar Kahulus</v>
      </c>
      <c r="B678" s="63">
        <v>4</v>
      </c>
      <c r="C678" s="54">
        <v>0</v>
      </c>
      <c r="D678" s="54" t="str">
        <f>IFERROR(IF(OR(Attendance_Warning[[#This Row],[Sick Leaves]]&gt;3,Attendance_Warning[[#This Row],[Unpaid Leaves]]&gt;3),"Warning","OK"),"Not Found")</f>
        <v>Warning</v>
      </c>
    </row>
    <row r="679" spans="1:4" x14ac:dyDescent="0.35">
      <c r="A679" s="40" t="str">
        <f>_xlfn.TEXTJOIN(" ",TRUE,Employees_Data[[#This Row],[First Name]],Employees_Data[[#This Row],[Last Name]])</f>
        <v>Amjad Nasir</v>
      </c>
      <c r="B679" s="64">
        <v>6</v>
      </c>
      <c r="C679" s="56">
        <v>0</v>
      </c>
      <c r="D679" s="56" t="str">
        <f>IFERROR(IF(OR(Attendance_Warning[[#This Row],[Sick Leaves]]&gt;3,Attendance_Warning[[#This Row],[Unpaid Leaves]]&gt;3),"Warning","OK"),"Not Found")</f>
        <v>Warning</v>
      </c>
    </row>
    <row r="680" spans="1:4" x14ac:dyDescent="0.35">
      <c r="A680" s="36" t="str">
        <f>_xlfn.TEXTJOIN(" ",TRUE,Employees_Data[[#This Row],[First Name]],Employees_Data[[#This Row],[Last Name]])</f>
        <v>Iman Ghrz Aldiyn</v>
      </c>
      <c r="B680" s="63">
        <v>0</v>
      </c>
      <c r="C680" s="54">
        <v>0</v>
      </c>
      <c r="D680" s="54" t="str">
        <f>IFERROR(IF(OR(Attendance_Warning[[#This Row],[Sick Leaves]]&gt;3,Attendance_Warning[[#This Row],[Unpaid Leaves]]&gt;3),"Warning","OK"),"Not Found")</f>
        <v>OK</v>
      </c>
    </row>
    <row r="681" spans="1:4" x14ac:dyDescent="0.35">
      <c r="A681" s="40" t="str">
        <f>_xlfn.TEXTJOIN(" ",TRUE,Employees_Data[[#This Row],[First Name]],Employees_Data[[#This Row],[Last Name]])</f>
        <v>Alysia Alyaghshiu</v>
      </c>
      <c r="B681" s="64">
        <v>0</v>
      </c>
      <c r="C681" s="56">
        <v>0</v>
      </c>
      <c r="D681" s="56" t="str">
        <f>IFERROR(IF(OR(Attendance_Warning[[#This Row],[Sick Leaves]]&gt;3,Attendance_Warning[[#This Row],[Unpaid Leaves]]&gt;3),"Warning","OK"),"Not Found")</f>
        <v>OK</v>
      </c>
    </row>
    <row r="682" spans="1:4" x14ac:dyDescent="0.35">
      <c r="A682" s="36" t="str">
        <f>_xlfn.TEXTJOIN(" ",TRUE,Employees_Data[[#This Row],[First Name]],Employees_Data[[#This Row],[Last Name]])</f>
        <v>Ayham Alqadi</v>
      </c>
      <c r="B682" s="63">
        <v>3</v>
      </c>
      <c r="C682" s="54">
        <v>0</v>
      </c>
      <c r="D682" s="54" t="str">
        <f>IFERROR(IF(OR(Attendance_Warning[[#This Row],[Sick Leaves]]&gt;3,Attendance_Warning[[#This Row],[Unpaid Leaves]]&gt;3),"Warning","OK"),"Not Found")</f>
        <v>OK</v>
      </c>
    </row>
    <row r="683" spans="1:4" x14ac:dyDescent="0.35">
      <c r="A683" s="40" t="str">
        <f>_xlfn.TEXTJOIN(" ",TRUE,Employees_Data[[#This Row],[First Name]],Employees_Data[[#This Row],[Last Name]])</f>
        <v>Diea Shuelan</v>
      </c>
      <c r="B683" s="64">
        <v>0</v>
      </c>
      <c r="C683" s="56">
        <v>0</v>
      </c>
      <c r="D683" s="56" t="str">
        <f>IFERROR(IF(OR(Attendance_Warning[[#This Row],[Sick Leaves]]&gt;3,Attendance_Warning[[#This Row],[Unpaid Leaves]]&gt;3),"Warning","OK"),"Not Found")</f>
        <v>OK</v>
      </c>
    </row>
    <row r="684" spans="1:4" x14ac:dyDescent="0.35">
      <c r="A684" s="36" t="str">
        <f>_xlfn.TEXTJOIN(" ",TRUE,Employees_Data[[#This Row],[First Name]],Employees_Data[[#This Row],[Last Name]])</f>
        <v>Husam Alsaed</v>
      </c>
      <c r="B684" s="63">
        <v>0</v>
      </c>
      <c r="C684" s="54">
        <v>4</v>
      </c>
      <c r="D684" s="54" t="str">
        <f>IFERROR(IF(OR(Attendance_Warning[[#This Row],[Sick Leaves]]&gt;3,Attendance_Warning[[#This Row],[Unpaid Leaves]]&gt;3),"Warning","OK"),"Not Found")</f>
        <v>Warning</v>
      </c>
    </row>
    <row r="685" spans="1:4" x14ac:dyDescent="0.35">
      <c r="A685" s="40" t="str">
        <f>_xlfn.TEXTJOIN(" ",TRUE,Employees_Data[[#This Row],[First Name]],Employees_Data[[#This Row],[Last Name]])</f>
        <v>Asd Bwfaeur</v>
      </c>
      <c r="B685" s="64">
        <v>0</v>
      </c>
      <c r="C685" s="56">
        <v>0</v>
      </c>
      <c r="D685" s="56" t="str">
        <f>IFERROR(IF(OR(Attendance_Warning[[#This Row],[Sick Leaves]]&gt;3,Attendance_Warning[[#This Row],[Unpaid Leaves]]&gt;3),"Warning","OK"),"Not Found")</f>
        <v>OK</v>
      </c>
    </row>
    <row r="686" spans="1:4" x14ac:dyDescent="0.35">
      <c r="A686" s="36" t="str">
        <f>_xlfn.TEXTJOIN(" ",TRUE,Employees_Data[[#This Row],[First Name]],Employees_Data[[#This Row],[Last Name]])</f>
        <v>Sari Hanna</v>
      </c>
      <c r="B686" s="63">
        <v>0</v>
      </c>
      <c r="C686" s="54">
        <v>3</v>
      </c>
      <c r="D686" s="54" t="str">
        <f>IFERROR(IF(OR(Attendance_Warning[[#This Row],[Sick Leaves]]&gt;3,Attendance_Warning[[#This Row],[Unpaid Leaves]]&gt;3),"Warning","OK"),"Not Found")</f>
        <v>OK</v>
      </c>
    </row>
    <row r="687" spans="1:4" x14ac:dyDescent="0.35">
      <c r="A687" s="40" t="str">
        <f>_xlfn.TEXTJOIN(" ",TRUE,Employees_Data[[#This Row],[First Name]],Employees_Data[[#This Row],[Last Name]])</f>
        <v>Eubayda Kayd</v>
      </c>
      <c r="B687" s="64">
        <v>1</v>
      </c>
      <c r="C687" s="56">
        <v>0</v>
      </c>
      <c r="D687" s="56" t="str">
        <f>IFERROR(IF(OR(Attendance_Warning[[#This Row],[Sick Leaves]]&gt;3,Attendance_Warning[[#This Row],[Unpaid Leaves]]&gt;3),"Warning","OK"),"Not Found")</f>
        <v>OK</v>
      </c>
    </row>
    <row r="688" spans="1:4" x14ac:dyDescent="0.35">
      <c r="A688" s="36" t="str">
        <f>_xlfn.TEXTJOIN(" ",TRUE,Employees_Data[[#This Row],[First Name]],Employees_Data[[#This Row],[Last Name]])</f>
        <v>Khalil Alkalu</v>
      </c>
      <c r="B688" s="63">
        <v>0</v>
      </c>
      <c r="C688" s="54">
        <v>0</v>
      </c>
      <c r="D688" s="54" t="str">
        <f>IFERROR(IF(OR(Attendance_Warning[[#This Row],[Sick Leaves]]&gt;3,Attendance_Warning[[#This Row],[Unpaid Leaves]]&gt;3),"Warning","OK"),"Not Found")</f>
        <v>OK</v>
      </c>
    </row>
    <row r="689" spans="1:4" x14ac:dyDescent="0.35">
      <c r="A689" s="40" t="str">
        <f>_xlfn.TEXTJOIN(" ",TRUE,Employees_Data[[#This Row],[First Name]],Employees_Data[[#This Row],[Last Name]])</f>
        <v>Muhamad Shrbjy</v>
      </c>
      <c r="B689" s="64">
        <v>0</v>
      </c>
      <c r="C689" s="56">
        <v>0</v>
      </c>
      <c r="D689" s="56" t="str">
        <f>IFERROR(IF(OR(Attendance_Warning[[#This Row],[Sick Leaves]]&gt;3,Attendance_Warning[[#This Row],[Unpaid Leaves]]&gt;3),"Warning","OK"),"Not Found")</f>
        <v>OK</v>
      </c>
    </row>
    <row r="690" spans="1:4" x14ac:dyDescent="0.35">
      <c r="A690" s="44" t="str">
        <f>_xlfn.TEXTJOIN(" ",TRUE,Employees_Data[[#This Row],[First Name]],Employees_Data[[#This Row],[Last Name]])</f>
        <v>Abd Albasit AlAhmar</v>
      </c>
      <c r="B690" s="66">
        <v>0</v>
      </c>
      <c r="C690" s="58">
        <v>0</v>
      </c>
      <c r="D690" s="58" t="str">
        <f>IFERROR(IF(OR(Attendance_Warning[[#This Row],[Sick Leaves]]&gt;3,Attendance_Warning[[#This Row],[Unpaid Leaves]]&gt;3),"Warning","OK"),"Not Found")</f>
        <v>OK</v>
      </c>
    </row>
  </sheetData>
  <conditionalFormatting sqref="A2:A690">
    <cfRule type="containsBlanks" dxfId="10" priority="5">
      <formula>LEN(TRIM(A2))=0</formula>
    </cfRule>
  </conditionalFormatting>
  <conditionalFormatting sqref="B2:C690">
    <cfRule type="containsBlanks" dxfId="9" priority="4">
      <formula>LEN(TRIM(B2))=0</formula>
    </cfRule>
  </conditionalFormatting>
  <conditionalFormatting sqref="D1:D690">
    <cfRule type="containsText" dxfId="8" priority="2" operator="containsText" text="Ok">
      <formula>NOT(ISERROR(SEARCH("Ok",D1)))</formula>
    </cfRule>
  </conditionalFormatting>
  <conditionalFormatting sqref="D2:D690">
    <cfRule type="containsText" dxfId="7" priority="1" operator="containsText" text="Warning">
      <formula>NOT(ISERROR(SEARCH("Warning",D2)))</formula>
    </cfRule>
    <cfRule type="containsBlanks" dxfId="6" priority="3">
      <formula>LEN(TRIM(D2))=0</formula>
    </cfRule>
  </conditionalFormatting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2118A-938D-41E4-A877-488FC754DFAC}">
  <dimension ref="A1:F690"/>
  <sheetViews>
    <sheetView workbookViewId="0">
      <selection activeCell="F14" sqref="F14"/>
    </sheetView>
  </sheetViews>
  <sheetFormatPr defaultRowHeight="15.5" x14ac:dyDescent="0.35"/>
  <cols>
    <col min="1" max="1" width="16.08203125" customWidth="1"/>
    <col min="3" max="3" width="9.58203125" customWidth="1"/>
    <col min="4" max="4" width="15.5" customWidth="1"/>
    <col min="5" max="6" width="18.08203125" bestFit="1" customWidth="1"/>
  </cols>
  <sheetData>
    <row r="1" spans="1:6" x14ac:dyDescent="0.35">
      <c r="A1" s="32" t="s">
        <v>24</v>
      </c>
      <c r="B1" s="33" t="s">
        <v>10</v>
      </c>
      <c r="C1" s="34" t="s">
        <v>17</v>
      </c>
      <c r="D1" s="52" t="s">
        <v>20</v>
      </c>
      <c r="E1" s="52" t="s">
        <v>15</v>
      </c>
      <c r="F1" s="34" t="s">
        <v>917</v>
      </c>
    </row>
    <row r="2" spans="1:6" x14ac:dyDescent="0.35">
      <c r="A2" s="36" t="str">
        <f>_xlfn.TEXTJOIN(" ",TRUE,Employees_Data[[#This Row],[First Name]],Employees_Data[[#This Row],[Last Name]])</f>
        <v>Ghadir Hmshw</v>
      </c>
      <c r="B2" s="37">
        <f ca="1">DATEDIF(Employees!$F2,TODAY(),"Y")</f>
        <v>8</v>
      </c>
      <c r="C2" s="63">
        <v>3</v>
      </c>
      <c r="D2" s="54">
        <v>183</v>
      </c>
      <c r="E2" s="54">
        <v>1560</v>
      </c>
      <c r="F2" s="54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Eligible</v>
      </c>
    </row>
    <row r="3" spans="1:6" x14ac:dyDescent="0.35">
      <c r="A3" s="40" t="str">
        <f>_xlfn.TEXTJOIN(" ",TRUE,Employees_Data[[#This Row],[First Name]],Employees_Data[[#This Row],[Last Name]])</f>
        <v>Omar Hishan</v>
      </c>
      <c r="B3" s="41">
        <f ca="1">DATEDIF(Employees!$F3,TODAY(),"Y")</f>
        <v>6</v>
      </c>
      <c r="C3" s="64">
        <v>1</v>
      </c>
      <c r="D3" s="56">
        <v>198</v>
      </c>
      <c r="E3" s="56">
        <v>3247</v>
      </c>
      <c r="F3" s="56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4" spans="1:6" x14ac:dyDescent="0.35">
      <c r="A4" s="36" t="str">
        <f>_xlfn.TEXTJOIN(" ",TRUE,Employees_Data[[#This Row],[First Name]],Employees_Data[[#This Row],[Last Name]])</f>
        <v>Ailya Sharaf</v>
      </c>
      <c r="B4" s="37">
        <f ca="1">DATEDIF(Employees!$F4,TODAY(),"Y")</f>
        <v>9</v>
      </c>
      <c r="C4" s="63">
        <v>2</v>
      </c>
      <c r="D4" s="54">
        <v>192</v>
      </c>
      <c r="E4" s="54">
        <v>2506</v>
      </c>
      <c r="F4" s="54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5" spans="1:6" x14ac:dyDescent="0.35">
      <c r="A5" s="40" t="str">
        <f>_xlfn.TEXTJOIN(" ",TRUE,Employees_Data[[#This Row],[First Name]],Employees_Data[[#This Row],[Last Name]])</f>
        <v>Lwiy Qbany</v>
      </c>
      <c r="B5" s="41">
        <f ca="1">DATEDIF(Employees!$F5,TODAY(),"Y")</f>
        <v>8</v>
      </c>
      <c r="C5" s="64">
        <v>3</v>
      </c>
      <c r="D5" s="56">
        <v>7</v>
      </c>
      <c r="E5" s="56">
        <v>1828</v>
      </c>
      <c r="F5" s="56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6" spans="1:6" x14ac:dyDescent="0.35">
      <c r="A6" s="36" t="str">
        <f>_xlfn.TEXTJOIN(" ",TRUE,Employees_Data[[#This Row],[First Name]],Employees_Data[[#This Row],[Last Name]])</f>
        <v>Ahmad Bikri</v>
      </c>
      <c r="B6" s="37">
        <f ca="1">DATEDIF(Employees!$F6,TODAY(),"Y")</f>
        <v>6</v>
      </c>
      <c r="C6" s="63">
        <v>5</v>
      </c>
      <c r="D6" s="54">
        <v>121</v>
      </c>
      <c r="E6" s="54">
        <v>970</v>
      </c>
      <c r="F6" s="54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Eligible</v>
      </c>
    </row>
    <row r="7" spans="1:6" x14ac:dyDescent="0.35">
      <c r="A7" s="40" t="str">
        <f>_xlfn.TEXTJOIN(" ",TRUE,Employees_Data[[#This Row],[First Name]],Employees_Data[[#This Row],[Last Name]])</f>
        <v>Muhamad Zueitr</v>
      </c>
      <c r="B7" s="41">
        <f ca="1">DATEDIF(Employees!$F7,TODAY(),"Y")</f>
        <v>10</v>
      </c>
      <c r="C7" s="64">
        <v>3</v>
      </c>
      <c r="D7" s="56">
        <v>8</v>
      </c>
      <c r="E7" s="56">
        <v>2332</v>
      </c>
      <c r="F7" s="56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8" spans="1:6" x14ac:dyDescent="0.35">
      <c r="A8" s="36" t="str">
        <f>_xlfn.TEXTJOIN(" ",TRUE,Employees_Data[[#This Row],[First Name]],Employees_Data[[#This Row],[Last Name]])</f>
        <v>Iin Alhalaliu</v>
      </c>
      <c r="B8" s="37">
        <f ca="1">DATEDIF(Employees!$F8,TODAY(),"Y")</f>
        <v>6</v>
      </c>
      <c r="C8" s="63">
        <v>3</v>
      </c>
      <c r="D8" s="54">
        <v>116</v>
      </c>
      <c r="E8" s="54">
        <v>1959</v>
      </c>
      <c r="F8" s="54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Eligible</v>
      </c>
    </row>
    <row r="9" spans="1:6" x14ac:dyDescent="0.35">
      <c r="A9" s="40" t="str">
        <f>_xlfn.TEXTJOIN(" ",TRUE,Employees_Data[[#This Row],[First Name]],Employees_Data[[#This Row],[Last Name]])</f>
        <v>Muhamad Alaya</v>
      </c>
      <c r="B9" s="41">
        <f ca="1">DATEDIF(Employees!$F9,TODAY(),"Y")</f>
        <v>8</v>
      </c>
      <c r="C9" s="64">
        <v>5</v>
      </c>
      <c r="D9" s="56">
        <v>7</v>
      </c>
      <c r="E9" s="56">
        <v>3394</v>
      </c>
      <c r="F9" s="56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10" spans="1:6" x14ac:dyDescent="0.35">
      <c r="A10" s="36" t="str">
        <f>_xlfn.TEXTJOIN(" ",TRUE,Employees_Data[[#This Row],[First Name]],Employees_Data[[#This Row],[Last Name]])</f>
        <v>Susin Almilat</v>
      </c>
      <c r="B10" s="37">
        <f ca="1">DATEDIF(Employees!$F10,TODAY(),"Y")</f>
        <v>8</v>
      </c>
      <c r="C10" s="63">
        <v>4.5</v>
      </c>
      <c r="D10" s="54">
        <v>105</v>
      </c>
      <c r="E10" s="54">
        <v>1479</v>
      </c>
      <c r="F10" s="54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Eligible</v>
      </c>
    </row>
    <row r="11" spans="1:6" x14ac:dyDescent="0.35">
      <c r="A11" s="40" t="str">
        <f>_xlfn.TEXTJOIN(" ",TRUE,Employees_Data[[#This Row],[First Name]],Employees_Data[[#This Row],[Last Name]])</f>
        <v>Muhamad Alrifaei</v>
      </c>
      <c r="B11" s="41">
        <f ca="1">DATEDIF(Employees!$F11,TODAY(),"Y")</f>
        <v>6</v>
      </c>
      <c r="C11" s="64">
        <v>4.5</v>
      </c>
      <c r="D11" s="56">
        <v>153</v>
      </c>
      <c r="E11" s="56">
        <v>1186</v>
      </c>
      <c r="F11" s="56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Eligible</v>
      </c>
    </row>
    <row r="12" spans="1:6" x14ac:dyDescent="0.35">
      <c r="A12" s="36" t="str">
        <f>_xlfn.TEXTJOIN(" ",TRUE,Employees_Data[[#This Row],[First Name]],Employees_Data[[#This Row],[Last Name]])</f>
        <v>Muhamad Alqadah</v>
      </c>
      <c r="B12" s="37">
        <f ca="1">DATEDIF(Employees!$F12,TODAY(),"Y")</f>
        <v>8</v>
      </c>
      <c r="C12" s="63">
        <v>2</v>
      </c>
      <c r="D12" s="54">
        <v>12</v>
      </c>
      <c r="E12" s="54">
        <v>1485</v>
      </c>
      <c r="F12" s="54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13" spans="1:6" x14ac:dyDescent="0.35">
      <c r="A13" s="40" t="str">
        <f>_xlfn.TEXTJOIN(" ",TRUE,Employees_Data[[#This Row],[First Name]],Employees_Data[[#This Row],[Last Name]])</f>
        <v>Muhamad Iad</v>
      </c>
      <c r="B13" s="41">
        <f ca="1">DATEDIF(Employees!$F13,TODAY(),"Y")</f>
        <v>8</v>
      </c>
      <c r="C13" s="64">
        <v>1</v>
      </c>
      <c r="D13" s="56">
        <v>70</v>
      </c>
      <c r="E13" s="56">
        <v>2016</v>
      </c>
      <c r="F13" s="56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14" spans="1:6" x14ac:dyDescent="0.35">
      <c r="A14" s="36" t="str">
        <f>_xlfn.TEXTJOIN(" ",TRUE,Employees_Data[[#This Row],[First Name]],Employees_Data[[#This Row],[Last Name]])</f>
        <v>Razaan Nasif</v>
      </c>
      <c r="B14" s="37">
        <f ca="1">DATEDIF(Employees!$F14,TODAY(),"Y")</f>
        <v>7</v>
      </c>
      <c r="C14" s="63">
        <v>5</v>
      </c>
      <c r="D14" s="54">
        <v>85</v>
      </c>
      <c r="E14" s="54">
        <v>1999</v>
      </c>
      <c r="F14" s="54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Eligible</v>
      </c>
    </row>
    <row r="15" spans="1:6" x14ac:dyDescent="0.35">
      <c r="A15" s="40" t="str">
        <f>_xlfn.TEXTJOIN(" ",TRUE,Employees_Data[[#This Row],[First Name]],Employees_Data[[#This Row],[Last Name]])</f>
        <v>Iilian Dbs</v>
      </c>
      <c r="B15" s="41">
        <f ca="1">DATEDIF(Employees!$F15,TODAY(),"Y")</f>
        <v>10</v>
      </c>
      <c r="C15" s="64">
        <v>5</v>
      </c>
      <c r="D15" s="56">
        <v>8</v>
      </c>
      <c r="E15" s="56">
        <v>3404</v>
      </c>
      <c r="F15" s="56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16" spans="1:6" x14ac:dyDescent="0.35">
      <c r="A16" s="36" t="str">
        <f>_xlfn.TEXTJOIN(" ",TRUE,Employees_Data[[#This Row],[First Name]],Employees_Data[[#This Row],[Last Name]])</f>
        <v>Bayan Qdw</v>
      </c>
      <c r="B16" s="37">
        <f ca="1">DATEDIF(Employees!$F16,TODAY(),"Y")</f>
        <v>7</v>
      </c>
      <c r="C16" s="63">
        <v>3</v>
      </c>
      <c r="D16" s="54">
        <v>8</v>
      </c>
      <c r="E16" s="54">
        <v>889</v>
      </c>
      <c r="F16" s="54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17" spans="1:6" x14ac:dyDescent="0.35">
      <c r="A17" s="40" t="str">
        <f>_xlfn.TEXTJOIN(" ",TRUE,Employees_Data[[#This Row],[First Name]],Employees_Data[[#This Row],[Last Name]])</f>
        <v>Alaa Muhamad</v>
      </c>
      <c r="B17" s="41">
        <f ca="1">DATEDIF(Employees!$F17,TODAY(),"Y")</f>
        <v>7</v>
      </c>
      <c r="C17" s="64">
        <v>3</v>
      </c>
      <c r="D17" s="56">
        <v>77</v>
      </c>
      <c r="E17" s="56">
        <v>930</v>
      </c>
      <c r="F17" s="56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Eligible</v>
      </c>
    </row>
    <row r="18" spans="1:6" x14ac:dyDescent="0.35">
      <c r="A18" s="36" t="str">
        <f>_xlfn.TEXTJOIN(" ",TRUE,Employees_Data[[#This Row],[First Name]],Employees_Data[[#This Row],[Last Name]])</f>
        <v>Sandra Aljurmqaniu</v>
      </c>
      <c r="B18" s="37">
        <f ca="1">DATEDIF(Employees!$F18,TODAY(),"Y")</f>
        <v>10</v>
      </c>
      <c r="C18" s="63">
        <v>4.5</v>
      </c>
      <c r="D18" s="54">
        <v>93</v>
      </c>
      <c r="E18" s="54">
        <v>3149</v>
      </c>
      <c r="F18" s="54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Eligible</v>
      </c>
    </row>
    <row r="19" spans="1:6" x14ac:dyDescent="0.35">
      <c r="A19" s="40" t="str">
        <f>_xlfn.TEXTJOIN(" ",TRUE,Employees_Data[[#This Row],[First Name]],Employees_Data[[#This Row],[Last Name]])</f>
        <v>Farahad Husayn</v>
      </c>
      <c r="B19" s="41">
        <f ca="1">DATEDIF(Employees!$F19,TODAY(),"Y")</f>
        <v>8</v>
      </c>
      <c r="C19" s="64">
        <v>3</v>
      </c>
      <c r="D19" s="56">
        <v>153</v>
      </c>
      <c r="E19" s="56">
        <v>1295</v>
      </c>
      <c r="F19" s="56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Eligible</v>
      </c>
    </row>
    <row r="20" spans="1:6" x14ac:dyDescent="0.35">
      <c r="A20" s="36" t="str">
        <f>_xlfn.TEXTJOIN(" ",TRUE,Employees_Data[[#This Row],[First Name]],Employees_Data[[#This Row],[Last Name]])</f>
        <v>Ahed Salim</v>
      </c>
      <c r="B20" s="37">
        <f ca="1">DATEDIF(Employees!$F20,TODAY(),"Y")</f>
        <v>8</v>
      </c>
      <c r="C20" s="63">
        <v>3</v>
      </c>
      <c r="D20" s="54">
        <v>8</v>
      </c>
      <c r="E20" s="54">
        <v>2162</v>
      </c>
      <c r="F20" s="54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21" spans="1:6" x14ac:dyDescent="0.35">
      <c r="A21" s="40" t="str">
        <f>_xlfn.TEXTJOIN(" ",TRUE,Employees_Data[[#This Row],[First Name]],Employees_Data[[#This Row],[Last Name]])</f>
        <v>Ayham Tutwnji</v>
      </c>
      <c r="B21" s="41">
        <f ca="1">DATEDIF(Employees!$F21,TODAY(),"Y")</f>
        <v>7</v>
      </c>
      <c r="C21" s="64">
        <v>2</v>
      </c>
      <c r="D21" s="56">
        <v>10</v>
      </c>
      <c r="E21" s="56">
        <v>2180</v>
      </c>
      <c r="F21" s="56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22" spans="1:6" x14ac:dyDescent="0.35">
      <c r="A22" s="36" t="str">
        <f>_xlfn.TEXTJOIN(" ",TRUE,Employees_Data[[#This Row],[First Name]],Employees_Data[[#This Row],[Last Name]])</f>
        <v>Samir Alsafdi</v>
      </c>
      <c r="B22" s="37">
        <f ca="1">DATEDIF(Employees!$F22,TODAY(),"Y")</f>
        <v>5</v>
      </c>
      <c r="C22" s="63">
        <v>5</v>
      </c>
      <c r="D22" s="54">
        <v>98</v>
      </c>
      <c r="E22" s="54">
        <v>1475</v>
      </c>
      <c r="F22" s="54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Eligible</v>
      </c>
    </row>
    <row r="23" spans="1:6" x14ac:dyDescent="0.35">
      <c r="A23" s="40" t="str">
        <f>_xlfn.TEXTJOIN(" ",TRUE,Employees_Data[[#This Row],[First Name]],Employees_Data[[#This Row],[Last Name]])</f>
        <v>Bilal Jalal</v>
      </c>
      <c r="B23" s="41">
        <f ca="1">DATEDIF(Employees!$F23,TODAY(),"Y")</f>
        <v>7</v>
      </c>
      <c r="C23" s="64">
        <v>3</v>
      </c>
      <c r="D23" s="56">
        <v>109</v>
      </c>
      <c r="E23" s="56">
        <v>1290</v>
      </c>
      <c r="F23" s="56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Eligible</v>
      </c>
    </row>
    <row r="24" spans="1:6" x14ac:dyDescent="0.35">
      <c r="A24" s="36" t="str">
        <f>_xlfn.TEXTJOIN(" ",TRUE,Employees_Data[[#This Row],[First Name]],Employees_Data[[#This Row],[Last Name]])</f>
        <v>Riad Sahalul</v>
      </c>
      <c r="B24" s="37">
        <f ca="1">DATEDIF(Employees!$F24,TODAY(),"Y")</f>
        <v>6</v>
      </c>
      <c r="C24" s="63">
        <v>3</v>
      </c>
      <c r="D24" s="54">
        <v>111</v>
      </c>
      <c r="E24" s="54">
        <v>1764</v>
      </c>
      <c r="F24" s="54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Eligible</v>
      </c>
    </row>
    <row r="25" spans="1:6" x14ac:dyDescent="0.35">
      <c r="A25" s="40" t="str">
        <f>_xlfn.TEXTJOIN(" ",TRUE,Employees_Data[[#This Row],[First Name]],Employees_Data[[#This Row],[Last Name]])</f>
        <v>Ahmad Ahmad</v>
      </c>
      <c r="B25" s="41">
        <f ca="1">DATEDIF(Employees!$F25,TODAY(),"Y")</f>
        <v>7</v>
      </c>
      <c r="C25" s="64">
        <v>4.5</v>
      </c>
      <c r="D25" s="56">
        <v>32</v>
      </c>
      <c r="E25" s="56">
        <v>2682</v>
      </c>
      <c r="F25" s="56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26" spans="1:6" x14ac:dyDescent="0.35">
      <c r="A26" s="36" t="str">
        <f>_xlfn.TEXTJOIN(" ",TRUE,Employees_Data[[#This Row],[First Name]],Employees_Data[[#This Row],[Last Name]])</f>
        <v>Muhamad Altarah</v>
      </c>
      <c r="B26" s="37">
        <f ca="1">DATEDIF(Employees!$F26,TODAY(),"Y")</f>
        <v>5</v>
      </c>
      <c r="C26" s="63">
        <v>3</v>
      </c>
      <c r="D26" s="54">
        <v>94</v>
      </c>
      <c r="E26" s="54">
        <v>3044</v>
      </c>
      <c r="F26" s="54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Eligible</v>
      </c>
    </row>
    <row r="27" spans="1:6" x14ac:dyDescent="0.35">
      <c r="A27" s="40" t="str">
        <f>_xlfn.TEXTJOIN(" ",TRUE,Employees_Data[[#This Row],[First Name]],Employees_Data[[#This Row],[Last Name]])</f>
        <v>Lwna Abu</v>
      </c>
      <c r="B27" s="41">
        <f ca="1">DATEDIF(Employees!$F27,TODAY(),"Y")</f>
        <v>6</v>
      </c>
      <c r="C27" s="64">
        <v>4.5</v>
      </c>
      <c r="D27" s="56">
        <v>13</v>
      </c>
      <c r="E27" s="56">
        <v>890</v>
      </c>
      <c r="F27" s="56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28" spans="1:6" x14ac:dyDescent="0.35">
      <c r="A28" s="36" t="str">
        <f>_xlfn.TEXTJOIN(" ",TRUE,Employees_Data[[#This Row],[First Name]],Employees_Data[[#This Row],[Last Name]])</f>
        <v>Jalal Almuluhi</v>
      </c>
      <c r="B28" s="37">
        <f ca="1">DATEDIF(Employees!$F28,TODAY(),"Y")</f>
        <v>7</v>
      </c>
      <c r="C28" s="63">
        <v>5</v>
      </c>
      <c r="D28" s="54">
        <v>70</v>
      </c>
      <c r="E28" s="54">
        <v>2207</v>
      </c>
      <c r="F28" s="54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Eligible</v>
      </c>
    </row>
    <row r="29" spans="1:6" x14ac:dyDescent="0.35">
      <c r="A29" s="40" t="str">
        <f>_xlfn.TEXTJOIN(" ",TRUE,Employees_Data[[#This Row],[First Name]],Employees_Data[[#This Row],[Last Name]])</f>
        <v>Rana Mius</v>
      </c>
      <c r="B29" s="41">
        <f ca="1">DATEDIF(Employees!$F29,TODAY(),"Y")</f>
        <v>7</v>
      </c>
      <c r="C29" s="64">
        <v>4.5</v>
      </c>
      <c r="D29" s="56">
        <v>9</v>
      </c>
      <c r="E29" s="56">
        <v>2136</v>
      </c>
      <c r="F29" s="56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30" spans="1:6" x14ac:dyDescent="0.35">
      <c r="A30" s="36" t="str">
        <f>_xlfn.TEXTJOIN(" ",TRUE,Employees_Data[[#This Row],[First Name]],Employees_Data[[#This Row],[Last Name]])</f>
        <v>Lina Aljabaan</v>
      </c>
      <c r="B30" s="37">
        <f ca="1">DATEDIF(Employees!$F30,TODAY(),"Y")</f>
        <v>6</v>
      </c>
      <c r="C30" s="63">
        <v>5</v>
      </c>
      <c r="D30" s="54">
        <v>97</v>
      </c>
      <c r="E30" s="54">
        <v>1161</v>
      </c>
      <c r="F30" s="54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Eligible</v>
      </c>
    </row>
    <row r="31" spans="1:6" x14ac:dyDescent="0.35">
      <c r="A31" s="40" t="str">
        <f>_xlfn.TEXTJOIN(" ",TRUE,Employees_Data[[#This Row],[First Name]],Employees_Data[[#This Row],[Last Name]])</f>
        <v>Rami Shanan</v>
      </c>
      <c r="B31" s="41">
        <f ca="1">DATEDIF(Employees!$F31,TODAY(),"Y")</f>
        <v>7</v>
      </c>
      <c r="C31" s="64">
        <v>5</v>
      </c>
      <c r="D31" s="56">
        <v>71</v>
      </c>
      <c r="E31" s="56">
        <v>830</v>
      </c>
      <c r="F31" s="56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Eligible</v>
      </c>
    </row>
    <row r="32" spans="1:6" x14ac:dyDescent="0.35">
      <c r="A32" s="36" t="str">
        <f>_xlfn.TEXTJOIN(" ",TRUE,Employees_Data[[#This Row],[First Name]],Employees_Data[[#This Row],[Last Name]])</f>
        <v>Eala Alhaj</v>
      </c>
      <c r="B32" s="37">
        <f ca="1">DATEDIF(Employees!$F32,TODAY(),"Y")</f>
        <v>6</v>
      </c>
      <c r="C32" s="63">
        <v>5</v>
      </c>
      <c r="D32" s="54">
        <v>100</v>
      </c>
      <c r="E32" s="54">
        <v>2977</v>
      </c>
      <c r="F32" s="54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Eligible</v>
      </c>
    </row>
    <row r="33" spans="1:6" x14ac:dyDescent="0.35">
      <c r="A33" s="40" t="str">
        <f>_xlfn.TEXTJOIN(" ",TRUE,Employees_Data[[#This Row],[First Name]],Employees_Data[[#This Row],[Last Name]])</f>
        <v>Ghalib Zakianiin</v>
      </c>
      <c r="B33" s="41">
        <f ca="1">DATEDIF(Employees!$F33,TODAY(),"Y")</f>
        <v>7</v>
      </c>
      <c r="C33" s="64">
        <v>3</v>
      </c>
      <c r="D33" s="56">
        <v>48</v>
      </c>
      <c r="E33" s="56">
        <v>3151</v>
      </c>
      <c r="F33" s="56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34" spans="1:6" x14ac:dyDescent="0.35">
      <c r="A34" s="36" t="str">
        <f>_xlfn.TEXTJOIN(" ",TRUE,Employees_Data[[#This Row],[First Name]],Employees_Data[[#This Row],[Last Name]])</f>
        <v>Muhamad Eurul</v>
      </c>
      <c r="B34" s="37">
        <f ca="1">DATEDIF(Employees!$F34,TODAY(),"Y")</f>
        <v>9</v>
      </c>
      <c r="C34" s="63">
        <v>1</v>
      </c>
      <c r="D34" s="54">
        <v>148</v>
      </c>
      <c r="E34" s="54">
        <v>1551</v>
      </c>
      <c r="F34" s="54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35" spans="1:6" x14ac:dyDescent="0.35">
      <c r="A35" s="40" t="str">
        <f>_xlfn.TEXTJOIN(" ",TRUE,Employees_Data[[#This Row],[First Name]],Employees_Data[[#This Row],[Last Name]])</f>
        <v>Eizat Ghanim</v>
      </c>
      <c r="B35" s="41">
        <f ca="1">DATEDIF(Employees!$F35,TODAY(),"Y")</f>
        <v>9</v>
      </c>
      <c r="C35" s="64">
        <v>1</v>
      </c>
      <c r="D35" s="56">
        <v>5</v>
      </c>
      <c r="E35" s="56">
        <v>2099</v>
      </c>
      <c r="F35" s="56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36" spans="1:6" x14ac:dyDescent="0.35">
      <c r="A36" s="36" t="str">
        <f>_xlfn.TEXTJOIN(" ",TRUE,Employees_Data[[#This Row],[First Name]],Employees_Data[[#This Row],[Last Name]])</f>
        <v>Ahmad Swyd</v>
      </c>
      <c r="B36" s="37">
        <f ca="1">DATEDIF(Employees!$F36,TODAY(),"Y")</f>
        <v>9</v>
      </c>
      <c r="C36" s="63">
        <v>4.5</v>
      </c>
      <c r="D36" s="54">
        <v>7</v>
      </c>
      <c r="E36" s="54">
        <v>808</v>
      </c>
      <c r="F36" s="54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37" spans="1:6" x14ac:dyDescent="0.35">
      <c r="A37" s="40" t="str">
        <f>_xlfn.TEXTJOIN(" ",TRUE,Employees_Data[[#This Row],[First Name]],Employees_Data[[#This Row],[Last Name]])</f>
        <v>Muhamad Aleass</v>
      </c>
      <c r="B37" s="41">
        <f ca="1">DATEDIF(Employees!$F37,TODAY(),"Y")</f>
        <v>7</v>
      </c>
      <c r="C37" s="64">
        <v>4.5</v>
      </c>
      <c r="D37" s="56">
        <v>37</v>
      </c>
      <c r="E37" s="56">
        <v>984</v>
      </c>
      <c r="F37" s="56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38" spans="1:6" x14ac:dyDescent="0.35">
      <c r="A38" s="36" t="str">
        <f>_xlfn.TEXTJOIN(" ",TRUE,Employees_Data[[#This Row],[First Name]],Employees_Data[[#This Row],[Last Name]])</f>
        <v>Rima AlAsfar</v>
      </c>
      <c r="B38" s="37">
        <f ca="1">DATEDIF(Employees!$F38,TODAY(),"Y")</f>
        <v>10</v>
      </c>
      <c r="C38" s="63">
        <v>5</v>
      </c>
      <c r="D38" s="54">
        <v>5</v>
      </c>
      <c r="E38" s="54">
        <v>1011</v>
      </c>
      <c r="F38" s="54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39" spans="1:6" x14ac:dyDescent="0.35">
      <c r="A39" s="40" t="str">
        <f>_xlfn.TEXTJOIN(" ",TRUE,Employees_Data[[#This Row],[First Name]],Employees_Data[[#This Row],[Last Name]])</f>
        <v>Zayn Aleabdyn Zaetar</v>
      </c>
      <c r="B39" s="41">
        <f ca="1">DATEDIF(Employees!$F39,TODAY(),"Y")</f>
        <v>5</v>
      </c>
      <c r="C39" s="64">
        <v>5</v>
      </c>
      <c r="D39" s="56">
        <v>3</v>
      </c>
      <c r="E39" s="56">
        <v>2026</v>
      </c>
      <c r="F39" s="56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40" spans="1:6" x14ac:dyDescent="0.35">
      <c r="A40" s="36" t="str">
        <f>_xlfn.TEXTJOIN(" ",TRUE,Employees_Data[[#This Row],[First Name]],Employees_Data[[#This Row],[Last Name]])</f>
        <v>Hazim Alshshatim</v>
      </c>
      <c r="B40" s="37">
        <f ca="1">DATEDIF(Employees!$F40,TODAY(),"Y")</f>
        <v>8</v>
      </c>
      <c r="C40" s="63">
        <v>3</v>
      </c>
      <c r="D40" s="54">
        <v>9</v>
      </c>
      <c r="E40" s="54">
        <v>2801</v>
      </c>
      <c r="F40" s="54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41" spans="1:6" x14ac:dyDescent="0.35">
      <c r="A41" s="40" t="str">
        <f>_xlfn.TEXTJOIN(" ",TRUE,Employees_Data[[#This Row],[First Name]],Employees_Data[[#This Row],[Last Name]])</f>
        <v>Dia Alshahf</v>
      </c>
      <c r="B41" s="41">
        <f ca="1">DATEDIF(Employees!$F41,TODAY(),"Y")</f>
        <v>7</v>
      </c>
      <c r="C41" s="64">
        <v>3</v>
      </c>
      <c r="D41" s="56">
        <v>0</v>
      </c>
      <c r="E41" s="56">
        <v>3208</v>
      </c>
      <c r="F41" s="56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42" spans="1:6" x14ac:dyDescent="0.35">
      <c r="A42" s="36" t="str">
        <f>_xlfn.TEXTJOIN(" ",TRUE,Employees_Data[[#This Row],[First Name]],Employees_Data[[#This Row],[Last Name]])</f>
        <v>Ayham Almusaa</v>
      </c>
      <c r="B42" s="37">
        <f ca="1">DATEDIF(Employees!$F42,TODAY(),"Y")</f>
        <v>7</v>
      </c>
      <c r="C42" s="63">
        <v>4.5</v>
      </c>
      <c r="D42" s="54">
        <v>26</v>
      </c>
      <c r="E42" s="54">
        <v>2129</v>
      </c>
      <c r="F42" s="54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43" spans="1:6" x14ac:dyDescent="0.35">
      <c r="A43" s="40" t="str">
        <f>_xlfn.TEXTJOIN(" ",TRUE,Employees_Data[[#This Row],[First Name]],Employees_Data[[#This Row],[Last Name]])</f>
        <v>Abd Allatif Mabrukh</v>
      </c>
      <c r="B43" s="41">
        <f ca="1">DATEDIF(Employees!$F43,TODAY(),"Y")</f>
        <v>5</v>
      </c>
      <c r="C43" s="64">
        <v>5</v>
      </c>
      <c r="D43" s="56">
        <v>7</v>
      </c>
      <c r="E43" s="56">
        <v>3344</v>
      </c>
      <c r="F43" s="56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44" spans="1:6" x14ac:dyDescent="0.35">
      <c r="A44" s="36" t="str">
        <f>_xlfn.TEXTJOIN(" ",TRUE,Employees_Data[[#This Row],[First Name]],Employees_Data[[#This Row],[Last Name]])</f>
        <v>Salim Abumaeun</v>
      </c>
      <c r="B44" s="37">
        <f ca="1">DATEDIF(Employees!$F44,TODAY(),"Y")</f>
        <v>9</v>
      </c>
      <c r="C44" s="63">
        <v>5</v>
      </c>
      <c r="D44" s="54">
        <v>14</v>
      </c>
      <c r="E44" s="54">
        <v>2836</v>
      </c>
      <c r="F44" s="54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45" spans="1:6" x14ac:dyDescent="0.35">
      <c r="A45" s="40" t="str">
        <f>_xlfn.TEXTJOIN(" ",TRUE,Employees_Data[[#This Row],[First Name]],Employees_Data[[#This Row],[Last Name]])</f>
        <v>Rafat Hamza</v>
      </c>
      <c r="B45" s="41">
        <f ca="1">DATEDIF(Employees!$F45,TODAY(),"Y")</f>
        <v>6</v>
      </c>
      <c r="C45" s="64">
        <v>3</v>
      </c>
      <c r="D45" s="56">
        <v>9</v>
      </c>
      <c r="E45" s="56">
        <v>1960</v>
      </c>
      <c r="F45" s="56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46" spans="1:6" x14ac:dyDescent="0.35">
      <c r="A46" s="36" t="str">
        <f>_xlfn.TEXTJOIN(" ",TRUE,Employees_Data[[#This Row],[First Name]],Employees_Data[[#This Row],[Last Name]])</f>
        <v>Ahmad Laylana</v>
      </c>
      <c r="B46" s="37">
        <f ca="1">DATEDIF(Employees!$F46,TODAY(),"Y")</f>
        <v>9</v>
      </c>
      <c r="C46" s="63">
        <v>4.5</v>
      </c>
      <c r="D46" s="54">
        <v>7</v>
      </c>
      <c r="E46" s="54">
        <v>1478</v>
      </c>
      <c r="F46" s="54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47" spans="1:6" x14ac:dyDescent="0.35">
      <c r="A47" s="40" t="str">
        <f>_xlfn.TEXTJOIN(" ",TRUE,Employees_Data[[#This Row],[First Name]],Employees_Data[[#This Row],[Last Name]])</f>
        <v>Lobnaa Khalifih</v>
      </c>
      <c r="B47" s="41">
        <f ca="1">DATEDIF(Employees!$F47,TODAY(),"Y")</f>
        <v>6</v>
      </c>
      <c r="C47" s="64">
        <v>2</v>
      </c>
      <c r="D47" s="56">
        <v>3</v>
      </c>
      <c r="E47" s="56">
        <v>1981</v>
      </c>
      <c r="F47" s="56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48" spans="1:6" x14ac:dyDescent="0.35">
      <c r="A48" s="36" t="str">
        <f>_xlfn.TEXTJOIN(" ",TRUE,Employees_Data[[#This Row],[First Name]],Employees_Data[[#This Row],[Last Name]])</f>
        <v>Sami Alkhujih</v>
      </c>
      <c r="B48" s="37">
        <f ca="1">DATEDIF(Employees!$F48,TODAY(),"Y")</f>
        <v>7</v>
      </c>
      <c r="C48" s="63">
        <v>2</v>
      </c>
      <c r="D48" s="54">
        <v>0</v>
      </c>
      <c r="E48" s="54">
        <v>2064</v>
      </c>
      <c r="F48" s="54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49" spans="1:6" x14ac:dyDescent="0.35">
      <c r="A49" s="40" t="str">
        <f>_xlfn.TEXTJOIN(" ",TRUE,Employees_Data[[#This Row],[First Name]],Employees_Data[[#This Row],[Last Name]])</f>
        <v>Salam Alealbi</v>
      </c>
      <c r="B49" s="41">
        <f ca="1">DATEDIF(Employees!$F49,TODAY(),"Y")</f>
        <v>10</v>
      </c>
      <c r="C49" s="64">
        <v>5</v>
      </c>
      <c r="D49" s="56">
        <v>3</v>
      </c>
      <c r="E49" s="56">
        <v>1045</v>
      </c>
      <c r="F49" s="56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50" spans="1:6" x14ac:dyDescent="0.35">
      <c r="A50" s="36" t="str">
        <f>_xlfn.TEXTJOIN(" ",TRUE,Employees_Data[[#This Row],[First Name]],Employees_Data[[#This Row],[Last Name]])</f>
        <v>Rim Almusaa</v>
      </c>
      <c r="B50" s="37">
        <f ca="1">DATEDIF(Employees!$F50,TODAY(),"Y")</f>
        <v>6</v>
      </c>
      <c r="C50" s="63">
        <v>3</v>
      </c>
      <c r="D50" s="54">
        <v>1</v>
      </c>
      <c r="E50" s="54">
        <v>2022</v>
      </c>
      <c r="F50" s="54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51" spans="1:6" x14ac:dyDescent="0.35">
      <c r="A51" s="40" t="str">
        <f>_xlfn.TEXTJOIN(" ",TRUE,Employees_Data[[#This Row],[First Name]],Employees_Data[[#This Row],[Last Name]])</f>
        <v>Ghada Aleasimii</v>
      </c>
      <c r="B51" s="41">
        <f ca="1">DATEDIF(Employees!$F51,TODAY(),"Y")</f>
        <v>7</v>
      </c>
      <c r="C51" s="64">
        <v>5</v>
      </c>
      <c r="D51" s="56">
        <v>1</v>
      </c>
      <c r="E51" s="56">
        <v>2383</v>
      </c>
      <c r="F51" s="56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52" spans="1:6" x14ac:dyDescent="0.35">
      <c r="A52" s="36" t="str">
        <f>_xlfn.TEXTJOIN(" ",TRUE,Employees_Data[[#This Row],[First Name]],Employees_Data[[#This Row],[Last Name]])</f>
        <v>Abd Alwahhab Muhamad</v>
      </c>
      <c r="B52" s="37">
        <f ca="1">DATEDIF(Employees!$F52,TODAY(),"Y")</f>
        <v>7</v>
      </c>
      <c r="C52" s="63">
        <v>3</v>
      </c>
      <c r="D52" s="54">
        <v>1</v>
      </c>
      <c r="E52" s="54">
        <v>1563</v>
      </c>
      <c r="F52" s="54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53" spans="1:6" x14ac:dyDescent="0.35">
      <c r="A53" s="40" t="str">
        <f>_xlfn.TEXTJOIN(" ",TRUE,Employees_Data[[#This Row],[First Name]],Employees_Data[[#This Row],[Last Name]])</f>
        <v>Ayman Eubayd</v>
      </c>
      <c r="B53" s="41">
        <f ca="1">DATEDIF(Employees!$F53,TODAY(),"Y")</f>
        <v>7</v>
      </c>
      <c r="C53" s="64">
        <v>2</v>
      </c>
      <c r="D53" s="56">
        <v>10</v>
      </c>
      <c r="E53" s="56">
        <v>919</v>
      </c>
      <c r="F53" s="56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54" spans="1:6" x14ac:dyDescent="0.35">
      <c r="A54" s="36" t="str">
        <f>_xlfn.TEXTJOIN(" ",TRUE,Employees_Data[[#This Row],[First Name]],Employees_Data[[#This Row],[Last Name]])</f>
        <v>Faras Karim</v>
      </c>
      <c r="B54" s="37">
        <f ca="1">DATEDIF(Employees!$F54,TODAY(),"Y")</f>
        <v>6</v>
      </c>
      <c r="C54" s="63">
        <v>5</v>
      </c>
      <c r="D54" s="54">
        <v>5</v>
      </c>
      <c r="E54" s="54">
        <v>988</v>
      </c>
      <c r="F54" s="54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55" spans="1:6" x14ac:dyDescent="0.35">
      <c r="A55" s="40" t="str">
        <f>_xlfn.TEXTJOIN(" ",TRUE,Employees_Data[[#This Row],[First Name]],Employees_Data[[#This Row],[Last Name]])</f>
        <v>Shadi Salayk</v>
      </c>
      <c r="B55" s="41">
        <f ca="1">DATEDIF(Employees!$F55,TODAY(),"Y")</f>
        <v>7</v>
      </c>
      <c r="C55" s="64">
        <v>3</v>
      </c>
      <c r="D55" s="56">
        <v>10</v>
      </c>
      <c r="E55" s="56">
        <v>2631</v>
      </c>
      <c r="F55" s="56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56" spans="1:6" x14ac:dyDescent="0.35">
      <c r="A56" s="36" t="str">
        <f>_xlfn.TEXTJOIN(" ",TRUE,Employees_Data[[#This Row],[First Name]],Employees_Data[[#This Row],[Last Name]])</f>
        <v>Eubay Alttahir</v>
      </c>
      <c r="B56" s="37">
        <f ca="1">DATEDIF(Employees!$F56,TODAY(),"Y")</f>
        <v>10</v>
      </c>
      <c r="C56" s="63">
        <v>3</v>
      </c>
      <c r="D56" s="54">
        <v>5</v>
      </c>
      <c r="E56" s="54">
        <v>2368</v>
      </c>
      <c r="F56" s="54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57" spans="1:6" x14ac:dyDescent="0.35">
      <c r="A57" s="40" t="str">
        <f>_xlfn.TEXTJOIN(" ",TRUE,Employees_Data[[#This Row],[First Name]],Employees_Data[[#This Row],[Last Name]])</f>
        <v>Abd Alhadi Alzzahir</v>
      </c>
      <c r="B57" s="41">
        <f ca="1">DATEDIF(Employees!$F57,TODAY(),"Y")</f>
        <v>8</v>
      </c>
      <c r="C57" s="64">
        <v>3</v>
      </c>
      <c r="D57" s="56">
        <v>85</v>
      </c>
      <c r="E57" s="56">
        <v>2679</v>
      </c>
      <c r="F57" s="56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Eligible</v>
      </c>
    </row>
    <row r="58" spans="1:6" x14ac:dyDescent="0.35">
      <c r="A58" s="36" t="str">
        <f>_xlfn.TEXTJOIN(" ",TRUE,Employees_Data[[#This Row],[First Name]],Employees_Data[[#This Row],[Last Name]])</f>
        <v>Majdulin Ashbrh</v>
      </c>
      <c r="B58" s="37">
        <f ca="1">DATEDIF(Employees!$F58,TODAY(),"Y")</f>
        <v>7</v>
      </c>
      <c r="C58" s="63">
        <v>3</v>
      </c>
      <c r="D58" s="54">
        <v>10</v>
      </c>
      <c r="E58" s="54">
        <v>2423</v>
      </c>
      <c r="F58" s="54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59" spans="1:6" x14ac:dyDescent="0.35">
      <c r="A59" s="40" t="str">
        <f>_xlfn.TEXTJOIN(" ",TRUE,Employees_Data[[#This Row],[First Name]],Employees_Data[[#This Row],[Last Name]])</f>
        <v>Aylyn Dahadal</v>
      </c>
      <c r="B59" s="41">
        <f ca="1">DATEDIF(Employees!$F59,TODAY(),"Y")</f>
        <v>6</v>
      </c>
      <c r="C59" s="64">
        <v>5</v>
      </c>
      <c r="D59" s="56">
        <v>0</v>
      </c>
      <c r="E59" s="56">
        <v>2115</v>
      </c>
      <c r="F59" s="56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60" spans="1:6" x14ac:dyDescent="0.35">
      <c r="A60" s="36" t="str">
        <f>_xlfn.TEXTJOIN(" ",TRUE,Employees_Data[[#This Row],[First Name]],Employees_Data[[#This Row],[Last Name]])</f>
        <v>Tala Tuish</v>
      </c>
      <c r="B60" s="37">
        <f ca="1">DATEDIF(Employees!$F60,TODAY(),"Y")</f>
        <v>7</v>
      </c>
      <c r="C60" s="63">
        <v>1</v>
      </c>
      <c r="D60" s="54">
        <v>11</v>
      </c>
      <c r="E60" s="54">
        <v>2969</v>
      </c>
      <c r="F60" s="54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61" spans="1:6" x14ac:dyDescent="0.35">
      <c r="A61" s="40" t="str">
        <f>_xlfn.TEXTJOIN(" ",TRUE,Employees_Data[[#This Row],[First Name]],Employees_Data[[#This Row],[Last Name]])</f>
        <v>Muhamad Qarh</v>
      </c>
      <c r="B61" s="41">
        <f ca="1">DATEDIF(Employees!$F61,TODAY(),"Y")</f>
        <v>7</v>
      </c>
      <c r="C61" s="64">
        <v>3</v>
      </c>
      <c r="D61" s="56">
        <v>7</v>
      </c>
      <c r="E61" s="56">
        <v>2467</v>
      </c>
      <c r="F61" s="56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62" spans="1:6" x14ac:dyDescent="0.35">
      <c r="A62" s="36" t="str">
        <f>_xlfn.TEXTJOIN(" ",TRUE,Employees_Data[[#This Row],[First Name]],Employees_Data[[#This Row],[Last Name]])</f>
        <v>Eala Almisri</v>
      </c>
      <c r="B62" s="37">
        <f ca="1">DATEDIF(Employees!$F62,TODAY(),"Y")</f>
        <v>7</v>
      </c>
      <c r="C62" s="63">
        <v>3</v>
      </c>
      <c r="D62" s="54">
        <v>10</v>
      </c>
      <c r="E62" s="54">
        <v>3244</v>
      </c>
      <c r="F62" s="54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63" spans="1:6" x14ac:dyDescent="0.35">
      <c r="A63" s="40" t="str">
        <f>_xlfn.TEXTJOIN(" ",TRUE,Employees_Data[[#This Row],[First Name]],Employees_Data[[#This Row],[Last Name]])</f>
        <v>Muhamad Alzaybq</v>
      </c>
      <c r="B63" s="41">
        <f ca="1">DATEDIF(Employees!$F63,TODAY(),"Y")</f>
        <v>7</v>
      </c>
      <c r="C63" s="64">
        <v>3</v>
      </c>
      <c r="D63" s="56">
        <v>2</v>
      </c>
      <c r="E63" s="56">
        <v>2132</v>
      </c>
      <c r="F63" s="56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64" spans="1:6" x14ac:dyDescent="0.35">
      <c r="A64" s="36" t="str">
        <f>_xlfn.TEXTJOIN(" ",TRUE,Employees_Data[[#This Row],[First Name]],Employees_Data[[#This Row],[Last Name]])</f>
        <v>Muhamad Asamy</v>
      </c>
      <c r="B64" s="37">
        <f ca="1">DATEDIF(Employees!$F64,TODAY(),"Y")</f>
        <v>9</v>
      </c>
      <c r="C64" s="63">
        <v>3</v>
      </c>
      <c r="D64" s="54">
        <v>0</v>
      </c>
      <c r="E64" s="54">
        <v>994</v>
      </c>
      <c r="F64" s="54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65" spans="1:6" x14ac:dyDescent="0.35">
      <c r="A65" s="40" t="str">
        <f>_xlfn.TEXTJOIN(" ",TRUE,Employees_Data[[#This Row],[First Name]],Employees_Data[[#This Row],[Last Name]])</f>
        <v>Ahmad Alealbi</v>
      </c>
      <c r="B65" s="41">
        <f ca="1">DATEDIF(Employees!$F65,TODAY(),"Y")</f>
        <v>10</v>
      </c>
      <c r="C65" s="64">
        <v>5</v>
      </c>
      <c r="D65" s="56">
        <v>2</v>
      </c>
      <c r="E65" s="56">
        <v>2304</v>
      </c>
      <c r="F65" s="56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66" spans="1:6" x14ac:dyDescent="0.35">
      <c r="A66" s="36" t="str">
        <f>_xlfn.TEXTJOIN(" ",TRUE,Employees_Data[[#This Row],[First Name]],Employees_Data[[#This Row],[Last Name]])</f>
        <v>Ibrahim Almasri</v>
      </c>
      <c r="B66" s="37">
        <f ca="1">DATEDIF(Employees!$F66,TODAY(),"Y")</f>
        <v>8</v>
      </c>
      <c r="C66" s="63">
        <v>2</v>
      </c>
      <c r="D66" s="54">
        <v>50</v>
      </c>
      <c r="E66" s="54">
        <v>1207</v>
      </c>
      <c r="F66" s="54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67" spans="1:6" x14ac:dyDescent="0.35">
      <c r="A67" s="40" t="str">
        <f>_xlfn.TEXTJOIN(" ",TRUE,Employees_Data[[#This Row],[First Name]],Employees_Data[[#This Row],[Last Name]])</f>
        <v>Hamdah Alkhalifa</v>
      </c>
      <c r="B67" s="41">
        <f ca="1">DATEDIF(Employees!$F67,TODAY(),"Y")</f>
        <v>7</v>
      </c>
      <c r="C67" s="64">
        <v>4.5</v>
      </c>
      <c r="D67" s="56">
        <v>3</v>
      </c>
      <c r="E67" s="56">
        <v>802</v>
      </c>
      <c r="F67" s="56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68" spans="1:6" x14ac:dyDescent="0.35">
      <c r="A68" s="36" t="str">
        <f>_xlfn.TEXTJOIN(" ",TRUE,Employees_Data[[#This Row],[First Name]],Employees_Data[[#This Row],[Last Name]])</f>
        <v>Muhamad Jawish</v>
      </c>
      <c r="B68" s="37">
        <f ca="1">DATEDIF(Employees!$F68,TODAY(),"Y")</f>
        <v>6</v>
      </c>
      <c r="C68" s="63">
        <v>3</v>
      </c>
      <c r="D68" s="54">
        <v>4</v>
      </c>
      <c r="E68" s="54">
        <v>2065</v>
      </c>
      <c r="F68" s="54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69" spans="1:6" x14ac:dyDescent="0.35">
      <c r="A69" s="40" t="str">
        <f>_xlfn.TEXTJOIN(" ",TRUE,Employees_Data[[#This Row],[First Name]],Employees_Data[[#This Row],[Last Name]])</f>
        <v>Muwmin Almudhin</v>
      </c>
      <c r="B69" s="41">
        <f ca="1">DATEDIF(Employees!$F69,TODAY(),"Y")</f>
        <v>6</v>
      </c>
      <c r="C69" s="64">
        <v>5</v>
      </c>
      <c r="D69" s="56">
        <v>0</v>
      </c>
      <c r="E69" s="56">
        <v>2882</v>
      </c>
      <c r="F69" s="56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70" spans="1:6" x14ac:dyDescent="0.35">
      <c r="A70" s="36" t="str">
        <f>_xlfn.TEXTJOIN(" ",TRUE,Employees_Data[[#This Row],[First Name]],Employees_Data[[#This Row],[Last Name]])</f>
        <v>Ahmad Zayd</v>
      </c>
      <c r="B70" s="37">
        <f ca="1">DATEDIF(Employees!$F70,TODAY(),"Y")</f>
        <v>8</v>
      </c>
      <c r="C70" s="63">
        <v>5</v>
      </c>
      <c r="D70" s="54">
        <v>64</v>
      </c>
      <c r="E70" s="54">
        <v>2042</v>
      </c>
      <c r="F70" s="54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Eligible</v>
      </c>
    </row>
    <row r="71" spans="1:6" x14ac:dyDescent="0.35">
      <c r="A71" s="40" t="str">
        <f>_xlfn.TEXTJOIN(" ",TRUE,Employees_Data[[#This Row],[First Name]],Employees_Data[[#This Row],[Last Name]])</f>
        <v>Layzaan Nabulsi</v>
      </c>
      <c r="B71" s="41">
        <f ca="1">DATEDIF(Employees!$F71,TODAY(),"Y")</f>
        <v>6</v>
      </c>
      <c r="C71" s="64">
        <v>3</v>
      </c>
      <c r="D71" s="56">
        <v>8</v>
      </c>
      <c r="E71" s="56">
        <v>2017</v>
      </c>
      <c r="F71" s="56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72" spans="1:6" x14ac:dyDescent="0.35">
      <c r="A72" s="36" t="str">
        <f>_xlfn.TEXTJOIN(" ",TRUE,Employees_Data[[#This Row],[First Name]],Employees_Data[[#This Row],[Last Name]])</f>
        <v>Sarih Eammar</v>
      </c>
      <c r="B72" s="37">
        <f ca="1">DATEDIF(Employees!$F72,TODAY(),"Y")</f>
        <v>8</v>
      </c>
      <c r="C72" s="63">
        <v>2</v>
      </c>
      <c r="D72" s="54">
        <v>2</v>
      </c>
      <c r="E72" s="54">
        <v>3215</v>
      </c>
      <c r="F72" s="54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73" spans="1:6" x14ac:dyDescent="0.35">
      <c r="A73" s="40" t="str">
        <f>_xlfn.TEXTJOIN(" ",TRUE,Employees_Data[[#This Row],[First Name]],Employees_Data[[#This Row],[Last Name]])</f>
        <v>Karam Hutayniun</v>
      </c>
      <c r="B73" s="41">
        <f ca="1">DATEDIF(Employees!$F73,TODAY(),"Y")</f>
        <v>9</v>
      </c>
      <c r="C73" s="64">
        <v>5</v>
      </c>
      <c r="D73" s="56">
        <v>10</v>
      </c>
      <c r="E73" s="56">
        <v>2957</v>
      </c>
      <c r="F73" s="56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74" spans="1:6" x14ac:dyDescent="0.35">
      <c r="A74" s="36" t="str">
        <f>_xlfn.TEXTJOIN(" ",TRUE,Employees_Data[[#This Row],[First Name]],Employees_Data[[#This Row],[Last Name]])</f>
        <v>Shahad Shanan</v>
      </c>
      <c r="B74" s="37">
        <f ca="1">DATEDIF(Employees!$F74,TODAY(),"Y")</f>
        <v>7</v>
      </c>
      <c r="C74" s="63">
        <v>3</v>
      </c>
      <c r="D74" s="54">
        <v>6</v>
      </c>
      <c r="E74" s="54">
        <v>891</v>
      </c>
      <c r="F74" s="54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75" spans="1:6" x14ac:dyDescent="0.35">
      <c r="A75" s="40" t="str">
        <f>_xlfn.TEXTJOIN(" ",TRUE,Employees_Data[[#This Row],[First Name]],Employees_Data[[#This Row],[Last Name]])</f>
        <v>Salah Ramadan</v>
      </c>
      <c r="B75" s="41">
        <f ca="1">DATEDIF(Employees!$F75,TODAY(),"Y")</f>
        <v>8</v>
      </c>
      <c r="C75" s="64">
        <v>4.5</v>
      </c>
      <c r="D75" s="56">
        <v>0</v>
      </c>
      <c r="E75" s="56">
        <v>1971</v>
      </c>
      <c r="F75" s="56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76" spans="1:6" x14ac:dyDescent="0.35">
      <c r="A76" s="36" t="str">
        <f>_xlfn.TEXTJOIN(" ",TRUE,Employees_Data[[#This Row],[First Name]],Employees_Data[[#This Row],[Last Name]])</f>
        <v>Sami Alkhayrat</v>
      </c>
      <c r="B76" s="37">
        <f ca="1">DATEDIF(Employees!$F76,TODAY(),"Y")</f>
        <v>5</v>
      </c>
      <c r="C76" s="63">
        <v>3</v>
      </c>
      <c r="D76" s="54">
        <v>10</v>
      </c>
      <c r="E76" s="54">
        <v>2317</v>
      </c>
      <c r="F76" s="54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77" spans="1:6" x14ac:dyDescent="0.35">
      <c r="A77" s="40" t="str">
        <f>_xlfn.TEXTJOIN(" ",TRUE,Employees_Data[[#This Row],[First Name]],Employees_Data[[#This Row],[Last Name]])</f>
        <v>Khalid Snan</v>
      </c>
      <c r="B77" s="41">
        <f ca="1">DATEDIF(Employees!$F77,TODAY(),"Y")</f>
        <v>6</v>
      </c>
      <c r="C77" s="64">
        <v>3</v>
      </c>
      <c r="D77" s="56">
        <v>12</v>
      </c>
      <c r="E77" s="56">
        <v>1657</v>
      </c>
      <c r="F77" s="56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78" spans="1:6" x14ac:dyDescent="0.35">
      <c r="A78" s="36" t="str">
        <f>_xlfn.TEXTJOIN(" ",TRUE,Employees_Data[[#This Row],[First Name]],Employees_Data[[#This Row],[Last Name]])</f>
        <v>Salam Alkhatib</v>
      </c>
      <c r="B78" s="37">
        <f ca="1">DATEDIF(Employees!$F78,TODAY(),"Y")</f>
        <v>8</v>
      </c>
      <c r="C78" s="63">
        <v>3</v>
      </c>
      <c r="D78" s="54">
        <v>6</v>
      </c>
      <c r="E78" s="54">
        <v>3053</v>
      </c>
      <c r="F78" s="54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79" spans="1:6" x14ac:dyDescent="0.35">
      <c r="A79" s="40" t="str">
        <f>_xlfn.TEXTJOIN(" ",TRUE,Employees_Data[[#This Row],[First Name]],Employees_Data[[#This Row],[Last Name]])</f>
        <v>Darar Alshiyraziu</v>
      </c>
      <c r="B79" s="41">
        <f ca="1">DATEDIF(Employees!$F79,TODAY(),"Y")</f>
        <v>6</v>
      </c>
      <c r="C79" s="64">
        <v>1</v>
      </c>
      <c r="D79" s="56">
        <v>4</v>
      </c>
      <c r="E79" s="56">
        <v>1887</v>
      </c>
      <c r="F79" s="56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80" spans="1:6" x14ac:dyDescent="0.35">
      <c r="A80" s="36" t="str">
        <f>_xlfn.TEXTJOIN(" ",TRUE,Employees_Data[[#This Row],[First Name]],Employees_Data[[#This Row],[Last Name]])</f>
        <v>Mazin Yusif</v>
      </c>
      <c r="B80" s="37">
        <f ca="1">DATEDIF(Employees!$F80,TODAY(),"Y")</f>
        <v>7</v>
      </c>
      <c r="C80" s="63">
        <v>4.5</v>
      </c>
      <c r="D80" s="54">
        <v>9</v>
      </c>
      <c r="E80" s="54">
        <v>1457</v>
      </c>
      <c r="F80" s="54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81" spans="1:6" x14ac:dyDescent="0.35">
      <c r="A81" s="40" t="str">
        <f>_xlfn.TEXTJOIN(" ",TRUE,Employees_Data[[#This Row],[First Name]],Employees_Data[[#This Row],[Last Name]])</f>
        <v>Rasha Naeim</v>
      </c>
      <c r="B81" s="41">
        <f ca="1">DATEDIF(Employees!$F81,TODAY(),"Y")</f>
        <v>7</v>
      </c>
      <c r="C81" s="64">
        <v>5</v>
      </c>
      <c r="D81" s="56">
        <v>8</v>
      </c>
      <c r="E81" s="56">
        <v>2581</v>
      </c>
      <c r="F81" s="56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82" spans="1:6" x14ac:dyDescent="0.35">
      <c r="A82" s="36" t="str">
        <f>_xlfn.TEXTJOIN(" ",TRUE,Employees_Data[[#This Row],[First Name]],Employees_Data[[#This Row],[Last Name]])</f>
        <v>Eamra Alshueranii</v>
      </c>
      <c r="B82" s="37">
        <f ca="1">DATEDIF(Employees!$F82,TODAY(),"Y")</f>
        <v>10</v>
      </c>
      <c r="C82" s="63">
        <v>5</v>
      </c>
      <c r="D82" s="54">
        <v>10</v>
      </c>
      <c r="E82" s="54">
        <v>901</v>
      </c>
      <c r="F82" s="54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83" spans="1:6" x14ac:dyDescent="0.35">
      <c r="A83" s="40" t="str">
        <f>_xlfn.TEXTJOIN(" ",TRUE,Employees_Data[[#This Row],[First Name]],Employees_Data[[#This Row],[Last Name]])</f>
        <v>Amira Akrym</v>
      </c>
      <c r="B83" s="41">
        <f ca="1">DATEDIF(Employees!$F83,TODAY(),"Y")</f>
        <v>10</v>
      </c>
      <c r="C83" s="64">
        <v>4.5</v>
      </c>
      <c r="D83" s="56">
        <v>11</v>
      </c>
      <c r="E83" s="56">
        <v>898</v>
      </c>
      <c r="F83" s="56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84" spans="1:6" x14ac:dyDescent="0.35">
      <c r="A84" s="36" t="str">
        <f>_xlfn.TEXTJOIN(" ",TRUE,Employees_Data[[#This Row],[First Name]],Employees_Data[[#This Row],[Last Name]])</f>
        <v>Muhamad Hamzat</v>
      </c>
      <c r="B84" s="37">
        <f ca="1">DATEDIF(Employees!$F84,TODAY(),"Y")</f>
        <v>6</v>
      </c>
      <c r="C84" s="63">
        <v>3</v>
      </c>
      <c r="D84" s="54">
        <v>2</v>
      </c>
      <c r="E84" s="54">
        <v>2878</v>
      </c>
      <c r="F84" s="54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85" spans="1:6" x14ac:dyDescent="0.35">
      <c r="A85" s="40" t="str">
        <f>_xlfn.TEXTJOIN(" ",TRUE,Employees_Data[[#This Row],[First Name]],Employees_Data[[#This Row],[Last Name]])</f>
        <v>Muhamad Khayr</v>
      </c>
      <c r="B85" s="41">
        <f ca="1">DATEDIF(Employees!$F85,TODAY(),"Y")</f>
        <v>8</v>
      </c>
      <c r="C85" s="64">
        <v>3</v>
      </c>
      <c r="D85" s="56">
        <v>0</v>
      </c>
      <c r="E85" s="56">
        <v>2539</v>
      </c>
      <c r="F85" s="56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86" spans="1:6" x14ac:dyDescent="0.35">
      <c r="A86" s="36" t="str">
        <f>_xlfn.TEXTJOIN(" ",TRUE,Employees_Data[[#This Row],[First Name]],Employees_Data[[#This Row],[Last Name]])</f>
        <v>Abd Almalik Nazal</v>
      </c>
      <c r="B86" s="37">
        <f ca="1">DATEDIF(Employees!$F86,TODAY(),"Y")</f>
        <v>8</v>
      </c>
      <c r="C86" s="63">
        <v>5</v>
      </c>
      <c r="D86" s="54">
        <v>2</v>
      </c>
      <c r="E86" s="54">
        <v>2533</v>
      </c>
      <c r="F86" s="54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87" spans="1:6" x14ac:dyDescent="0.35">
      <c r="A87" s="40" t="str">
        <f>_xlfn.TEXTJOIN(" ",TRUE,Employees_Data[[#This Row],[First Name]],Employees_Data[[#This Row],[Last Name]])</f>
        <v>Rabya Kiwan</v>
      </c>
      <c r="B87" s="41">
        <f ca="1">DATEDIF(Employees!$F87,TODAY(),"Y")</f>
        <v>7</v>
      </c>
      <c r="C87" s="64">
        <v>3</v>
      </c>
      <c r="D87" s="56">
        <v>3</v>
      </c>
      <c r="E87" s="56">
        <v>885</v>
      </c>
      <c r="F87" s="56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88" spans="1:6" x14ac:dyDescent="0.35">
      <c r="A88" s="36" t="str">
        <f>_xlfn.TEXTJOIN(" ",TRUE,Employees_Data[[#This Row],[First Name]],Employees_Data[[#This Row],[Last Name]])</f>
        <v>Muhamad Khayr</v>
      </c>
      <c r="B88" s="37">
        <f ca="1">DATEDIF(Employees!$F88,TODAY(),"Y")</f>
        <v>7</v>
      </c>
      <c r="C88" s="63">
        <v>5</v>
      </c>
      <c r="D88" s="54">
        <v>5</v>
      </c>
      <c r="E88" s="54">
        <v>1166</v>
      </c>
      <c r="F88" s="54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89" spans="1:6" x14ac:dyDescent="0.35">
      <c r="A89" s="40" t="str">
        <f>_xlfn.TEXTJOIN(" ",TRUE,Employees_Data[[#This Row],[First Name]],Employees_Data[[#This Row],[Last Name]])</f>
        <v>Samah Almaydanii</v>
      </c>
      <c r="B89" s="41">
        <f ca="1">DATEDIF(Employees!$F89,TODAY(),"Y")</f>
        <v>9</v>
      </c>
      <c r="C89" s="64">
        <v>5</v>
      </c>
      <c r="D89" s="56">
        <v>3</v>
      </c>
      <c r="E89" s="56">
        <v>2022</v>
      </c>
      <c r="F89" s="56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90" spans="1:6" x14ac:dyDescent="0.35">
      <c r="A90" s="36" t="str">
        <f>_xlfn.TEXTJOIN(" ",TRUE,Employees_Data[[#This Row],[First Name]],Employees_Data[[#This Row],[Last Name]])</f>
        <v>Ali Watar</v>
      </c>
      <c r="B90" s="37">
        <f ca="1">DATEDIF(Employees!$F90,TODAY(),"Y")</f>
        <v>6</v>
      </c>
      <c r="C90" s="63">
        <v>2</v>
      </c>
      <c r="D90" s="54">
        <v>76</v>
      </c>
      <c r="E90" s="54">
        <v>1752</v>
      </c>
      <c r="F90" s="54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91" spans="1:6" x14ac:dyDescent="0.35">
      <c r="A91" s="40" t="str">
        <f>_xlfn.TEXTJOIN(" ",TRUE,Employees_Data[[#This Row],[First Name]],Employees_Data[[#This Row],[Last Name]])</f>
        <v>Darin Ghunum</v>
      </c>
      <c r="B91" s="41">
        <f ca="1">DATEDIF(Employees!$F91,TODAY(),"Y")</f>
        <v>7</v>
      </c>
      <c r="C91" s="64">
        <v>1</v>
      </c>
      <c r="D91" s="56">
        <v>4</v>
      </c>
      <c r="E91" s="56">
        <v>3157</v>
      </c>
      <c r="F91" s="56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92" spans="1:6" x14ac:dyDescent="0.35">
      <c r="A92" s="36" t="str">
        <f>_xlfn.TEXTJOIN(" ",TRUE,Employees_Data[[#This Row],[First Name]],Employees_Data[[#This Row],[Last Name]])</f>
        <v>Faras Alhamal</v>
      </c>
      <c r="B92" s="37">
        <f ca="1">DATEDIF(Employees!$F92,TODAY(),"Y")</f>
        <v>6</v>
      </c>
      <c r="C92" s="63">
        <v>5</v>
      </c>
      <c r="D92" s="54">
        <v>9</v>
      </c>
      <c r="E92" s="54">
        <v>3211</v>
      </c>
      <c r="F92" s="54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93" spans="1:6" x14ac:dyDescent="0.35">
      <c r="A93" s="40" t="str">
        <f>_xlfn.TEXTJOIN(" ",TRUE,Employees_Data[[#This Row],[First Name]],Employees_Data[[#This Row],[Last Name]])</f>
        <v>Amal Asamy</v>
      </c>
      <c r="B93" s="41">
        <f ca="1">DATEDIF(Employees!$F93,TODAY(),"Y")</f>
        <v>8</v>
      </c>
      <c r="C93" s="64">
        <v>3</v>
      </c>
      <c r="D93" s="56">
        <v>7</v>
      </c>
      <c r="E93" s="56">
        <v>1062</v>
      </c>
      <c r="F93" s="56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94" spans="1:6" x14ac:dyDescent="0.35">
      <c r="A94" s="36" t="str">
        <f>_xlfn.TEXTJOIN(" ",TRUE,Employees_Data[[#This Row],[First Name]],Employees_Data[[#This Row],[Last Name]])</f>
        <v>Razan AlAhmad</v>
      </c>
      <c r="B94" s="37">
        <f ca="1">DATEDIF(Employees!$F94,TODAY(),"Y")</f>
        <v>7</v>
      </c>
      <c r="C94" s="63">
        <v>4.5</v>
      </c>
      <c r="D94" s="54">
        <v>46</v>
      </c>
      <c r="E94" s="54">
        <v>1406</v>
      </c>
      <c r="F94" s="54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95" spans="1:6" x14ac:dyDescent="0.35">
      <c r="A95" s="40" t="str">
        <f>_xlfn.TEXTJOIN(" ",TRUE,Employees_Data[[#This Row],[First Name]],Employees_Data[[#This Row],[Last Name]])</f>
        <v>Muhamad Kharasah</v>
      </c>
      <c r="B95" s="41">
        <f ca="1">DATEDIF(Employees!$F95,TODAY(),"Y")</f>
        <v>7</v>
      </c>
      <c r="C95" s="64">
        <v>3</v>
      </c>
      <c r="D95" s="56">
        <v>3</v>
      </c>
      <c r="E95" s="56">
        <v>3084</v>
      </c>
      <c r="F95" s="56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96" spans="1:6" x14ac:dyDescent="0.35">
      <c r="A96" s="36" t="str">
        <f>_xlfn.TEXTJOIN(" ",TRUE,Employees_Data[[#This Row],[First Name]],Employees_Data[[#This Row],[Last Name]])</f>
        <v>Tariq Bryghl</v>
      </c>
      <c r="B96" s="37">
        <f ca="1">DATEDIF(Employees!$F96,TODAY(),"Y")</f>
        <v>5</v>
      </c>
      <c r="C96" s="63">
        <v>4.5</v>
      </c>
      <c r="D96" s="54">
        <v>9</v>
      </c>
      <c r="E96" s="54">
        <v>1815</v>
      </c>
      <c r="F96" s="54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97" spans="1:6" x14ac:dyDescent="0.35">
      <c r="A97" s="40" t="str">
        <f>_xlfn.TEXTJOIN(" ",TRUE,Employees_Data[[#This Row],[First Name]],Employees_Data[[#This Row],[Last Name]])</f>
        <v>Muhamad Husayn</v>
      </c>
      <c r="B97" s="41">
        <f ca="1">DATEDIF(Employees!$F97,TODAY(),"Y")</f>
        <v>9</v>
      </c>
      <c r="C97" s="64">
        <v>3</v>
      </c>
      <c r="D97" s="56">
        <v>9</v>
      </c>
      <c r="E97" s="56">
        <v>1861</v>
      </c>
      <c r="F97" s="56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98" spans="1:6" x14ac:dyDescent="0.35">
      <c r="A98" s="36" t="str">
        <f>_xlfn.TEXTJOIN(" ",TRUE,Employees_Data[[#This Row],[First Name]],Employees_Data[[#This Row],[Last Name]])</f>
        <v>Fadi Aleid</v>
      </c>
      <c r="B98" s="37">
        <f ca="1">DATEDIF(Employees!$F98,TODAY(),"Y")</f>
        <v>8</v>
      </c>
      <c r="C98" s="63">
        <v>5</v>
      </c>
      <c r="D98" s="54">
        <v>10</v>
      </c>
      <c r="E98" s="54">
        <v>3088</v>
      </c>
      <c r="F98" s="54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99" spans="1:6" x14ac:dyDescent="0.35">
      <c r="A99" s="40" t="str">
        <f>_xlfn.TEXTJOIN(" ",TRUE,Employees_Data[[#This Row],[First Name]],Employees_Data[[#This Row],[Last Name]])</f>
        <v>Tariq Abuzahir</v>
      </c>
      <c r="B99" s="41">
        <f ca="1">DATEDIF(Employees!$F99,TODAY(),"Y")</f>
        <v>9</v>
      </c>
      <c r="C99" s="64">
        <v>5</v>
      </c>
      <c r="D99" s="56">
        <v>2</v>
      </c>
      <c r="E99" s="56">
        <v>3071</v>
      </c>
      <c r="F99" s="56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100" spans="1:6" x14ac:dyDescent="0.35">
      <c r="A100" s="36" t="str">
        <f>_xlfn.TEXTJOIN(" ",TRUE,Employees_Data[[#This Row],[First Name]],Employees_Data[[#This Row],[Last Name]])</f>
        <v>Mazin Eubayd</v>
      </c>
      <c r="B100" s="37">
        <f ca="1">DATEDIF(Employees!$F100,TODAY(),"Y")</f>
        <v>7</v>
      </c>
      <c r="C100" s="63">
        <v>3</v>
      </c>
      <c r="D100" s="54">
        <v>9</v>
      </c>
      <c r="E100" s="54">
        <v>3298</v>
      </c>
      <c r="F100" s="54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101" spans="1:6" x14ac:dyDescent="0.35">
      <c r="A101" s="40" t="str">
        <f>_xlfn.TEXTJOIN(" ",TRUE,Employees_Data[[#This Row],[First Name]],Employees_Data[[#This Row],[Last Name]])</f>
        <v>Lina Aljabr</v>
      </c>
      <c r="B101" s="41">
        <f ca="1">DATEDIF(Employees!$F101,TODAY(),"Y")</f>
        <v>8</v>
      </c>
      <c r="C101" s="64">
        <v>5</v>
      </c>
      <c r="D101" s="56">
        <v>10</v>
      </c>
      <c r="E101" s="56">
        <v>828</v>
      </c>
      <c r="F101" s="56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102" spans="1:6" x14ac:dyDescent="0.35">
      <c r="A102" s="36" t="str">
        <f>_xlfn.TEXTJOIN(" ",TRUE,Employees_Data[[#This Row],[First Name]],Employees_Data[[#This Row],[Last Name]])</f>
        <v>Muhamad Ayman</v>
      </c>
      <c r="B102" s="37">
        <f ca="1">DATEDIF(Employees!$F102,TODAY(),"Y")</f>
        <v>6</v>
      </c>
      <c r="C102" s="63">
        <v>4.5</v>
      </c>
      <c r="D102" s="54">
        <v>99</v>
      </c>
      <c r="E102" s="54">
        <v>2404</v>
      </c>
      <c r="F102" s="54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Eligible</v>
      </c>
    </row>
    <row r="103" spans="1:6" x14ac:dyDescent="0.35">
      <c r="A103" s="40" t="str">
        <f>_xlfn.TEXTJOIN(" ",TRUE,Employees_Data[[#This Row],[First Name]],Employees_Data[[#This Row],[Last Name]])</f>
        <v>Ayman Muhamad</v>
      </c>
      <c r="B103" s="41">
        <f ca="1">DATEDIF(Employees!$F103,TODAY(),"Y")</f>
        <v>7</v>
      </c>
      <c r="C103" s="64">
        <v>3</v>
      </c>
      <c r="D103" s="56">
        <v>8</v>
      </c>
      <c r="E103" s="56">
        <v>3410</v>
      </c>
      <c r="F103" s="56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104" spans="1:6" x14ac:dyDescent="0.35">
      <c r="A104" s="36" t="str">
        <f>_xlfn.TEXTJOIN(" ",TRUE,Employees_Data[[#This Row],[First Name]],Employees_Data[[#This Row],[Last Name]])</f>
        <v>Ahmad Abu Eadlh</v>
      </c>
      <c r="B104" s="37">
        <f ca="1">DATEDIF(Employees!$F104,TODAY(),"Y")</f>
        <v>6</v>
      </c>
      <c r="C104" s="63">
        <v>5</v>
      </c>
      <c r="D104" s="54">
        <v>1</v>
      </c>
      <c r="E104" s="54">
        <v>1817</v>
      </c>
      <c r="F104" s="54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105" spans="1:6" x14ac:dyDescent="0.35">
      <c r="A105" s="40" t="str">
        <f>_xlfn.TEXTJOIN(" ",TRUE,Employees_Data[[#This Row],[First Name]],Employees_Data[[#This Row],[Last Name]])</f>
        <v>Rami Abu Adhan</v>
      </c>
      <c r="B105" s="41">
        <f ca="1">DATEDIF(Employees!$F105,TODAY(),"Y")</f>
        <v>6</v>
      </c>
      <c r="C105" s="64">
        <v>2</v>
      </c>
      <c r="D105" s="56">
        <v>0</v>
      </c>
      <c r="E105" s="56">
        <v>2923</v>
      </c>
      <c r="F105" s="56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106" spans="1:6" x14ac:dyDescent="0.35">
      <c r="A106" s="36" t="str">
        <f>_xlfn.TEXTJOIN(" ",TRUE,Employees_Data[[#This Row],[First Name]],Employees_Data[[#This Row],[Last Name]])</f>
        <v>Muhamad Hamzat</v>
      </c>
      <c r="B106" s="37">
        <f ca="1">DATEDIF(Employees!$F106,TODAY(),"Y")</f>
        <v>8</v>
      </c>
      <c r="C106" s="63">
        <v>5</v>
      </c>
      <c r="D106" s="54">
        <v>10</v>
      </c>
      <c r="E106" s="54">
        <v>3138</v>
      </c>
      <c r="F106" s="54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107" spans="1:6" x14ac:dyDescent="0.35">
      <c r="A107" s="40" t="str">
        <f>_xlfn.TEXTJOIN(" ",TRUE,Employees_Data[[#This Row],[First Name]],Employees_Data[[#This Row],[Last Name]])</f>
        <v>Ehab Alkhibaz</v>
      </c>
      <c r="B107" s="41">
        <f ca="1">DATEDIF(Employees!$F107,TODAY(),"Y")</f>
        <v>6</v>
      </c>
      <c r="C107" s="64">
        <v>3</v>
      </c>
      <c r="D107" s="56">
        <v>10</v>
      </c>
      <c r="E107" s="56">
        <v>3139</v>
      </c>
      <c r="F107" s="56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108" spans="1:6" x14ac:dyDescent="0.35">
      <c r="A108" s="36" t="str">
        <f>_xlfn.TEXTJOIN(" ",TRUE,Employees_Data[[#This Row],[First Name]],Employees_Data[[#This Row],[Last Name]])</f>
        <v>Ibrahim Nabulsi</v>
      </c>
      <c r="B108" s="37">
        <f ca="1">DATEDIF(Employees!$F108,TODAY(),"Y")</f>
        <v>10</v>
      </c>
      <c r="C108" s="63">
        <v>3</v>
      </c>
      <c r="D108" s="54">
        <v>3</v>
      </c>
      <c r="E108" s="54">
        <v>3263</v>
      </c>
      <c r="F108" s="54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109" spans="1:6" x14ac:dyDescent="0.35">
      <c r="A109" s="40" t="str">
        <f>_xlfn.TEXTJOIN(" ",TRUE,Employees_Data[[#This Row],[First Name]],Employees_Data[[#This Row],[Last Name]])</f>
        <v>Ranya Salah Aldiyn</v>
      </c>
      <c r="B109" s="41">
        <f ca="1">DATEDIF(Employees!$F109,TODAY(),"Y")</f>
        <v>7</v>
      </c>
      <c r="C109" s="64">
        <v>5</v>
      </c>
      <c r="D109" s="56">
        <v>5</v>
      </c>
      <c r="E109" s="56">
        <v>1258</v>
      </c>
      <c r="F109" s="56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110" spans="1:6" x14ac:dyDescent="0.35">
      <c r="A110" s="36" t="str">
        <f>_xlfn.TEXTJOIN(" ",TRUE,Employees_Data[[#This Row],[First Name]],Employees_Data[[#This Row],[Last Name]])</f>
        <v>Juri Zaytun</v>
      </c>
      <c r="B110" s="37">
        <f ca="1">DATEDIF(Employees!$F110,TODAY(),"Y")</f>
        <v>6</v>
      </c>
      <c r="C110" s="63">
        <v>3</v>
      </c>
      <c r="D110" s="54">
        <v>16</v>
      </c>
      <c r="E110" s="54">
        <v>2527</v>
      </c>
      <c r="F110" s="54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111" spans="1:6" x14ac:dyDescent="0.35">
      <c r="A111" s="40" t="str">
        <f>_xlfn.TEXTJOIN(" ",TRUE,Employees_Data[[#This Row],[First Name]],Employees_Data[[#This Row],[Last Name]])</f>
        <v>Sahar Almuhamad</v>
      </c>
      <c r="B111" s="41">
        <f ca="1">DATEDIF(Employees!$F111,TODAY(),"Y")</f>
        <v>8</v>
      </c>
      <c r="C111" s="64">
        <v>4.5</v>
      </c>
      <c r="D111" s="56">
        <v>4</v>
      </c>
      <c r="E111" s="56">
        <v>3017</v>
      </c>
      <c r="F111" s="56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112" spans="1:6" x14ac:dyDescent="0.35">
      <c r="A112" s="36" t="str">
        <f>_xlfn.TEXTJOIN(" ",TRUE,Employees_Data[[#This Row],[First Name]],Employees_Data[[#This Row],[Last Name]])</f>
        <v>Mari Ayly</v>
      </c>
      <c r="B112" s="37">
        <f ca="1">DATEDIF(Employees!$F112,TODAY(),"Y")</f>
        <v>10</v>
      </c>
      <c r="C112" s="63">
        <v>5</v>
      </c>
      <c r="D112" s="54">
        <v>2</v>
      </c>
      <c r="E112" s="54">
        <v>1639</v>
      </c>
      <c r="F112" s="54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113" spans="1:6" x14ac:dyDescent="0.35">
      <c r="A113" s="40" t="str">
        <f>_xlfn.TEXTJOIN(" ",TRUE,Employees_Data[[#This Row],[First Name]],Employees_Data[[#This Row],[Last Name]])</f>
        <v>Ali Alhuri</v>
      </c>
      <c r="B113" s="41">
        <f ca="1">DATEDIF(Employees!$F113,TODAY(),"Y")</f>
        <v>7</v>
      </c>
      <c r="C113" s="64">
        <v>3</v>
      </c>
      <c r="D113" s="56">
        <v>3</v>
      </c>
      <c r="E113" s="56">
        <v>1867</v>
      </c>
      <c r="F113" s="56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114" spans="1:6" x14ac:dyDescent="0.35">
      <c r="A114" s="36" t="str">
        <f>_xlfn.TEXTJOIN(" ",TRUE,Employees_Data[[#This Row],[First Name]],Employees_Data[[#This Row],[Last Name]])</f>
        <v>Dania Almala</v>
      </c>
      <c r="B114" s="37">
        <f ca="1">DATEDIF(Employees!$F114,TODAY(),"Y")</f>
        <v>10</v>
      </c>
      <c r="C114" s="63">
        <v>2</v>
      </c>
      <c r="D114" s="54">
        <v>5</v>
      </c>
      <c r="E114" s="54">
        <v>2314</v>
      </c>
      <c r="F114" s="54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115" spans="1:6" x14ac:dyDescent="0.35">
      <c r="A115" s="40" t="str">
        <f>_xlfn.TEXTJOIN(" ",TRUE,Employees_Data[[#This Row],[First Name]],Employees_Data[[#This Row],[Last Name]])</f>
        <v>Rym Alsydawi</v>
      </c>
      <c r="B115" s="41">
        <f ca="1">DATEDIF(Employees!$F115,TODAY(),"Y")</f>
        <v>9</v>
      </c>
      <c r="C115" s="64">
        <v>5</v>
      </c>
      <c r="D115" s="56">
        <v>1</v>
      </c>
      <c r="E115" s="56">
        <v>2679</v>
      </c>
      <c r="F115" s="56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116" spans="1:6" x14ac:dyDescent="0.35">
      <c r="A116" s="36" t="str">
        <f>_xlfn.TEXTJOIN(" ",TRUE,Employees_Data[[#This Row],[First Name]],Employees_Data[[#This Row],[Last Name]])</f>
        <v>Mahir Alshear</v>
      </c>
      <c r="B116" s="37">
        <f ca="1">DATEDIF(Employees!$F116,TODAY(),"Y")</f>
        <v>7</v>
      </c>
      <c r="C116" s="63">
        <v>4.5</v>
      </c>
      <c r="D116" s="54">
        <v>4</v>
      </c>
      <c r="E116" s="54">
        <v>3166</v>
      </c>
      <c r="F116" s="54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117" spans="1:6" x14ac:dyDescent="0.35">
      <c r="A117" s="40" t="str">
        <f>_xlfn.TEXTJOIN(" ",TRUE,Employees_Data[[#This Row],[First Name]],Employees_Data[[#This Row],[Last Name]])</f>
        <v>Ibrahim Alhamid</v>
      </c>
      <c r="B117" s="41">
        <f ca="1">DATEDIF(Employees!$F117,TODAY(),"Y")</f>
        <v>7</v>
      </c>
      <c r="C117" s="64">
        <v>5</v>
      </c>
      <c r="D117" s="56">
        <v>7</v>
      </c>
      <c r="E117" s="56">
        <v>2429</v>
      </c>
      <c r="F117" s="56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118" spans="1:6" x14ac:dyDescent="0.35">
      <c r="A118" s="36" t="str">
        <f>_xlfn.TEXTJOIN(" ",TRUE,Employees_Data[[#This Row],[First Name]],Employees_Data[[#This Row],[Last Name]])</f>
        <v>Muhamad Alkhayr</v>
      </c>
      <c r="B118" s="37">
        <f ca="1">DATEDIF(Employees!$F118,TODAY(),"Y")</f>
        <v>7</v>
      </c>
      <c r="C118" s="63">
        <v>4.5</v>
      </c>
      <c r="D118" s="54">
        <v>4</v>
      </c>
      <c r="E118" s="54">
        <v>1865</v>
      </c>
      <c r="F118" s="54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119" spans="1:6" x14ac:dyDescent="0.35">
      <c r="A119" s="40" t="str">
        <f>_xlfn.TEXTJOIN(" ",TRUE,Employees_Data[[#This Row],[First Name]],Employees_Data[[#This Row],[Last Name]])</f>
        <v>Muhamad Bashshar</v>
      </c>
      <c r="B119" s="41">
        <f ca="1">DATEDIF(Employees!$F119,TODAY(),"Y")</f>
        <v>8</v>
      </c>
      <c r="C119" s="64">
        <v>4.5</v>
      </c>
      <c r="D119" s="56">
        <v>2</v>
      </c>
      <c r="E119" s="56">
        <v>868</v>
      </c>
      <c r="F119" s="56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120" spans="1:6" x14ac:dyDescent="0.35">
      <c r="A120" s="36" t="str">
        <f>_xlfn.TEXTJOIN(" ",TRUE,Employees_Data[[#This Row],[First Name]],Employees_Data[[#This Row],[Last Name]])</f>
        <v>Muhamad Jhad</v>
      </c>
      <c r="B120" s="37">
        <f ca="1">DATEDIF(Employees!$F120,TODAY(),"Y")</f>
        <v>7</v>
      </c>
      <c r="C120" s="63">
        <v>5</v>
      </c>
      <c r="D120" s="54">
        <v>2</v>
      </c>
      <c r="E120" s="54">
        <v>3411</v>
      </c>
      <c r="F120" s="54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121" spans="1:6" x14ac:dyDescent="0.35">
      <c r="A121" s="40" t="str">
        <f>_xlfn.TEXTJOIN(" ",TRUE,Employees_Data[[#This Row],[First Name]],Employees_Data[[#This Row],[Last Name]])</f>
        <v>Limays Ghrz</v>
      </c>
      <c r="B121" s="41">
        <f ca="1">DATEDIF(Employees!$F121,TODAY(),"Y")</f>
        <v>9</v>
      </c>
      <c r="C121" s="64">
        <v>3</v>
      </c>
      <c r="D121" s="56">
        <v>7</v>
      </c>
      <c r="E121" s="56">
        <v>3324</v>
      </c>
      <c r="F121" s="56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122" spans="1:6" x14ac:dyDescent="0.35">
      <c r="A122" s="36" t="str">
        <f>_xlfn.TEXTJOIN(" ",TRUE,Employees_Data[[#This Row],[First Name]],Employees_Data[[#This Row],[Last Name]])</f>
        <v>Zaydun Jabir</v>
      </c>
      <c r="B122" s="37">
        <f ca="1">DATEDIF(Employees!$F122,TODAY(),"Y")</f>
        <v>7</v>
      </c>
      <c r="C122" s="63">
        <v>1</v>
      </c>
      <c r="D122" s="54">
        <v>3</v>
      </c>
      <c r="E122" s="54">
        <v>2715</v>
      </c>
      <c r="F122" s="54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123" spans="1:6" x14ac:dyDescent="0.35">
      <c r="A123" s="40" t="str">
        <f>_xlfn.TEXTJOIN(" ",TRUE,Employees_Data[[#This Row],[First Name]],Employees_Data[[#This Row],[Last Name]])</f>
        <v>Fatima Zaetar</v>
      </c>
      <c r="B123" s="41">
        <f ca="1">DATEDIF(Employees!$F123,TODAY(),"Y")</f>
        <v>7</v>
      </c>
      <c r="C123" s="64">
        <v>4.5</v>
      </c>
      <c r="D123" s="56">
        <v>9</v>
      </c>
      <c r="E123" s="56">
        <v>2664</v>
      </c>
      <c r="F123" s="56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124" spans="1:6" x14ac:dyDescent="0.35">
      <c r="A124" s="36" t="str">
        <f>_xlfn.TEXTJOIN(" ",TRUE,Employees_Data[[#This Row],[First Name]],Employees_Data[[#This Row],[Last Name]])</f>
        <v>Tariq Shakir</v>
      </c>
      <c r="B124" s="37">
        <f ca="1">DATEDIF(Employees!$F124,TODAY(),"Y")</f>
        <v>5</v>
      </c>
      <c r="C124" s="63">
        <v>5</v>
      </c>
      <c r="D124" s="54">
        <v>82</v>
      </c>
      <c r="E124" s="54">
        <v>1801</v>
      </c>
      <c r="F124" s="54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Eligible</v>
      </c>
    </row>
    <row r="125" spans="1:6" x14ac:dyDescent="0.35">
      <c r="A125" s="40" t="str">
        <f>_xlfn.TEXTJOIN(" ",TRUE,Employees_Data[[#This Row],[First Name]],Employees_Data[[#This Row],[Last Name]])</f>
        <v>Ruyda Alhamadii</v>
      </c>
      <c r="B125" s="41">
        <f ca="1">DATEDIF(Employees!$F125,TODAY(),"Y")</f>
        <v>8</v>
      </c>
      <c r="C125" s="64">
        <v>3</v>
      </c>
      <c r="D125" s="56">
        <v>0</v>
      </c>
      <c r="E125" s="56">
        <v>1452</v>
      </c>
      <c r="F125" s="56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126" spans="1:6" x14ac:dyDescent="0.35">
      <c r="A126" s="36" t="str">
        <f>_xlfn.TEXTJOIN(" ",TRUE,Employees_Data[[#This Row],[First Name]],Employees_Data[[#This Row],[Last Name]])</f>
        <v>Anwar Almaseud</v>
      </c>
      <c r="B126" s="37">
        <f ca="1">DATEDIF(Employees!$F126,TODAY(),"Y")</f>
        <v>9</v>
      </c>
      <c r="C126" s="63">
        <v>3</v>
      </c>
      <c r="D126" s="54">
        <v>14</v>
      </c>
      <c r="E126" s="54">
        <v>2358</v>
      </c>
      <c r="F126" s="54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127" spans="1:6" x14ac:dyDescent="0.35">
      <c r="A127" s="40" t="str">
        <f>_xlfn.TEXTJOIN(" ",TRUE,Employees_Data[[#This Row],[First Name]],Employees_Data[[#This Row],[Last Name]])</f>
        <v>Fayaruz Sabih</v>
      </c>
      <c r="B127" s="41">
        <f ca="1">DATEDIF(Employees!$F127,TODAY(),"Y")</f>
        <v>7</v>
      </c>
      <c r="C127" s="64">
        <v>3</v>
      </c>
      <c r="D127" s="56">
        <v>9</v>
      </c>
      <c r="E127" s="56">
        <v>784</v>
      </c>
      <c r="F127" s="56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128" spans="1:6" x14ac:dyDescent="0.35">
      <c r="A128" s="36" t="str">
        <f>_xlfn.TEXTJOIN(" ",TRUE,Employees_Data[[#This Row],[First Name]],Employees_Data[[#This Row],[Last Name]])</f>
        <v>Jwny Alrashid</v>
      </c>
      <c r="B128" s="37">
        <f ca="1">DATEDIF(Employees!$F128,TODAY(),"Y")</f>
        <v>9</v>
      </c>
      <c r="C128" s="63">
        <v>3</v>
      </c>
      <c r="D128" s="54">
        <v>4</v>
      </c>
      <c r="E128" s="54">
        <v>1423</v>
      </c>
      <c r="F128" s="54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129" spans="1:6" x14ac:dyDescent="0.35">
      <c r="A129" s="40" t="str">
        <f>_xlfn.TEXTJOIN(" ",TRUE,Employees_Data[[#This Row],[First Name]],Employees_Data[[#This Row],[Last Name]])</f>
        <v>Karam Kiali</v>
      </c>
      <c r="B129" s="41">
        <f ca="1">DATEDIF(Employees!$F129,TODAY(),"Y")</f>
        <v>8</v>
      </c>
      <c r="C129" s="64">
        <v>2</v>
      </c>
      <c r="D129" s="56">
        <v>10</v>
      </c>
      <c r="E129" s="56">
        <v>2174</v>
      </c>
      <c r="F129" s="56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130" spans="1:6" x14ac:dyDescent="0.35">
      <c r="A130" s="36" t="str">
        <f>_xlfn.TEXTJOIN(" ",TRUE,Employees_Data[[#This Row],[First Name]],Employees_Data[[#This Row],[Last Name]])</f>
        <v>Jamal Alhalib</v>
      </c>
      <c r="B130" s="37">
        <f ca="1">DATEDIF(Employees!$F130,TODAY(),"Y")</f>
        <v>6</v>
      </c>
      <c r="C130" s="63">
        <v>4.5</v>
      </c>
      <c r="D130" s="54">
        <v>74</v>
      </c>
      <c r="E130" s="54">
        <v>2182</v>
      </c>
      <c r="F130" s="54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Eligible</v>
      </c>
    </row>
    <row r="131" spans="1:6" x14ac:dyDescent="0.35">
      <c r="A131" s="40" t="str">
        <f>_xlfn.TEXTJOIN(" ",TRUE,Employees_Data[[#This Row],[First Name]],Employees_Data[[#This Row],[Last Name]])</f>
        <v>Suzan Alsawis</v>
      </c>
      <c r="B131" s="41">
        <f ca="1">DATEDIF(Employees!$F131,TODAY(),"Y")</f>
        <v>7</v>
      </c>
      <c r="C131" s="64">
        <v>3</v>
      </c>
      <c r="D131" s="56">
        <v>2</v>
      </c>
      <c r="E131" s="56">
        <v>2437</v>
      </c>
      <c r="F131" s="56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132" spans="1:6" x14ac:dyDescent="0.35">
      <c r="A132" s="36" t="str">
        <f>_xlfn.TEXTJOIN(" ",TRUE,Employees_Data[[#This Row],[First Name]],Employees_Data[[#This Row],[Last Name]])</f>
        <v>Alaa Efan</v>
      </c>
      <c r="B132" s="37">
        <f ca="1">DATEDIF(Employees!$F132,TODAY(),"Y")</f>
        <v>7</v>
      </c>
      <c r="C132" s="63">
        <v>2</v>
      </c>
      <c r="D132" s="54">
        <v>1</v>
      </c>
      <c r="E132" s="54">
        <v>926</v>
      </c>
      <c r="F132" s="54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133" spans="1:6" x14ac:dyDescent="0.35">
      <c r="A133" s="40" t="str">
        <f>_xlfn.TEXTJOIN(" ",TRUE,Employees_Data[[#This Row],[First Name]],Employees_Data[[#This Row],[Last Name]])</f>
        <v>Jihad Aldarawasha</v>
      </c>
      <c r="B133" s="41">
        <f ca="1">DATEDIF(Employees!$F133,TODAY(),"Y")</f>
        <v>9</v>
      </c>
      <c r="C133" s="64">
        <v>3</v>
      </c>
      <c r="D133" s="56">
        <v>1</v>
      </c>
      <c r="E133" s="56">
        <v>1506</v>
      </c>
      <c r="F133" s="56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134" spans="1:6" x14ac:dyDescent="0.35">
      <c r="A134" s="36" t="str">
        <f>_xlfn.TEXTJOIN(" ",TRUE,Employees_Data[[#This Row],[First Name]],Employees_Data[[#This Row],[Last Name]])</f>
        <v>Muhamad Khalid</v>
      </c>
      <c r="B134" s="37">
        <f ca="1">DATEDIF(Employees!$F134,TODAY(),"Y")</f>
        <v>8</v>
      </c>
      <c r="C134" s="63">
        <v>5</v>
      </c>
      <c r="D134" s="54">
        <v>10</v>
      </c>
      <c r="E134" s="54">
        <v>3159</v>
      </c>
      <c r="F134" s="54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135" spans="1:6" x14ac:dyDescent="0.35">
      <c r="A135" s="40" t="str">
        <f>_xlfn.TEXTJOIN(" ",TRUE,Employees_Data[[#This Row],[First Name]],Employees_Data[[#This Row],[Last Name]])</f>
        <v>Haithim Hujah</v>
      </c>
      <c r="B135" s="41">
        <f ca="1">DATEDIF(Employees!$F135,TODAY(),"Y")</f>
        <v>9</v>
      </c>
      <c r="C135" s="64">
        <v>1</v>
      </c>
      <c r="D135" s="56">
        <v>3</v>
      </c>
      <c r="E135" s="56">
        <v>1117</v>
      </c>
      <c r="F135" s="56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136" spans="1:6" x14ac:dyDescent="0.35">
      <c r="A136" s="36" t="str">
        <f>_xlfn.TEXTJOIN(" ",TRUE,Employees_Data[[#This Row],[First Name]],Employees_Data[[#This Row],[Last Name]])</f>
        <v>Duhana Alakhris</v>
      </c>
      <c r="B136" s="37">
        <f ca="1">DATEDIF(Employees!$F136,TODAY(),"Y")</f>
        <v>8</v>
      </c>
      <c r="C136" s="63">
        <v>4.5</v>
      </c>
      <c r="D136" s="54">
        <v>7</v>
      </c>
      <c r="E136" s="54">
        <v>2379</v>
      </c>
      <c r="F136" s="54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137" spans="1:6" x14ac:dyDescent="0.35">
      <c r="A137" s="40" t="str">
        <f>_xlfn.TEXTJOIN(" ",TRUE,Employees_Data[[#This Row],[First Name]],Employees_Data[[#This Row],[Last Name]])</f>
        <v>Eazalidin Almala</v>
      </c>
      <c r="B137" s="41">
        <f ca="1">DATEDIF(Employees!$F137,TODAY(),"Y")</f>
        <v>6</v>
      </c>
      <c r="C137" s="64">
        <v>5</v>
      </c>
      <c r="D137" s="56">
        <v>6</v>
      </c>
      <c r="E137" s="56">
        <v>2372</v>
      </c>
      <c r="F137" s="56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138" spans="1:6" x14ac:dyDescent="0.35">
      <c r="A138" s="36" t="str">
        <f>_xlfn.TEXTJOIN(" ",TRUE,Employees_Data[[#This Row],[First Name]],Employees_Data[[#This Row],[Last Name]])</f>
        <v>Habib Klizli</v>
      </c>
      <c r="B138" s="37">
        <f ca="1">DATEDIF(Employees!$F138,TODAY(),"Y")</f>
        <v>6</v>
      </c>
      <c r="C138" s="63">
        <v>3</v>
      </c>
      <c r="D138" s="54">
        <v>12</v>
      </c>
      <c r="E138" s="54">
        <v>2908</v>
      </c>
      <c r="F138" s="54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139" spans="1:6" x14ac:dyDescent="0.35">
      <c r="A139" s="40" t="str">
        <f>_xlfn.TEXTJOIN(" ",TRUE,Employees_Data[[#This Row],[First Name]],Employees_Data[[#This Row],[Last Name]])</f>
        <v>Rasha Bajubuj</v>
      </c>
      <c r="B139" s="41">
        <f ca="1">DATEDIF(Employees!$F139,TODAY(),"Y")</f>
        <v>6</v>
      </c>
      <c r="C139" s="64">
        <v>3</v>
      </c>
      <c r="D139" s="56">
        <v>15</v>
      </c>
      <c r="E139" s="56">
        <v>2019</v>
      </c>
      <c r="F139" s="56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140" spans="1:6" x14ac:dyDescent="0.35">
      <c r="A140" s="36" t="str">
        <f>_xlfn.TEXTJOIN(" ",TRUE,Employees_Data[[#This Row],[First Name]],Employees_Data[[#This Row],[Last Name]])</f>
        <v>Mahir Albaghdadi</v>
      </c>
      <c r="B140" s="37">
        <f ca="1">DATEDIF(Employees!$F140,TODAY(),"Y")</f>
        <v>8</v>
      </c>
      <c r="C140" s="63">
        <v>1</v>
      </c>
      <c r="D140" s="54">
        <v>0</v>
      </c>
      <c r="E140" s="54">
        <v>877</v>
      </c>
      <c r="F140" s="54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141" spans="1:6" x14ac:dyDescent="0.35">
      <c r="A141" s="40" t="str">
        <f>_xlfn.TEXTJOIN(" ",TRUE,Employees_Data[[#This Row],[First Name]],Employees_Data[[#This Row],[Last Name]])</f>
        <v>Alaa Almunzilijiu</v>
      </c>
      <c r="B141" s="41">
        <f ca="1">DATEDIF(Employees!$F141,TODAY(),"Y")</f>
        <v>7</v>
      </c>
      <c r="C141" s="64">
        <v>5</v>
      </c>
      <c r="D141" s="56">
        <v>0</v>
      </c>
      <c r="E141" s="56">
        <v>1043</v>
      </c>
      <c r="F141" s="56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142" spans="1:6" x14ac:dyDescent="0.35">
      <c r="A142" s="36" t="str">
        <f>_xlfn.TEXTJOIN(" ",TRUE,Employees_Data[[#This Row],[First Name]],Employees_Data[[#This Row],[Last Name]])</f>
        <v>Labanaa Qaziyha</v>
      </c>
      <c r="B142" s="37">
        <f ca="1">DATEDIF(Employees!$F142,TODAY(),"Y")</f>
        <v>7</v>
      </c>
      <c r="C142" s="63">
        <v>3</v>
      </c>
      <c r="D142" s="54">
        <v>0</v>
      </c>
      <c r="E142" s="54">
        <v>3258</v>
      </c>
      <c r="F142" s="54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143" spans="1:6" x14ac:dyDescent="0.35">
      <c r="A143" s="40" t="str">
        <f>_xlfn.TEXTJOIN(" ",TRUE,Employees_Data[[#This Row],[First Name]],Employees_Data[[#This Row],[Last Name]])</f>
        <v>Fatnh Abu</v>
      </c>
      <c r="B143" s="41">
        <f ca="1">DATEDIF(Employees!$F143,TODAY(),"Y")</f>
        <v>5</v>
      </c>
      <c r="C143" s="64">
        <v>5</v>
      </c>
      <c r="D143" s="56">
        <v>2</v>
      </c>
      <c r="E143" s="56">
        <v>976</v>
      </c>
      <c r="F143" s="56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144" spans="1:6" x14ac:dyDescent="0.35">
      <c r="A144" s="36" t="str">
        <f>_xlfn.TEXTJOIN(" ",TRUE,Employees_Data[[#This Row],[First Name]],Employees_Data[[#This Row],[Last Name]])</f>
        <v>Iilyas Dahadal</v>
      </c>
      <c r="B144" s="37">
        <f ca="1">DATEDIF(Employees!$F144,TODAY(),"Y")</f>
        <v>7</v>
      </c>
      <c r="C144" s="63">
        <v>2</v>
      </c>
      <c r="D144" s="54">
        <v>8</v>
      </c>
      <c r="E144" s="54">
        <v>3096</v>
      </c>
      <c r="F144" s="54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145" spans="1:6" x14ac:dyDescent="0.35">
      <c r="A145" s="40" t="str">
        <f>_xlfn.TEXTJOIN(" ",TRUE,Employees_Data[[#This Row],[First Name]],Employees_Data[[#This Row],[Last Name]])</f>
        <v>Rim Huaydi</v>
      </c>
      <c r="B145" s="41">
        <f ca="1">DATEDIF(Employees!$F145,TODAY(),"Y")</f>
        <v>7</v>
      </c>
      <c r="C145" s="64">
        <v>3</v>
      </c>
      <c r="D145" s="56">
        <v>6</v>
      </c>
      <c r="E145" s="56">
        <v>1985</v>
      </c>
      <c r="F145" s="56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146" spans="1:6" x14ac:dyDescent="0.35">
      <c r="A146" s="36" t="str">
        <f>_xlfn.TEXTJOIN(" ",TRUE,Employees_Data[[#This Row],[First Name]],Employees_Data[[#This Row],[Last Name]])</f>
        <v>Ahmad Muhamad</v>
      </c>
      <c r="B146" s="37">
        <f ca="1">DATEDIF(Employees!$F146,TODAY(),"Y")</f>
        <v>6</v>
      </c>
      <c r="C146" s="63">
        <v>5</v>
      </c>
      <c r="D146" s="54">
        <v>1</v>
      </c>
      <c r="E146" s="54">
        <v>2371</v>
      </c>
      <c r="F146" s="54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147" spans="1:6" x14ac:dyDescent="0.35">
      <c r="A147" s="40" t="str">
        <f>_xlfn.TEXTJOIN(" ",TRUE,Employees_Data[[#This Row],[First Name]],Employees_Data[[#This Row],[Last Name]])</f>
        <v>Abd Alruhmin Almahrus</v>
      </c>
      <c r="B147" s="41">
        <f ca="1">DATEDIF(Employees!$F147,TODAY(),"Y")</f>
        <v>7</v>
      </c>
      <c r="C147" s="64">
        <v>2</v>
      </c>
      <c r="D147" s="56">
        <v>3</v>
      </c>
      <c r="E147" s="56">
        <v>2562</v>
      </c>
      <c r="F147" s="56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148" spans="1:6" x14ac:dyDescent="0.35">
      <c r="A148" s="36" t="str">
        <f>_xlfn.TEXTJOIN(" ",TRUE,Employees_Data[[#This Row],[First Name]],Employees_Data[[#This Row],[Last Name]])</f>
        <v>Biaism Tyzry</v>
      </c>
      <c r="B148" s="37">
        <f ca="1">DATEDIF(Employees!$F148,TODAY(),"Y")</f>
        <v>6</v>
      </c>
      <c r="C148" s="63">
        <v>5</v>
      </c>
      <c r="D148" s="54">
        <v>8</v>
      </c>
      <c r="E148" s="54">
        <v>1254</v>
      </c>
      <c r="F148" s="54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149" spans="1:6" x14ac:dyDescent="0.35">
      <c r="A149" s="40" t="str">
        <f>_xlfn.TEXTJOIN(" ",TRUE,Employees_Data[[#This Row],[First Name]],Employees_Data[[#This Row],[Last Name]])</f>
        <v>Omar Milatu</v>
      </c>
      <c r="B149" s="41">
        <f ca="1">DATEDIF(Employees!$F149,TODAY(),"Y")</f>
        <v>8</v>
      </c>
      <c r="C149" s="64">
        <v>5</v>
      </c>
      <c r="D149" s="56">
        <v>2</v>
      </c>
      <c r="E149" s="56">
        <v>793</v>
      </c>
      <c r="F149" s="56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150" spans="1:6" x14ac:dyDescent="0.35">
      <c r="A150" s="36" t="str">
        <f>_xlfn.TEXTJOIN(" ",TRUE,Employees_Data[[#This Row],[First Name]],Employees_Data[[#This Row],[Last Name]])</f>
        <v>Alyida Nieamah</v>
      </c>
      <c r="B150" s="37">
        <f ca="1">DATEDIF(Employees!$F150,TODAY(),"Y")</f>
        <v>9</v>
      </c>
      <c r="C150" s="63">
        <v>3</v>
      </c>
      <c r="D150" s="54">
        <v>2</v>
      </c>
      <c r="E150" s="54">
        <v>2416</v>
      </c>
      <c r="F150" s="54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151" spans="1:6" x14ac:dyDescent="0.35">
      <c r="A151" s="40" t="str">
        <f>_xlfn.TEXTJOIN(" ",TRUE,Employees_Data[[#This Row],[First Name]],Employees_Data[[#This Row],[Last Name]])</f>
        <v>Kamal Hajl</v>
      </c>
      <c r="B151" s="41">
        <f ca="1">DATEDIF(Employees!$F151,TODAY(),"Y")</f>
        <v>9</v>
      </c>
      <c r="C151" s="64">
        <v>5</v>
      </c>
      <c r="D151" s="56">
        <v>1</v>
      </c>
      <c r="E151" s="56">
        <v>822</v>
      </c>
      <c r="F151" s="56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152" spans="1:6" x14ac:dyDescent="0.35">
      <c r="A152" s="36" t="str">
        <f>_xlfn.TEXTJOIN(" ",TRUE,Employees_Data[[#This Row],[First Name]],Employees_Data[[#This Row],[Last Name]])</f>
        <v>Amjad Naghnagh</v>
      </c>
      <c r="B152" s="37">
        <f ca="1">DATEDIF(Employees!$F152,TODAY(),"Y")</f>
        <v>6</v>
      </c>
      <c r="C152" s="63">
        <v>5</v>
      </c>
      <c r="D152" s="54">
        <v>23</v>
      </c>
      <c r="E152" s="54">
        <v>1442</v>
      </c>
      <c r="F152" s="54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153" spans="1:6" x14ac:dyDescent="0.35">
      <c r="A153" s="40" t="str">
        <f>_xlfn.TEXTJOIN(" ",TRUE,Employees_Data[[#This Row],[First Name]],Employees_Data[[#This Row],[Last Name]])</f>
        <v>Iin Qisi</v>
      </c>
      <c r="B153" s="41">
        <f ca="1">DATEDIF(Employees!$F153,TODAY(),"Y")</f>
        <v>6</v>
      </c>
      <c r="C153" s="64">
        <v>4.5</v>
      </c>
      <c r="D153" s="56">
        <v>54</v>
      </c>
      <c r="E153" s="56">
        <v>887</v>
      </c>
      <c r="F153" s="56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Eligible</v>
      </c>
    </row>
    <row r="154" spans="1:6" x14ac:dyDescent="0.35">
      <c r="A154" s="36" t="str">
        <f>_xlfn.TEXTJOIN(" ",TRUE,Employees_Data[[#This Row],[First Name]],Employees_Data[[#This Row],[Last Name]])</f>
        <v>Basmah Alhabis</v>
      </c>
      <c r="B154" s="37">
        <f ca="1">DATEDIF(Employees!$F154,TODAY(),"Y")</f>
        <v>9</v>
      </c>
      <c r="C154" s="63">
        <v>2</v>
      </c>
      <c r="D154" s="54">
        <v>3</v>
      </c>
      <c r="E154" s="54">
        <v>1671</v>
      </c>
      <c r="F154" s="54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155" spans="1:6" x14ac:dyDescent="0.35">
      <c r="A155" s="40" t="str">
        <f>_xlfn.TEXTJOIN(" ",TRUE,Employees_Data[[#This Row],[First Name]],Employees_Data[[#This Row],[Last Name]])</f>
        <v>Eala Dahbur</v>
      </c>
      <c r="B155" s="41">
        <f ca="1">DATEDIF(Employees!$F155,TODAY(),"Y")</f>
        <v>7</v>
      </c>
      <c r="C155" s="64">
        <v>4.5</v>
      </c>
      <c r="D155" s="56">
        <v>0</v>
      </c>
      <c r="E155" s="56">
        <v>1877</v>
      </c>
      <c r="F155" s="56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156" spans="1:6" x14ac:dyDescent="0.35">
      <c r="A156" s="36" t="str">
        <f>_xlfn.TEXTJOIN(" ",TRUE,Employees_Data[[#This Row],[First Name]],Employees_Data[[#This Row],[Last Name]])</f>
        <v>Rwbyna Iibrahim</v>
      </c>
      <c r="B156" s="37">
        <f ca="1">DATEDIF(Employees!$F156,TODAY(),"Y")</f>
        <v>7</v>
      </c>
      <c r="C156" s="63">
        <v>2</v>
      </c>
      <c r="D156" s="54">
        <v>8</v>
      </c>
      <c r="E156" s="54">
        <v>1960</v>
      </c>
      <c r="F156" s="54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157" spans="1:6" x14ac:dyDescent="0.35">
      <c r="A157" s="40" t="str">
        <f>_xlfn.TEXTJOIN(" ",TRUE,Employees_Data[[#This Row],[First Name]],Employees_Data[[#This Row],[Last Name]])</f>
        <v>Tariq Salim</v>
      </c>
      <c r="B157" s="41">
        <f ca="1">DATEDIF(Employees!$F157,TODAY(),"Y")</f>
        <v>8</v>
      </c>
      <c r="C157" s="64">
        <v>4.5</v>
      </c>
      <c r="D157" s="56">
        <v>10</v>
      </c>
      <c r="E157" s="56">
        <v>2422</v>
      </c>
      <c r="F157" s="56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158" spans="1:6" x14ac:dyDescent="0.35">
      <c r="A158" s="36" t="str">
        <f>_xlfn.TEXTJOIN(" ",TRUE,Employees_Data[[#This Row],[First Name]],Employees_Data[[#This Row],[Last Name]])</f>
        <v>Basimah Sybea</v>
      </c>
      <c r="B158" s="37">
        <f ca="1">DATEDIF(Employees!$F158,TODAY(),"Y")</f>
        <v>7</v>
      </c>
      <c r="C158" s="63">
        <v>5</v>
      </c>
      <c r="D158" s="54">
        <v>8</v>
      </c>
      <c r="E158" s="54">
        <v>1299</v>
      </c>
      <c r="F158" s="54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159" spans="1:6" x14ac:dyDescent="0.35">
      <c r="A159" s="40" t="str">
        <f>_xlfn.TEXTJOIN(" ",TRUE,Employees_Data[[#This Row],[First Name]],Employees_Data[[#This Row],[Last Name]])</f>
        <v>Zunar Eali</v>
      </c>
      <c r="B159" s="41">
        <f ca="1">DATEDIF(Employees!$F159,TODAY(),"Y")</f>
        <v>6</v>
      </c>
      <c r="C159" s="64">
        <v>5</v>
      </c>
      <c r="D159" s="56">
        <v>3</v>
      </c>
      <c r="E159" s="56">
        <v>2127</v>
      </c>
      <c r="F159" s="56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160" spans="1:6" x14ac:dyDescent="0.35">
      <c r="A160" s="36" t="str">
        <f>_xlfn.TEXTJOIN(" ",TRUE,Employees_Data[[#This Row],[First Name]],Employees_Data[[#This Row],[Last Name]])</f>
        <v>Rim Mia</v>
      </c>
      <c r="B160" s="37">
        <f ca="1">DATEDIF(Employees!$F160,TODAY(),"Y")</f>
        <v>7</v>
      </c>
      <c r="C160" s="63">
        <v>2</v>
      </c>
      <c r="D160" s="54">
        <v>9</v>
      </c>
      <c r="E160" s="54">
        <v>3096</v>
      </c>
      <c r="F160" s="54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161" spans="1:6" x14ac:dyDescent="0.35">
      <c r="A161" s="40" t="str">
        <f>_xlfn.TEXTJOIN(" ",TRUE,Employees_Data[[#This Row],[First Name]],Employees_Data[[#This Row],[Last Name]])</f>
        <v>Lana Alhabash</v>
      </c>
      <c r="B161" s="41">
        <f ca="1">DATEDIF(Employees!$F161,TODAY(),"Y")</f>
        <v>10</v>
      </c>
      <c r="C161" s="64">
        <v>1</v>
      </c>
      <c r="D161" s="56">
        <v>8</v>
      </c>
      <c r="E161" s="56">
        <v>951</v>
      </c>
      <c r="F161" s="56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162" spans="1:6" x14ac:dyDescent="0.35">
      <c r="A162" s="36" t="str">
        <f>_xlfn.TEXTJOIN(" ",TRUE,Employees_Data[[#This Row],[First Name]],Employees_Data[[#This Row],[Last Name]])</f>
        <v>Muhamad Alshghry</v>
      </c>
      <c r="B162" s="37">
        <f ca="1">DATEDIF(Employees!$F162,TODAY(),"Y")</f>
        <v>6</v>
      </c>
      <c r="C162" s="63">
        <v>1</v>
      </c>
      <c r="D162" s="54">
        <v>13</v>
      </c>
      <c r="E162" s="54">
        <v>2940</v>
      </c>
      <c r="F162" s="54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163" spans="1:6" x14ac:dyDescent="0.35">
      <c r="A163" s="40" t="str">
        <f>_xlfn.TEXTJOIN(" ",TRUE,Employees_Data[[#This Row],[First Name]],Employees_Data[[#This Row],[Last Name]])</f>
        <v>Ghazal Hisan</v>
      </c>
      <c r="B163" s="41">
        <f ca="1">DATEDIF(Employees!$F163,TODAY(),"Y")</f>
        <v>6</v>
      </c>
      <c r="C163" s="64">
        <v>4.5</v>
      </c>
      <c r="D163" s="56">
        <v>9</v>
      </c>
      <c r="E163" s="56">
        <v>3293</v>
      </c>
      <c r="F163" s="56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164" spans="1:6" x14ac:dyDescent="0.35">
      <c r="A164" s="36" t="str">
        <f>_xlfn.TEXTJOIN(" ",TRUE,Employees_Data[[#This Row],[First Name]],Employees_Data[[#This Row],[Last Name]])</f>
        <v>Khalil Alzaebii</v>
      </c>
      <c r="B164" s="37">
        <f ca="1">DATEDIF(Employees!$F164,TODAY(),"Y")</f>
        <v>9</v>
      </c>
      <c r="C164" s="63">
        <v>2</v>
      </c>
      <c r="D164" s="54">
        <v>8</v>
      </c>
      <c r="E164" s="54">
        <v>3250</v>
      </c>
      <c r="F164" s="54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165" spans="1:6" x14ac:dyDescent="0.35">
      <c r="A165" s="40" t="str">
        <f>_xlfn.TEXTJOIN(" ",TRUE,Employees_Data[[#This Row],[First Name]],Employees_Data[[#This Row],[Last Name]])</f>
        <v>Samir Shalish</v>
      </c>
      <c r="B165" s="41">
        <f ca="1">DATEDIF(Employees!$F165,TODAY(),"Y")</f>
        <v>8</v>
      </c>
      <c r="C165" s="64">
        <v>3</v>
      </c>
      <c r="D165" s="56">
        <v>9</v>
      </c>
      <c r="E165" s="56">
        <v>2085</v>
      </c>
      <c r="F165" s="56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166" spans="1:6" x14ac:dyDescent="0.35">
      <c r="A166" s="36" t="str">
        <f>_xlfn.TEXTJOIN(" ",TRUE,Employees_Data[[#This Row],[First Name]],Employees_Data[[#This Row],[Last Name]])</f>
        <v>Abdalmjid Ahmad</v>
      </c>
      <c r="B166" s="37">
        <f ca="1">DATEDIF(Employees!$F166,TODAY(),"Y")</f>
        <v>7</v>
      </c>
      <c r="C166" s="63">
        <v>3</v>
      </c>
      <c r="D166" s="54">
        <v>15</v>
      </c>
      <c r="E166" s="54">
        <v>1578</v>
      </c>
      <c r="F166" s="54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167" spans="1:6" x14ac:dyDescent="0.35">
      <c r="A167" s="40" t="str">
        <f>_xlfn.TEXTJOIN(" ",TRUE,Employees_Data[[#This Row],[First Name]],Employees_Data[[#This Row],[Last Name]])</f>
        <v>Emar Abil</v>
      </c>
      <c r="B167" s="41">
        <f ca="1">DATEDIF(Employees!$F167,TODAY(),"Y")</f>
        <v>7</v>
      </c>
      <c r="C167" s="64">
        <v>3</v>
      </c>
      <c r="D167" s="56">
        <v>10</v>
      </c>
      <c r="E167" s="56">
        <v>1169</v>
      </c>
      <c r="F167" s="56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168" spans="1:6" x14ac:dyDescent="0.35">
      <c r="A168" s="36" t="str">
        <f>_xlfn.TEXTJOIN(" ",TRUE,Employees_Data[[#This Row],[First Name]],Employees_Data[[#This Row],[Last Name]])</f>
        <v>Lamia Warur</v>
      </c>
      <c r="B168" s="37">
        <f ca="1">DATEDIF(Employees!$F168,TODAY(),"Y")</f>
        <v>9</v>
      </c>
      <c r="C168" s="63">
        <v>5</v>
      </c>
      <c r="D168" s="54">
        <v>7</v>
      </c>
      <c r="E168" s="54">
        <v>1054</v>
      </c>
      <c r="F168" s="54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169" spans="1:6" x14ac:dyDescent="0.35">
      <c r="A169" s="40" t="str">
        <f>_xlfn.TEXTJOIN(" ",TRUE,Employees_Data[[#This Row],[First Name]],Employees_Data[[#This Row],[Last Name]])</f>
        <v>Fyfian Abu</v>
      </c>
      <c r="B169" s="41">
        <f ca="1">DATEDIF(Employees!$F169,TODAY(),"Y")</f>
        <v>7</v>
      </c>
      <c r="C169" s="64">
        <v>4.5</v>
      </c>
      <c r="D169" s="56">
        <v>4</v>
      </c>
      <c r="E169" s="56">
        <v>1349</v>
      </c>
      <c r="F169" s="56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170" spans="1:6" x14ac:dyDescent="0.35">
      <c r="A170" s="36" t="str">
        <f>_xlfn.TEXTJOIN(" ",TRUE,Employees_Data[[#This Row],[First Name]],Employees_Data[[#This Row],[Last Name]])</f>
        <v>Majd Yasin</v>
      </c>
      <c r="B170" s="37">
        <f ca="1">DATEDIF(Employees!$F170,TODAY(),"Y")</f>
        <v>7</v>
      </c>
      <c r="C170" s="63">
        <v>5</v>
      </c>
      <c r="D170" s="54">
        <v>9</v>
      </c>
      <c r="E170" s="54">
        <v>2196</v>
      </c>
      <c r="F170" s="54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171" spans="1:6" x14ac:dyDescent="0.35">
      <c r="A171" s="40" t="str">
        <f>_xlfn.TEXTJOIN(" ",TRUE,Employees_Data[[#This Row],[First Name]],Employees_Data[[#This Row],[Last Name]])</f>
        <v>Alaa Almisri</v>
      </c>
      <c r="B171" s="41">
        <f ca="1">DATEDIF(Employees!$F171,TODAY(),"Y")</f>
        <v>6</v>
      </c>
      <c r="C171" s="64">
        <v>5</v>
      </c>
      <c r="D171" s="56">
        <v>4</v>
      </c>
      <c r="E171" s="56">
        <v>3264</v>
      </c>
      <c r="F171" s="56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172" spans="1:6" x14ac:dyDescent="0.35">
      <c r="A172" s="36" t="str">
        <f>_xlfn.TEXTJOIN(" ",TRUE,Employees_Data[[#This Row],[First Name]],Employees_Data[[#This Row],[Last Name]])</f>
        <v>Muhamad Amir</v>
      </c>
      <c r="B172" s="37">
        <f ca="1">DATEDIF(Employees!$F172,TODAY(),"Y")</f>
        <v>9</v>
      </c>
      <c r="C172" s="63">
        <v>5</v>
      </c>
      <c r="D172" s="54">
        <v>2</v>
      </c>
      <c r="E172" s="54">
        <v>1232</v>
      </c>
      <c r="F172" s="54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173" spans="1:6" x14ac:dyDescent="0.35">
      <c r="A173" s="40" t="str">
        <f>_xlfn.TEXTJOIN(" ",TRUE,Employees_Data[[#This Row],[First Name]],Employees_Data[[#This Row],[Last Name]])</f>
        <v>Lilas Balatah</v>
      </c>
      <c r="B173" s="41">
        <f ca="1">DATEDIF(Employees!$F173,TODAY(),"Y")</f>
        <v>6</v>
      </c>
      <c r="C173" s="64">
        <v>5</v>
      </c>
      <c r="D173" s="56">
        <v>9</v>
      </c>
      <c r="E173" s="56">
        <v>2401</v>
      </c>
      <c r="F173" s="56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174" spans="1:6" x14ac:dyDescent="0.35">
      <c r="A174" s="36" t="str">
        <f>_xlfn.TEXTJOIN(" ",TRUE,Employees_Data[[#This Row],[First Name]],Employees_Data[[#This Row],[Last Name]])</f>
        <v>Ruaa Mukiin</v>
      </c>
      <c r="B174" s="37">
        <f ca="1">DATEDIF(Employees!$F174,TODAY(),"Y")</f>
        <v>9</v>
      </c>
      <c r="C174" s="63">
        <v>5</v>
      </c>
      <c r="D174" s="54">
        <v>18</v>
      </c>
      <c r="E174" s="54">
        <v>3168</v>
      </c>
      <c r="F174" s="54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175" spans="1:6" x14ac:dyDescent="0.35">
      <c r="A175" s="40" t="str">
        <f>_xlfn.TEXTJOIN(" ",TRUE,Employees_Data[[#This Row],[First Name]],Employees_Data[[#This Row],[Last Name]])</f>
        <v>Rana Shaeban</v>
      </c>
      <c r="B175" s="41">
        <f ca="1">DATEDIF(Employees!$F175,TODAY(),"Y")</f>
        <v>8</v>
      </c>
      <c r="C175" s="64">
        <v>5</v>
      </c>
      <c r="D175" s="56">
        <v>10</v>
      </c>
      <c r="E175" s="56">
        <v>1620</v>
      </c>
      <c r="F175" s="56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176" spans="1:6" x14ac:dyDescent="0.35">
      <c r="A176" s="36" t="str">
        <f>_xlfn.TEXTJOIN(" ",TRUE,Employees_Data[[#This Row],[First Name]],Employees_Data[[#This Row],[Last Name]])</f>
        <v>Muwmin Ewad</v>
      </c>
      <c r="B176" s="37">
        <f ca="1">DATEDIF(Employees!$F176,TODAY(),"Y")</f>
        <v>9</v>
      </c>
      <c r="C176" s="63">
        <v>5</v>
      </c>
      <c r="D176" s="54">
        <v>3</v>
      </c>
      <c r="E176" s="54">
        <v>1482</v>
      </c>
      <c r="F176" s="54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177" spans="1:6" x14ac:dyDescent="0.35">
      <c r="A177" s="40" t="str">
        <f>_xlfn.TEXTJOIN(" ",TRUE,Employees_Data[[#This Row],[First Name]],Employees_Data[[#This Row],[Last Name]])</f>
        <v>Rahaf Alaleppoy</v>
      </c>
      <c r="B177" s="41">
        <f ca="1">DATEDIF(Employees!$F177,TODAY(),"Y")</f>
        <v>6</v>
      </c>
      <c r="C177" s="64">
        <v>4.5</v>
      </c>
      <c r="D177" s="56">
        <v>6</v>
      </c>
      <c r="E177" s="56">
        <v>1967</v>
      </c>
      <c r="F177" s="56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178" spans="1:6" x14ac:dyDescent="0.35">
      <c r="A178" s="36" t="str">
        <f>_xlfn.TEXTJOIN(" ",TRUE,Employees_Data[[#This Row],[First Name]],Employees_Data[[#This Row],[Last Name]])</f>
        <v>Samiah Alsaedi</v>
      </c>
      <c r="B178" s="37">
        <f ca="1">DATEDIF(Employees!$F178,TODAY(),"Y")</f>
        <v>8</v>
      </c>
      <c r="C178" s="63">
        <v>5</v>
      </c>
      <c r="D178" s="54">
        <v>5</v>
      </c>
      <c r="E178" s="54">
        <v>1696</v>
      </c>
      <c r="F178" s="54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179" spans="1:6" x14ac:dyDescent="0.35">
      <c r="A179" s="40" t="str">
        <f>_xlfn.TEXTJOIN(" ",TRUE,Employees_Data[[#This Row],[First Name]],Employees_Data[[#This Row],[Last Name]])</f>
        <v>Rim Hamdu</v>
      </c>
      <c r="B179" s="41">
        <f ca="1">DATEDIF(Employees!$F179,TODAY(),"Y")</f>
        <v>7</v>
      </c>
      <c r="C179" s="64">
        <v>4.5</v>
      </c>
      <c r="D179" s="56">
        <v>3</v>
      </c>
      <c r="E179" s="56">
        <v>2913</v>
      </c>
      <c r="F179" s="56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180" spans="1:6" x14ac:dyDescent="0.35">
      <c r="A180" s="36" t="str">
        <f>_xlfn.TEXTJOIN(" ",TRUE,Employees_Data[[#This Row],[First Name]],Employees_Data[[#This Row],[Last Name]])</f>
        <v>Aishah Alquatliu</v>
      </c>
      <c r="B180" s="37">
        <f ca="1">DATEDIF(Employees!$F180,TODAY(),"Y")</f>
        <v>6</v>
      </c>
      <c r="C180" s="63">
        <v>1</v>
      </c>
      <c r="D180" s="54">
        <v>0</v>
      </c>
      <c r="E180" s="54">
        <v>2068</v>
      </c>
      <c r="F180" s="54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181" spans="1:6" x14ac:dyDescent="0.35">
      <c r="A181" s="40" t="str">
        <f>_xlfn.TEXTJOIN(" ",TRUE,Employees_Data[[#This Row],[First Name]],Employees_Data[[#This Row],[Last Name]])</f>
        <v>Dany Albaba</v>
      </c>
      <c r="B181" s="41">
        <f ca="1">DATEDIF(Employees!$F181,TODAY(),"Y")</f>
        <v>8</v>
      </c>
      <c r="C181" s="64">
        <v>3</v>
      </c>
      <c r="D181" s="56">
        <v>0</v>
      </c>
      <c r="E181" s="56">
        <v>1430</v>
      </c>
      <c r="F181" s="56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182" spans="1:6" x14ac:dyDescent="0.35">
      <c r="A182" s="36" t="str">
        <f>_xlfn.TEXTJOIN(" ",TRUE,Employees_Data[[#This Row],[First Name]],Employees_Data[[#This Row],[Last Name]])</f>
        <v>Muhamad Rinkusi</v>
      </c>
      <c r="B182" s="37">
        <f ca="1">DATEDIF(Employees!$F182,TODAY(),"Y")</f>
        <v>8</v>
      </c>
      <c r="C182" s="63">
        <v>1</v>
      </c>
      <c r="D182" s="54">
        <v>9</v>
      </c>
      <c r="E182" s="54">
        <v>3138</v>
      </c>
      <c r="F182" s="54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183" spans="1:6" x14ac:dyDescent="0.35">
      <c r="A183" s="40" t="str">
        <f>_xlfn.TEXTJOIN(" ",TRUE,Employees_Data[[#This Row],[First Name]],Employees_Data[[#This Row],[Last Name]])</f>
        <v>Isam Jadid</v>
      </c>
      <c r="B183" s="41">
        <f ca="1">DATEDIF(Employees!$F183,TODAY(),"Y")</f>
        <v>5</v>
      </c>
      <c r="C183" s="64">
        <v>3</v>
      </c>
      <c r="D183" s="56">
        <v>2</v>
      </c>
      <c r="E183" s="56">
        <v>2051</v>
      </c>
      <c r="F183" s="56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184" spans="1:6" x14ac:dyDescent="0.35">
      <c r="A184" s="36" t="str">
        <f>_xlfn.TEXTJOIN(" ",TRUE,Employees_Data[[#This Row],[First Name]],Employees_Data[[#This Row],[Last Name]])</f>
        <v>Bushraa Drwysh</v>
      </c>
      <c r="B184" s="37">
        <f ca="1">DATEDIF(Employees!$F184,TODAY(),"Y")</f>
        <v>8</v>
      </c>
      <c r="C184" s="63">
        <v>1</v>
      </c>
      <c r="D184" s="54">
        <v>8</v>
      </c>
      <c r="E184" s="54">
        <v>2986</v>
      </c>
      <c r="F184" s="54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185" spans="1:6" x14ac:dyDescent="0.35">
      <c r="A185" s="40" t="str">
        <f>_xlfn.TEXTJOIN(" ",TRUE,Employees_Data[[#This Row],[First Name]],Employees_Data[[#This Row],[Last Name]])</f>
        <v>Zakarian Rashwani</v>
      </c>
      <c r="B185" s="41">
        <f ca="1">DATEDIF(Employees!$F185,TODAY(),"Y")</f>
        <v>7</v>
      </c>
      <c r="C185" s="64">
        <v>5</v>
      </c>
      <c r="D185" s="56">
        <v>3</v>
      </c>
      <c r="E185" s="56">
        <v>2790</v>
      </c>
      <c r="F185" s="56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186" spans="1:6" x14ac:dyDescent="0.35">
      <c r="A186" s="36" t="str">
        <f>_xlfn.TEXTJOIN(" ",TRUE,Employees_Data[[#This Row],[First Name]],Employees_Data[[#This Row],[Last Name]])</f>
        <v>Fadi Alqadi</v>
      </c>
      <c r="B186" s="37">
        <f ca="1">DATEDIF(Employees!$F186,TODAY(),"Y")</f>
        <v>5</v>
      </c>
      <c r="C186" s="63">
        <v>4.5</v>
      </c>
      <c r="D186" s="54">
        <v>7</v>
      </c>
      <c r="E186" s="54">
        <v>1075</v>
      </c>
      <c r="F186" s="54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187" spans="1:6" x14ac:dyDescent="0.35">
      <c r="A187" s="40" t="str">
        <f>_xlfn.TEXTJOIN(" ",TRUE,Employees_Data[[#This Row],[First Name]],Employees_Data[[#This Row],[Last Name]])</f>
        <v>Diea Almarstani</v>
      </c>
      <c r="B187" s="41">
        <f ca="1">DATEDIF(Employees!$F187,TODAY(),"Y")</f>
        <v>7</v>
      </c>
      <c r="C187" s="64">
        <v>1</v>
      </c>
      <c r="D187" s="56">
        <v>0</v>
      </c>
      <c r="E187" s="56">
        <v>2009</v>
      </c>
      <c r="F187" s="56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188" spans="1:6" x14ac:dyDescent="0.35">
      <c r="A188" s="36" t="str">
        <f>_xlfn.TEXTJOIN(" ",TRUE,Employees_Data[[#This Row],[First Name]],Employees_Data[[#This Row],[Last Name]])</f>
        <v>Muhamad Siedih</v>
      </c>
      <c r="B188" s="37">
        <f ca="1">DATEDIF(Employees!$F188,TODAY(),"Y")</f>
        <v>8</v>
      </c>
      <c r="C188" s="63">
        <v>3</v>
      </c>
      <c r="D188" s="54">
        <v>5</v>
      </c>
      <c r="E188" s="54">
        <v>3254</v>
      </c>
      <c r="F188" s="54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189" spans="1:6" x14ac:dyDescent="0.35">
      <c r="A189" s="40" t="str">
        <f>_xlfn.TEXTJOIN(" ",TRUE,Employees_Data[[#This Row],[First Name]],Employees_Data[[#This Row],[Last Name]])</f>
        <v>Bisam Almisri</v>
      </c>
      <c r="B189" s="41">
        <f ca="1">DATEDIF(Employees!$F189,TODAY(),"Y")</f>
        <v>7</v>
      </c>
      <c r="C189" s="64">
        <v>3</v>
      </c>
      <c r="D189" s="56">
        <v>1</v>
      </c>
      <c r="E189" s="56">
        <v>2367</v>
      </c>
      <c r="F189" s="56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190" spans="1:6" x14ac:dyDescent="0.35">
      <c r="A190" s="36" t="str">
        <f>_xlfn.TEXTJOIN(" ",TRUE,Employees_Data[[#This Row],[First Name]],Employees_Data[[#This Row],[Last Name]])</f>
        <v>Muhamad Alkhatib</v>
      </c>
      <c r="B190" s="37">
        <f ca="1">DATEDIF(Employees!$F190,TODAY(),"Y")</f>
        <v>8</v>
      </c>
      <c r="C190" s="63">
        <v>3</v>
      </c>
      <c r="D190" s="54">
        <v>10</v>
      </c>
      <c r="E190" s="54">
        <v>3158</v>
      </c>
      <c r="F190" s="54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191" spans="1:6" x14ac:dyDescent="0.35">
      <c r="A191" s="40" t="str">
        <f>_xlfn.TEXTJOIN(" ",TRUE,Employees_Data[[#This Row],[First Name]],Employees_Data[[#This Row],[Last Name]])</f>
        <v>Muhamad Rghid</v>
      </c>
      <c r="B191" s="41">
        <f ca="1">DATEDIF(Employees!$F191,TODAY(),"Y")</f>
        <v>6</v>
      </c>
      <c r="C191" s="64">
        <v>2</v>
      </c>
      <c r="D191" s="56">
        <v>2</v>
      </c>
      <c r="E191" s="56">
        <v>1980</v>
      </c>
      <c r="F191" s="56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192" spans="1:6" x14ac:dyDescent="0.35">
      <c r="A192" s="36" t="str">
        <f>_xlfn.TEXTJOIN(" ",TRUE,Employees_Data[[#This Row],[First Name]],Employees_Data[[#This Row],[Last Name]])</f>
        <v>Omar Shakir</v>
      </c>
      <c r="B192" s="37">
        <f ca="1">DATEDIF(Employees!$F192,TODAY(),"Y")</f>
        <v>7</v>
      </c>
      <c r="C192" s="63">
        <v>3</v>
      </c>
      <c r="D192" s="54">
        <v>23</v>
      </c>
      <c r="E192" s="54">
        <v>2049</v>
      </c>
      <c r="F192" s="54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193" spans="1:6" x14ac:dyDescent="0.35">
      <c r="A193" s="40" t="str">
        <f>_xlfn.TEXTJOIN(" ",TRUE,Employees_Data[[#This Row],[First Name]],Employees_Data[[#This Row],[Last Name]])</f>
        <v>Aryj Hamada</v>
      </c>
      <c r="B193" s="41">
        <f ca="1">DATEDIF(Employees!$F193,TODAY(),"Y")</f>
        <v>6</v>
      </c>
      <c r="C193" s="64">
        <v>2</v>
      </c>
      <c r="D193" s="56">
        <v>8</v>
      </c>
      <c r="E193" s="56">
        <v>2727</v>
      </c>
      <c r="F193" s="56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194" spans="1:6" x14ac:dyDescent="0.35">
      <c r="A194" s="36" t="str">
        <f>_xlfn.TEXTJOIN(" ",TRUE,Employees_Data[[#This Row],[First Name]],Employees_Data[[#This Row],[Last Name]])</f>
        <v>Madlin Saeid</v>
      </c>
      <c r="B194" s="37">
        <f ca="1">DATEDIF(Employees!$F194,TODAY(),"Y")</f>
        <v>6</v>
      </c>
      <c r="C194" s="63">
        <v>5</v>
      </c>
      <c r="D194" s="54">
        <v>9</v>
      </c>
      <c r="E194" s="54">
        <v>974</v>
      </c>
      <c r="F194" s="54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195" spans="1:6" x14ac:dyDescent="0.35">
      <c r="A195" s="40" t="str">
        <f>_xlfn.TEXTJOIN(" ",TRUE,Employees_Data[[#This Row],[First Name]],Employees_Data[[#This Row],[Last Name]])</f>
        <v>Rybal Sabagh</v>
      </c>
      <c r="B195" s="41">
        <f ca="1">DATEDIF(Employees!$F195,TODAY(),"Y")</f>
        <v>6</v>
      </c>
      <c r="C195" s="64">
        <v>5</v>
      </c>
      <c r="D195" s="56">
        <v>3</v>
      </c>
      <c r="E195" s="56">
        <v>992</v>
      </c>
      <c r="F195" s="56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196" spans="1:6" x14ac:dyDescent="0.35">
      <c r="A196" s="36" t="str">
        <f>_xlfn.TEXTJOIN(" ",TRUE,Employees_Data[[#This Row],[First Name]],Employees_Data[[#This Row],[Last Name]])</f>
        <v>Samar Alqutb</v>
      </c>
      <c r="B196" s="37">
        <f ca="1">DATEDIF(Employees!$F196,TODAY(),"Y")</f>
        <v>8</v>
      </c>
      <c r="C196" s="63">
        <v>1</v>
      </c>
      <c r="D196" s="54">
        <v>9</v>
      </c>
      <c r="E196" s="54">
        <v>2730</v>
      </c>
      <c r="F196" s="54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197" spans="1:6" x14ac:dyDescent="0.35">
      <c r="A197" s="40" t="str">
        <f>_xlfn.TEXTJOIN(" ",TRUE,Employees_Data[[#This Row],[First Name]],Employees_Data[[#This Row],[Last Name]])</f>
        <v>Eala Murad</v>
      </c>
      <c r="B197" s="41">
        <f ca="1">DATEDIF(Employees!$F197,TODAY(),"Y")</f>
        <v>10</v>
      </c>
      <c r="C197" s="64">
        <v>4.5</v>
      </c>
      <c r="D197" s="56">
        <v>4</v>
      </c>
      <c r="E197" s="56">
        <v>2804</v>
      </c>
      <c r="F197" s="56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198" spans="1:6" x14ac:dyDescent="0.35">
      <c r="A198" s="36" t="str">
        <f>_xlfn.TEXTJOIN(" ",TRUE,Employees_Data[[#This Row],[First Name]],Employees_Data[[#This Row],[Last Name]])</f>
        <v>Ahmad Salih</v>
      </c>
      <c r="B198" s="37">
        <f ca="1">DATEDIF(Employees!$F198,TODAY(),"Y")</f>
        <v>7</v>
      </c>
      <c r="C198" s="63">
        <v>5</v>
      </c>
      <c r="D198" s="54">
        <v>0</v>
      </c>
      <c r="E198" s="54">
        <v>1467</v>
      </c>
      <c r="F198" s="54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199" spans="1:6" x14ac:dyDescent="0.35">
      <c r="A199" s="40" t="str">
        <f>_xlfn.TEXTJOIN(" ",TRUE,Employees_Data[[#This Row],[First Name]],Employees_Data[[#This Row],[Last Name]])</f>
        <v>Ibrahim Alhamid</v>
      </c>
      <c r="B199" s="41">
        <f ca="1">DATEDIF(Employees!$F199,TODAY(),"Y")</f>
        <v>5</v>
      </c>
      <c r="C199" s="64">
        <v>5</v>
      </c>
      <c r="D199" s="56">
        <v>68</v>
      </c>
      <c r="E199" s="56">
        <v>997</v>
      </c>
      <c r="F199" s="56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Eligible</v>
      </c>
    </row>
    <row r="200" spans="1:6" x14ac:dyDescent="0.35">
      <c r="A200" s="36" t="str">
        <f>_xlfn.TEXTJOIN(" ",TRUE,Employees_Data[[#This Row],[First Name]],Employees_Data[[#This Row],[Last Name]])</f>
        <v>Muhamad Alziyat</v>
      </c>
      <c r="B200" s="37">
        <f ca="1">DATEDIF(Employees!$F200,TODAY(),"Y")</f>
        <v>7</v>
      </c>
      <c r="C200" s="63">
        <v>5</v>
      </c>
      <c r="D200" s="54">
        <v>1</v>
      </c>
      <c r="E200" s="54">
        <v>1859</v>
      </c>
      <c r="F200" s="54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201" spans="1:6" x14ac:dyDescent="0.35">
      <c r="A201" s="40" t="str">
        <f>_xlfn.TEXTJOIN(" ",TRUE,Employees_Data[[#This Row],[First Name]],Employees_Data[[#This Row],[Last Name]])</f>
        <v>Ali Nhl</v>
      </c>
      <c r="B201" s="41">
        <f ca="1">DATEDIF(Employees!$F201,TODAY(),"Y")</f>
        <v>7</v>
      </c>
      <c r="C201" s="64">
        <v>1</v>
      </c>
      <c r="D201" s="56">
        <v>7</v>
      </c>
      <c r="E201" s="56">
        <v>1231</v>
      </c>
      <c r="F201" s="56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202" spans="1:6" x14ac:dyDescent="0.35">
      <c r="A202" s="36" t="str">
        <f>_xlfn.TEXTJOIN(" ",TRUE,Employees_Data[[#This Row],[First Name]],Employees_Data[[#This Row],[Last Name]])</f>
        <v>Saed Alsiyah</v>
      </c>
      <c r="B202" s="37">
        <f ca="1">DATEDIF(Employees!$F202,TODAY(),"Y")</f>
        <v>7</v>
      </c>
      <c r="C202" s="63">
        <v>5</v>
      </c>
      <c r="D202" s="54">
        <v>8</v>
      </c>
      <c r="E202" s="54">
        <v>719</v>
      </c>
      <c r="F202" s="54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203" spans="1:6" x14ac:dyDescent="0.35">
      <c r="A203" s="40" t="str">
        <f>_xlfn.TEXTJOIN(" ",TRUE,Employees_Data[[#This Row],[First Name]],Employees_Data[[#This Row],[Last Name]])</f>
        <v>Majdy Rafaea</v>
      </c>
      <c r="B203" s="41">
        <f ca="1">DATEDIF(Employees!$F203,TODAY(),"Y")</f>
        <v>6</v>
      </c>
      <c r="C203" s="64">
        <v>1</v>
      </c>
      <c r="D203" s="56">
        <v>10</v>
      </c>
      <c r="E203" s="56">
        <v>2186</v>
      </c>
      <c r="F203" s="56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204" spans="1:6" x14ac:dyDescent="0.35">
      <c r="A204" s="36" t="str">
        <f>_xlfn.TEXTJOIN(" ",TRUE,Employees_Data[[#This Row],[First Name]],Employees_Data[[#This Row],[Last Name]])</f>
        <v>Ihsan Eazu</v>
      </c>
      <c r="B204" s="37">
        <f ca="1">DATEDIF(Employees!$F204,TODAY(),"Y")</f>
        <v>7</v>
      </c>
      <c r="C204" s="63">
        <v>4.5</v>
      </c>
      <c r="D204" s="54">
        <v>9</v>
      </c>
      <c r="E204" s="54">
        <v>1605</v>
      </c>
      <c r="F204" s="54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205" spans="1:6" x14ac:dyDescent="0.35">
      <c r="A205" s="40" t="str">
        <f>_xlfn.TEXTJOIN(" ",TRUE,Employees_Data[[#This Row],[First Name]],Employees_Data[[#This Row],[Last Name]])</f>
        <v>Iad Alshaykh</v>
      </c>
      <c r="B205" s="41">
        <f ca="1">DATEDIF(Employees!$F205,TODAY(),"Y")</f>
        <v>8</v>
      </c>
      <c r="C205" s="64">
        <v>1</v>
      </c>
      <c r="D205" s="56">
        <v>73</v>
      </c>
      <c r="E205" s="56">
        <v>2365</v>
      </c>
      <c r="F205" s="56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206" spans="1:6" x14ac:dyDescent="0.35">
      <c r="A206" s="36" t="str">
        <f>_xlfn.TEXTJOIN(" ",TRUE,Employees_Data[[#This Row],[First Name]],Employees_Data[[#This Row],[Last Name]])</f>
        <v>Bara Alrrashid</v>
      </c>
      <c r="B206" s="37">
        <f ca="1">DATEDIF(Employees!$F206,TODAY(),"Y")</f>
        <v>9</v>
      </c>
      <c r="C206" s="63">
        <v>4.5</v>
      </c>
      <c r="D206" s="54">
        <v>8</v>
      </c>
      <c r="E206" s="54">
        <v>1096</v>
      </c>
      <c r="F206" s="54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207" spans="1:6" x14ac:dyDescent="0.35">
      <c r="A207" s="40" t="str">
        <f>_xlfn.TEXTJOIN(" ",TRUE,Employees_Data[[#This Row],[First Name]],Employees_Data[[#This Row],[Last Name]])</f>
        <v>Fadi Nuna</v>
      </c>
      <c r="B207" s="41">
        <f ca="1">DATEDIF(Employees!$F207,TODAY(),"Y")</f>
        <v>7</v>
      </c>
      <c r="C207" s="64">
        <v>3</v>
      </c>
      <c r="D207" s="56">
        <v>5</v>
      </c>
      <c r="E207" s="56">
        <v>1037</v>
      </c>
      <c r="F207" s="56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208" spans="1:6" x14ac:dyDescent="0.35">
      <c r="A208" s="36" t="str">
        <f>_xlfn.TEXTJOIN(" ",TRUE,Employees_Data[[#This Row],[First Name]],Employees_Data[[#This Row],[Last Name]])</f>
        <v>Muhamad Salah</v>
      </c>
      <c r="B208" s="37">
        <f ca="1">DATEDIF(Employees!$F208,TODAY(),"Y")</f>
        <v>5</v>
      </c>
      <c r="C208" s="63">
        <v>2</v>
      </c>
      <c r="D208" s="54">
        <v>13</v>
      </c>
      <c r="E208" s="54">
        <v>1757</v>
      </c>
      <c r="F208" s="54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209" spans="1:6" x14ac:dyDescent="0.35">
      <c r="A209" s="40" t="str">
        <f>_xlfn.TEXTJOIN(" ",TRUE,Employees_Data[[#This Row],[First Name]],Employees_Data[[#This Row],[Last Name]])</f>
        <v>Bima Mustafaa</v>
      </c>
      <c r="B209" s="41">
        <f ca="1">DATEDIF(Employees!$F209,TODAY(),"Y")</f>
        <v>5</v>
      </c>
      <c r="C209" s="64">
        <v>5</v>
      </c>
      <c r="D209" s="56">
        <v>1</v>
      </c>
      <c r="E209" s="56">
        <v>3405</v>
      </c>
      <c r="F209" s="56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210" spans="1:6" x14ac:dyDescent="0.35">
      <c r="A210" s="36" t="str">
        <f>_xlfn.TEXTJOIN(" ",TRUE,Employees_Data[[#This Row],[First Name]],Employees_Data[[#This Row],[Last Name]])</f>
        <v>Husam Abu Shwmr</v>
      </c>
      <c r="B210" s="37">
        <f ca="1">DATEDIF(Employees!$F210,TODAY(),"Y")</f>
        <v>8</v>
      </c>
      <c r="C210" s="63">
        <v>5</v>
      </c>
      <c r="D210" s="54">
        <v>0</v>
      </c>
      <c r="E210" s="54">
        <v>2154</v>
      </c>
      <c r="F210" s="54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211" spans="1:6" x14ac:dyDescent="0.35">
      <c r="A211" s="40" t="str">
        <f>_xlfn.TEXTJOIN(" ",TRUE,Employees_Data[[#This Row],[First Name]],Employees_Data[[#This Row],[Last Name]])</f>
        <v>Abdalrahmin Turkmany</v>
      </c>
      <c r="B211" s="41">
        <f ca="1">DATEDIF(Employees!$F211,TODAY(),"Y")</f>
        <v>7</v>
      </c>
      <c r="C211" s="64">
        <v>2</v>
      </c>
      <c r="D211" s="56">
        <v>6</v>
      </c>
      <c r="E211" s="56">
        <v>805</v>
      </c>
      <c r="F211" s="56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212" spans="1:6" x14ac:dyDescent="0.35">
      <c r="A212" s="36" t="str">
        <f>_xlfn.TEXTJOIN(" ",TRUE,Employees_Data[[#This Row],[First Name]],Employees_Data[[#This Row],[Last Name]])</f>
        <v>Majdulyn Alhakim</v>
      </c>
      <c r="B212" s="37">
        <f ca="1">DATEDIF(Employees!$F212,TODAY(),"Y")</f>
        <v>8</v>
      </c>
      <c r="C212" s="63">
        <v>4.5</v>
      </c>
      <c r="D212" s="54">
        <v>10</v>
      </c>
      <c r="E212" s="54">
        <v>3093</v>
      </c>
      <c r="F212" s="54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213" spans="1:6" x14ac:dyDescent="0.35">
      <c r="A213" s="40" t="str">
        <f>_xlfn.TEXTJOIN(" ",TRUE,Employees_Data[[#This Row],[First Name]],Employees_Data[[#This Row],[Last Name]])</f>
        <v>Ahmad Abu Jaysh</v>
      </c>
      <c r="B213" s="41">
        <f ca="1">DATEDIF(Employees!$F213,TODAY(),"Y")</f>
        <v>9</v>
      </c>
      <c r="C213" s="64">
        <v>3</v>
      </c>
      <c r="D213" s="56">
        <v>87</v>
      </c>
      <c r="E213" s="56">
        <v>1039</v>
      </c>
      <c r="F213" s="56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Eligible</v>
      </c>
    </row>
    <row r="214" spans="1:6" x14ac:dyDescent="0.35">
      <c r="A214" s="36" t="str">
        <f>_xlfn.TEXTJOIN(" ",TRUE,Employees_Data[[#This Row],[First Name]],Employees_Data[[#This Row],[Last Name]])</f>
        <v>Majid Aleusud</v>
      </c>
      <c r="B214" s="37">
        <f ca="1">DATEDIF(Employees!$F214,TODAY(),"Y")</f>
        <v>6</v>
      </c>
      <c r="C214" s="63">
        <v>3</v>
      </c>
      <c r="D214" s="54">
        <v>7</v>
      </c>
      <c r="E214" s="54">
        <v>1012</v>
      </c>
      <c r="F214" s="54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215" spans="1:6" x14ac:dyDescent="0.35">
      <c r="A215" s="40" t="str">
        <f>_xlfn.TEXTJOIN(" ",TRUE,Employees_Data[[#This Row],[First Name]],Employees_Data[[#This Row],[Last Name]])</f>
        <v>Bashshar Shakhashiru</v>
      </c>
      <c r="B215" s="41">
        <f ca="1">DATEDIF(Employees!$F215,TODAY(),"Y")</f>
        <v>9</v>
      </c>
      <c r="C215" s="64">
        <v>2</v>
      </c>
      <c r="D215" s="56">
        <v>11</v>
      </c>
      <c r="E215" s="56">
        <v>2216</v>
      </c>
      <c r="F215" s="56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216" spans="1:6" x14ac:dyDescent="0.35">
      <c r="A216" s="36" t="str">
        <f>_xlfn.TEXTJOIN(" ",TRUE,Employees_Data[[#This Row],[First Name]],Employees_Data[[#This Row],[Last Name]])</f>
        <v>Malik Alshaykh</v>
      </c>
      <c r="B216" s="37">
        <f ca="1">DATEDIF(Employees!$F216,TODAY(),"Y")</f>
        <v>5</v>
      </c>
      <c r="C216" s="63">
        <v>4.5</v>
      </c>
      <c r="D216" s="54">
        <v>0</v>
      </c>
      <c r="E216" s="54">
        <v>2020</v>
      </c>
      <c r="F216" s="54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217" spans="1:6" x14ac:dyDescent="0.35">
      <c r="A217" s="40" t="str">
        <f>_xlfn.TEXTJOIN(" ",TRUE,Employees_Data[[#This Row],[First Name]],Employees_Data[[#This Row],[Last Name]])</f>
        <v>Omar Zarzur</v>
      </c>
      <c r="B217" s="41">
        <f ca="1">DATEDIF(Employees!$F217,TODAY(),"Y")</f>
        <v>9</v>
      </c>
      <c r="C217" s="64">
        <v>4.5</v>
      </c>
      <c r="D217" s="56">
        <v>7</v>
      </c>
      <c r="E217" s="56">
        <v>3309</v>
      </c>
      <c r="F217" s="56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218" spans="1:6" x14ac:dyDescent="0.35">
      <c r="A218" s="36" t="str">
        <f>_xlfn.TEXTJOIN(" ",TRUE,Employees_Data[[#This Row],[First Name]],Employees_Data[[#This Row],[Last Name]])</f>
        <v>Hasan Iismaeil</v>
      </c>
      <c r="B218" s="37">
        <f ca="1">DATEDIF(Employees!$F218,TODAY(),"Y")</f>
        <v>6</v>
      </c>
      <c r="C218" s="63">
        <v>2</v>
      </c>
      <c r="D218" s="54">
        <v>0</v>
      </c>
      <c r="E218" s="54">
        <v>983</v>
      </c>
      <c r="F218" s="54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219" spans="1:6" x14ac:dyDescent="0.35">
      <c r="A219" s="40" t="str">
        <f>_xlfn.TEXTJOIN(" ",TRUE,Employees_Data[[#This Row],[First Name]],Employees_Data[[#This Row],[Last Name]])</f>
        <v>Husayn Abu Nasir</v>
      </c>
      <c r="B219" s="41">
        <f ca="1">DATEDIF(Employees!$F219,TODAY(),"Y")</f>
        <v>8</v>
      </c>
      <c r="C219" s="64">
        <v>3</v>
      </c>
      <c r="D219" s="56">
        <v>1</v>
      </c>
      <c r="E219" s="56">
        <v>741</v>
      </c>
      <c r="F219" s="56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220" spans="1:6" x14ac:dyDescent="0.35">
      <c r="A220" s="36" t="str">
        <f>_xlfn.TEXTJOIN(" ",TRUE,Employees_Data[[#This Row],[First Name]],Employees_Data[[#This Row],[Last Name]])</f>
        <v>Mazin Earabi</v>
      </c>
      <c r="B220" s="37">
        <f ca="1">DATEDIF(Employees!$F220,TODAY(),"Y")</f>
        <v>10</v>
      </c>
      <c r="C220" s="63">
        <v>4.5</v>
      </c>
      <c r="D220" s="54">
        <v>0</v>
      </c>
      <c r="E220" s="54">
        <v>1171</v>
      </c>
      <c r="F220" s="54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221" spans="1:6" x14ac:dyDescent="0.35">
      <c r="A221" s="40" t="str">
        <f>_xlfn.TEXTJOIN(" ",TRUE,Employees_Data[[#This Row],[First Name]],Employees_Data[[#This Row],[Last Name]])</f>
        <v>Zahir Eisaa</v>
      </c>
      <c r="B221" s="41">
        <f ca="1">DATEDIF(Employees!$F221,TODAY(),"Y")</f>
        <v>6</v>
      </c>
      <c r="C221" s="64">
        <v>5</v>
      </c>
      <c r="D221" s="56">
        <v>10</v>
      </c>
      <c r="E221" s="56">
        <v>2512</v>
      </c>
      <c r="F221" s="56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222" spans="1:6" x14ac:dyDescent="0.35">
      <c r="A222" s="36" t="str">
        <f>_xlfn.TEXTJOIN(" ",TRUE,Employees_Data[[#This Row],[First Name]],Employees_Data[[#This Row],[Last Name]])</f>
        <v>Lama Sabiq</v>
      </c>
      <c r="B222" s="37">
        <f ca="1">DATEDIF(Employees!$F222,TODAY(),"Y")</f>
        <v>7</v>
      </c>
      <c r="C222" s="63">
        <v>1</v>
      </c>
      <c r="D222" s="54">
        <v>4</v>
      </c>
      <c r="E222" s="54">
        <v>1608</v>
      </c>
      <c r="F222" s="54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223" spans="1:6" x14ac:dyDescent="0.35">
      <c r="A223" s="40" t="str">
        <f>_xlfn.TEXTJOIN(" ",TRUE,Employees_Data[[#This Row],[First Name]],Employees_Data[[#This Row],[Last Name]])</f>
        <v>Tariq Dw</v>
      </c>
      <c r="B223" s="41">
        <f ca="1">DATEDIF(Employees!$F223,TODAY(),"Y")</f>
        <v>6</v>
      </c>
      <c r="C223" s="64">
        <v>1</v>
      </c>
      <c r="D223" s="56">
        <v>12</v>
      </c>
      <c r="E223" s="56">
        <v>1677</v>
      </c>
      <c r="F223" s="56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224" spans="1:6" x14ac:dyDescent="0.35">
      <c r="A224" s="36" t="str">
        <f>_xlfn.TEXTJOIN(" ",TRUE,Employees_Data[[#This Row],[First Name]],Employees_Data[[#This Row],[Last Name]])</f>
        <v>Jawaher Shaykhus</v>
      </c>
      <c r="B224" s="37">
        <f ca="1">DATEDIF(Employees!$F224,TODAY(),"Y")</f>
        <v>8</v>
      </c>
      <c r="C224" s="63">
        <v>5</v>
      </c>
      <c r="D224" s="54">
        <v>2</v>
      </c>
      <c r="E224" s="54">
        <v>3414</v>
      </c>
      <c r="F224" s="54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225" spans="1:6" x14ac:dyDescent="0.35">
      <c r="A225" s="40" t="str">
        <f>_xlfn.TEXTJOIN(" ",TRUE,Employees_Data[[#This Row],[First Name]],Employees_Data[[#This Row],[Last Name]])</f>
        <v>Emam Mansur</v>
      </c>
      <c r="B225" s="41">
        <f ca="1">DATEDIF(Employees!$F225,TODAY(),"Y")</f>
        <v>7</v>
      </c>
      <c r="C225" s="64">
        <v>5</v>
      </c>
      <c r="D225" s="56">
        <v>10</v>
      </c>
      <c r="E225" s="56">
        <v>1358</v>
      </c>
      <c r="F225" s="56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226" spans="1:6" x14ac:dyDescent="0.35">
      <c r="A226" s="36" t="str">
        <f>_xlfn.TEXTJOIN(" ",TRUE,Employees_Data[[#This Row],[First Name]],Employees_Data[[#This Row],[Last Name]])</f>
        <v>Muhamad Bulta</v>
      </c>
      <c r="B226" s="37">
        <f ca="1">DATEDIF(Employees!$F226,TODAY(),"Y")</f>
        <v>7</v>
      </c>
      <c r="C226" s="63">
        <v>4.5</v>
      </c>
      <c r="D226" s="54">
        <v>64</v>
      </c>
      <c r="E226" s="54">
        <v>703</v>
      </c>
      <c r="F226" s="54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Eligible</v>
      </c>
    </row>
    <row r="227" spans="1:6" x14ac:dyDescent="0.35">
      <c r="A227" s="40" t="str">
        <f>_xlfn.TEXTJOIN(" ",TRUE,Employees_Data[[#This Row],[First Name]],Employees_Data[[#This Row],[Last Name]])</f>
        <v>Fatin Hamshu</v>
      </c>
      <c r="B227" s="41">
        <f ca="1">DATEDIF(Employees!$F227,TODAY(),"Y")</f>
        <v>7</v>
      </c>
      <c r="C227" s="64">
        <v>2</v>
      </c>
      <c r="D227" s="56">
        <v>8</v>
      </c>
      <c r="E227" s="56">
        <v>2017</v>
      </c>
      <c r="F227" s="56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228" spans="1:6" x14ac:dyDescent="0.35">
      <c r="A228" s="36" t="str">
        <f>_xlfn.TEXTJOIN(" ",TRUE,Employees_Data[[#This Row],[First Name]],Employees_Data[[#This Row],[Last Name]])</f>
        <v>Abd Alruhmin Alnasar</v>
      </c>
      <c r="B228" s="37">
        <f ca="1">DATEDIF(Employees!$F228,TODAY(),"Y")</f>
        <v>7</v>
      </c>
      <c r="C228" s="63">
        <v>5</v>
      </c>
      <c r="D228" s="54">
        <v>7</v>
      </c>
      <c r="E228" s="54">
        <v>1806</v>
      </c>
      <c r="F228" s="54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229" spans="1:6" x14ac:dyDescent="0.35">
      <c r="A229" s="40" t="str">
        <f>_xlfn.TEXTJOIN(" ",TRUE,Employees_Data[[#This Row],[First Name]],Employees_Data[[#This Row],[Last Name]])</f>
        <v>Fatin Red</v>
      </c>
      <c r="B229" s="41">
        <f ca="1">DATEDIF(Employees!$F229,TODAY(),"Y")</f>
        <v>7</v>
      </c>
      <c r="C229" s="64">
        <v>3</v>
      </c>
      <c r="D229" s="56">
        <v>16</v>
      </c>
      <c r="E229" s="56">
        <v>2421</v>
      </c>
      <c r="F229" s="56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230" spans="1:6" x14ac:dyDescent="0.35">
      <c r="A230" s="36" t="str">
        <f>_xlfn.TEXTJOIN(" ",TRUE,Employees_Data[[#This Row],[First Name]],Employees_Data[[#This Row],[Last Name]])</f>
        <v>Ali Muhamad</v>
      </c>
      <c r="B230" s="37">
        <f ca="1">DATEDIF(Employees!$F230,TODAY(),"Y")</f>
        <v>8</v>
      </c>
      <c r="C230" s="63">
        <v>5</v>
      </c>
      <c r="D230" s="54">
        <v>7</v>
      </c>
      <c r="E230" s="54">
        <v>1461</v>
      </c>
      <c r="F230" s="54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231" spans="1:6" x14ac:dyDescent="0.35">
      <c r="A231" s="40" t="str">
        <f>_xlfn.TEXTJOIN(" ",TRUE,Employees_Data[[#This Row],[First Name]],Employees_Data[[#This Row],[Last Name]])</f>
        <v>Rima Dwalyby</v>
      </c>
      <c r="B231" s="41">
        <f ca="1">DATEDIF(Employees!$F231,TODAY(),"Y")</f>
        <v>6</v>
      </c>
      <c r="C231" s="64">
        <v>1</v>
      </c>
      <c r="D231" s="56">
        <v>7</v>
      </c>
      <c r="E231" s="56">
        <v>1287</v>
      </c>
      <c r="F231" s="56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232" spans="1:6" x14ac:dyDescent="0.35">
      <c r="A232" s="36" t="str">
        <f>_xlfn.TEXTJOIN(" ",TRUE,Employees_Data[[#This Row],[First Name]],Employees_Data[[#This Row],[Last Name]])</f>
        <v>Basil Musaa</v>
      </c>
      <c r="B232" s="37">
        <f ca="1">DATEDIF(Employees!$F232,TODAY(),"Y")</f>
        <v>8</v>
      </c>
      <c r="C232" s="63">
        <v>3</v>
      </c>
      <c r="D232" s="54">
        <v>4</v>
      </c>
      <c r="E232" s="54">
        <v>2756</v>
      </c>
      <c r="F232" s="54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233" spans="1:6" x14ac:dyDescent="0.35">
      <c r="A233" s="40" t="str">
        <f>_xlfn.TEXTJOIN(" ",TRUE,Employees_Data[[#This Row],[First Name]],Employees_Data[[#This Row],[Last Name]])</f>
        <v>Antuan Litansdurfr</v>
      </c>
      <c r="B233" s="41">
        <f ca="1">DATEDIF(Employees!$F233,TODAY(),"Y")</f>
        <v>7</v>
      </c>
      <c r="C233" s="64">
        <v>5</v>
      </c>
      <c r="D233" s="56">
        <v>2</v>
      </c>
      <c r="E233" s="56">
        <v>2332</v>
      </c>
      <c r="F233" s="56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234" spans="1:6" x14ac:dyDescent="0.35">
      <c r="A234" s="36" t="str">
        <f>_xlfn.TEXTJOIN(" ",TRUE,Employees_Data[[#This Row],[First Name]],Employees_Data[[#This Row],[Last Name]])</f>
        <v>Rashad Iidris</v>
      </c>
      <c r="B234" s="37">
        <f ca="1">DATEDIF(Employees!$F234,TODAY(),"Y")</f>
        <v>6</v>
      </c>
      <c r="C234" s="63">
        <v>3</v>
      </c>
      <c r="D234" s="54">
        <v>10</v>
      </c>
      <c r="E234" s="54">
        <v>812</v>
      </c>
      <c r="F234" s="54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235" spans="1:6" x14ac:dyDescent="0.35">
      <c r="A235" s="40" t="str">
        <f>_xlfn.TEXTJOIN(" ",TRUE,Employees_Data[[#This Row],[First Name]],Employees_Data[[#This Row],[Last Name]])</f>
        <v>Bidralidin Ahmdghrybw</v>
      </c>
      <c r="B235" s="41">
        <f ca="1">DATEDIF(Employees!$F235,TODAY(),"Y")</f>
        <v>6</v>
      </c>
      <c r="C235" s="64">
        <v>1</v>
      </c>
      <c r="D235" s="56">
        <v>12</v>
      </c>
      <c r="E235" s="56">
        <v>2651</v>
      </c>
      <c r="F235" s="56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236" spans="1:6" x14ac:dyDescent="0.35">
      <c r="A236" s="36" t="str">
        <f>_xlfn.TEXTJOIN(" ",TRUE,Employees_Data[[#This Row],[First Name]],Employees_Data[[#This Row],[Last Name]])</f>
        <v>Faras Shaykh</v>
      </c>
      <c r="B236" s="37">
        <f ca="1">DATEDIF(Employees!$F236,TODAY(),"Y")</f>
        <v>7</v>
      </c>
      <c r="C236" s="63">
        <v>4.5</v>
      </c>
      <c r="D236" s="54">
        <v>9</v>
      </c>
      <c r="E236" s="54">
        <v>2331</v>
      </c>
      <c r="F236" s="54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237" spans="1:6" x14ac:dyDescent="0.35">
      <c r="A237" s="40" t="str">
        <f>_xlfn.TEXTJOIN(" ",TRUE,Employees_Data[[#This Row],[First Name]],Employees_Data[[#This Row],[Last Name]])</f>
        <v>Muhamad Eala Aldiyn</v>
      </c>
      <c r="B237" s="41">
        <f ca="1">DATEDIF(Employees!$F237,TODAY(),"Y")</f>
        <v>6</v>
      </c>
      <c r="C237" s="64">
        <v>5</v>
      </c>
      <c r="D237" s="56">
        <v>13</v>
      </c>
      <c r="E237" s="56">
        <v>2162</v>
      </c>
      <c r="F237" s="56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238" spans="1:6" x14ac:dyDescent="0.35">
      <c r="A238" s="36" t="str">
        <f>_xlfn.TEXTJOIN(" ",TRUE,Employees_Data[[#This Row],[First Name]],Employees_Data[[#This Row],[Last Name]])</f>
        <v>Khaldun Suqbani</v>
      </c>
      <c r="B238" s="37">
        <f ca="1">DATEDIF(Employees!$F238,TODAY(),"Y")</f>
        <v>6</v>
      </c>
      <c r="C238" s="63">
        <v>3</v>
      </c>
      <c r="D238" s="54">
        <v>34</v>
      </c>
      <c r="E238" s="54">
        <v>1952</v>
      </c>
      <c r="F238" s="54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239" spans="1:6" x14ac:dyDescent="0.35">
      <c r="A239" s="40" t="str">
        <f>_xlfn.TEXTJOIN(" ",TRUE,Employees_Data[[#This Row],[First Name]],Employees_Data[[#This Row],[Last Name]])</f>
        <v>Lwna Albahra</v>
      </c>
      <c r="B239" s="41">
        <f ca="1">DATEDIF(Employees!$F239,TODAY(),"Y")</f>
        <v>6</v>
      </c>
      <c r="C239" s="64">
        <v>4.5</v>
      </c>
      <c r="D239" s="56">
        <v>6</v>
      </c>
      <c r="E239" s="56">
        <v>2976</v>
      </c>
      <c r="F239" s="56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240" spans="1:6" x14ac:dyDescent="0.35">
      <c r="A240" s="36" t="str">
        <f>_xlfn.TEXTJOIN(" ",TRUE,Employees_Data[[#This Row],[First Name]],Employees_Data[[#This Row],[Last Name]])</f>
        <v>Ahmad Ezqul</v>
      </c>
      <c r="B240" s="37">
        <f ca="1">DATEDIF(Employees!$F240,TODAY(),"Y")</f>
        <v>8</v>
      </c>
      <c r="C240" s="63">
        <v>5</v>
      </c>
      <c r="D240" s="54">
        <v>13</v>
      </c>
      <c r="E240" s="54">
        <v>2080</v>
      </c>
      <c r="F240" s="54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241" spans="1:6" x14ac:dyDescent="0.35">
      <c r="A241" s="40" t="str">
        <f>_xlfn.TEXTJOIN(" ",TRUE,Employees_Data[[#This Row],[First Name]],Employees_Data[[#This Row],[Last Name]])</f>
        <v>Salih Alhamuwd</v>
      </c>
      <c r="B241" s="41">
        <f ca="1">DATEDIF(Employees!$F241,TODAY(),"Y")</f>
        <v>7</v>
      </c>
      <c r="C241" s="64">
        <v>4.5</v>
      </c>
      <c r="D241" s="56">
        <v>3</v>
      </c>
      <c r="E241" s="56">
        <v>1668</v>
      </c>
      <c r="F241" s="56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242" spans="1:6" x14ac:dyDescent="0.35">
      <c r="A242" s="36" t="str">
        <f>_xlfn.TEXTJOIN(" ",TRUE,Employees_Data[[#This Row],[First Name]],Employees_Data[[#This Row],[Last Name]])</f>
        <v>Muhamad Abu Zamil</v>
      </c>
      <c r="B242" s="37">
        <f ca="1">DATEDIF(Employees!$F242,TODAY(),"Y")</f>
        <v>10</v>
      </c>
      <c r="C242" s="63">
        <v>5</v>
      </c>
      <c r="D242" s="54">
        <v>7</v>
      </c>
      <c r="E242" s="54">
        <v>2234</v>
      </c>
      <c r="F242" s="54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243" spans="1:6" x14ac:dyDescent="0.35">
      <c r="A243" s="40" t="str">
        <f>_xlfn.TEXTJOIN(" ",TRUE,Employees_Data[[#This Row],[First Name]],Employees_Data[[#This Row],[Last Name]])</f>
        <v>Fuad Alsyqly</v>
      </c>
      <c r="B243" s="41">
        <f ca="1">DATEDIF(Employees!$F243,TODAY(),"Y")</f>
        <v>7</v>
      </c>
      <c r="C243" s="64">
        <v>3</v>
      </c>
      <c r="D243" s="56">
        <v>0</v>
      </c>
      <c r="E243" s="56">
        <v>2096</v>
      </c>
      <c r="F243" s="56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244" spans="1:6" x14ac:dyDescent="0.35">
      <c r="A244" s="36" t="str">
        <f>_xlfn.TEXTJOIN(" ",TRUE,Employees_Data[[#This Row],[First Name]],Employees_Data[[#This Row],[Last Name]])</f>
        <v>Muhamad Aldamshqi</v>
      </c>
      <c r="B244" s="37">
        <f ca="1">DATEDIF(Employees!$F244,TODAY(),"Y")</f>
        <v>7</v>
      </c>
      <c r="C244" s="63">
        <v>3</v>
      </c>
      <c r="D244" s="54">
        <v>3</v>
      </c>
      <c r="E244" s="54">
        <v>2129</v>
      </c>
      <c r="F244" s="54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245" spans="1:6" x14ac:dyDescent="0.35">
      <c r="A245" s="40" t="str">
        <f>_xlfn.TEXTJOIN(" ",TRUE,Employees_Data[[#This Row],[First Name]],Employees_Data[[#This Row],[Last Name]])</f>
        <v>Sayf Aldiyn Alkmshh</v>
      </c>
      <c r="B245" s="41">
        <f ca="1">DATEDIF(Employees!$F245,TODAY(),"Y")</f>
        <v>7</v>
      </c>
      <c r="C245" s="64">
        <v>3</v>
      </c>
      <c r="D245" s="56">
        <v>8</v>
      </c>
      <c r="E245" s="56">
        <v>1429</v>
      </c>
      <c r="F245" s="56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246" spans="1:6" x14ac:dyDescent="0.35">
      <c r="A246" s="36" t="str">
        <f>_xlfn.TEXTJOIN(" ",TRUE,Employees_Data[[#This Row],[First Name]],Employees_Data[[#This Row],[Last Name]])</f>
        <v>Muhamad Alssati</v>
      </c>
      <c r="B246" s="37">
        <f ca="1">DATEDIF(Employees!$F246,TODAY(),"Y")</f>
        <v>6</v>
      </c>
      <c r="C246" s="63">
        <v>3</v>
      </c>
      <c r="D246" s="54">
        <v>8</v>
      </c>
      <c r="E246" s="54">
        <v>1479</v>
      </c>
      <c r="F246" s="54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247" spans="1:6" x14ac:dyDescent="0.35">
      <c r="A247" s="40" t="str">
        <f>_xlfn.TEXTJOIN(" ",TRUE,Employees_Data[[#This Row],[First Name]],Employees_Data[[#This Row],[Last Name]])</f>
        <v>Khalid Alem</v>
      </c>
      <c r="B247" s="41">
        <f ca="1">DATEDIF(Employees!$F247,TODAY(),"Y")</f>
        <v>5</v>
      </c>
      <c r="C247" s="64">
        <v>5</v>
      </c>
      <c r="D247" s="56">
        <v>3</v>
      </c>
      <c r="E247" s="56">
        <v>2884</v>
      </c>
      <c r="F247" s="56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248" spans="1:6" x14ac:dyDescent="0.35">
      <c r="A248" s="36" t="str">
        <f>_xlfn.TEXTJOIN(" ",TRUE,Employees_Data[[#This Row],[First Name]],Employees_Data[[#This Row],[Last Name]])</f>
        <v>Ayham Aleisaa</v>
      </c>
      <c r="B248" s="37">
        <f ca="1">DATEDIF(Employees!$F248,TODAY(),"Y")</f>
        <v>5</v>
      </c>
      <c r="C248" s="63">
        <v>3</v>
      </c>
      <c r="D248" s="54">
        <v>1</v>
      </c>
      <c r="E248" s="54">
        <v>2947</v>
      </c>
      <c r="F248" s="54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249" spans="1:6" x14ac:dyDescent="0.35">
      <c r="A249" s="40" t="str">
        <f>_xlfn.TEXTJOIN(" ",TRUE,Employees_Data[[#This Row],[First Name]],Employees_Data[[#This Row],[Last Name]])</f>
        <v>Abd Alruhmin Dulul</v>
      </c>
      <c r="B249" s="41">
        <f ca="1">DATEDIF(Employees!$F249,TODAY(),"Y")</f>
        <v>8</v>
      </c>
      <c r="C249" s="64">
        <v>1</v>
      </c>
      <c r="D249" s="56">
        <v>4</v>
      </c>
      <c r="E249" s="56">
        <v>1795</v>
      </c>
      <c r="F249" s="56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250" spans="1:6" x14ac:dyDescent="0.35">
      <c r="A250" s="36" t="str">
        <f>_xlfn.TEXTJOIN(" ",TRUE,Employees_Data[[#This Row],[First Name]],Employees_Data[[#This Row],[Last Name]])</f>
        <v>Ruba Aleid</v>
      </c>
      <c r="B250" s="37">
        <f ca="1">DATEDIF(Employees!$F250,TODAY(),"Y")</f>
        <v>8</v>
      </c>
      <c r="C250" s="63">
        <v>5</v>
      </c>
      <c r="D250" s="54">
        <v>7</v>
      </c>
      <c r="E250" s="54">
        <v>1982</v>
      </c>
      <c r="F250" s="54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251" spans="1:6" x14ac:dyDescent="0.35">
      <c r="A251" s="40" t="str">
        <f>_xlfn.TEXTJOIN(" ",TRUE,Employees_Data[[#This Row],[First Name]],Employees_Data[[#This Row],[Last Name]])</f>
        <v>Muhamad Badawiin</v>
      </c>
      <c r="B251" s="41">
        <f ca="1">DATEDIF(Employees!$F251,TODAY(),"Y")</f>
        <v>5</v>
      </c>
      <c r="C251" s="64">
        <v>5</v>
      </c>
      <c r="D251" s="56">
        <v>86</v>
      </c>
      <c r="E251" s="56">
        <v>2543</v>
      </c>
      <c r="F251" s="56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Eligible</v>
      </c>
    </row>
    <row r="252" spans="1:6" x14ac:dyDescent="0.35">
      <c r="A252" s="36" t="str">
        <f>_xlfn.TEXTJOIN(" ",TRUE,Employees_Data[[#This Row],[First Name]],Employees_Data[[#This Row],[Last Name]])</f>
        <v>Sharihan Rihan</v>
      </c>
      <c r="B252" s="37">
        <f ca="1">DATEDIF(Employees!$F252,TODAY(),"Y")</f>
        <v>6</v>
      </c>
      <c r="C252" s="63">
        <v>3</v>
      </c>
      <c r="D252" s="54">
        <v>12</v>
      </c>
      <c r="E252" s="54">
        <v>2787</v>
      </c>
      <c r="F252" s="54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253" spans="1:6" x14ac:dyDescent="0.35">
      <c r="A253" s="40" t="str">
        <f>_xlfn.TEXTJOIN(" ",TRUE,Employees_Data[[#This Row],[First Name]],Employees_Data[[#This Row],[Last Name]])</f>
        <v>Ibrahim Alyasin</v>
      </c>
      <c r="B253" s="41">
        <f ca="1">DATEDIF(Employees!$F253,TODAY(),"Y")</f>
        <v>6</v>
      </c>
      <c r="C253" s="64">
        <v>5</v>
      </c>
      <c r="D253" s="56">
        <v>5</v>
      </c>
      <c r="E253" s="56">
        <v>1095</v>
      </c>
      <c r="F253" s="56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254" spans="1:6" x14ac:dyDescent="0.35">
      <c r="A254" s="36" t="str">
        <f>_xlfn.TEXTJOIN(" ",TRUE,Employees_Data[[#This Row],[First Name]],Employees_Data[[#This Row],[Last Name]])</f>
        <v>Iin Mulaliyun</v>
      </c>
      <c r="B254" s="37">
        <f ca="1">DATEDIF(Employees!$F254,TODAY(),"Y")</f>
        <v>6</v>
      </c>
      <c r="C254" s="63">
        <v>5</v>
      </c>
      <c r="D254" s="54">
        <v>0</v>
      </c>
      <c r="E254" s="54">
        <v>2009</v>
      </c>
      <c r="F254" s="54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255" spans="1:6" x14ac:dyDescent="0.35">
      <c r="A255" s="40" t="str">
        <f>_xlfn.TEXTJOIN(" ",TRUE,Employees_Data[[#This Row],[First Name]],Employees_Data[[#This Row],[Last Name]])</f>
        <v>Danah Almahdi</v>
      </c>
      <c r="B255" s="41">
        <f ca="1">DATEDIF(Employees!$F255,TODAY(),"Y")</f>
        <v>10</v>
      </c>
      <c r="C255" s="64">
        <v>3</v>
      </c>
      <c r="D255" s="56">
        <v>2</v>
      </c>
      <c r="E255" s="56">
        <v>1837</v>
      </c>
      <c r="F255" s="56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256" spans="1:6" x14ac:dyDescent="0.35">
      <c r="A256" s="36" t="str">
        <f>_xlfn.TEXTJOIN(" ",TRUE,Employees_Data[[#This Row],[First Name]],Employees_Data[[#This Row],[Last Name]])</f>
        <v>Muhamad Sakar</v>
      </c>
      <c r="B256" s="37">
        <f ca="1">DATEDIF(Employees!$F256,TODAY(),"Y")</f>
        <v>7</v>
      </c>
      <c r="C256" s="63">
        <v>3</v>
      </c>
      <c r="D256" s="54">
        <v>9</v>
      </c>
      <c r="E256" s="54">
        <v>3109</v>
      </c>
      <c r="F256" s="54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257" spans="1:6" x14ac:dyDescent="0.35">
      <c r="A257" s="40" t="str">
        <f>_xlfn.TEXTJOIN(" ",TRUE,Employees_Data[[#This Row],[First Name]],Employees_Data[[#This Row],[Last Name]])</f>
        <v>Lama Yasin</v>
      </c>
      <c r="B257" s="41">
        <f ca="1">DATEDIF(Employees!$F257,TODAY(),"Y")</f>
        <v>6</v>
      </c>
      <c r="C257" s="64">
        <v>5</v>
      </c>
      <c r="D257" s="56">
        <v>5</v>
      </c>
      <c r="E257" s="56">
        <v>2832</v>
      </c>
      <c r="F257" s="56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258" spans="1:6" x14ac:dyDescent="0.35">
      <c r="A258" s="36" t="str">
        <f>_xlfn.TEXTJOIN(" ",TRUE,Employees_Data[[#This Row],[First Name]],Employees_Data[[#This Row],[Last Name]])</f>
        <v>Asf Abultif</v>
      </c>
      <c r="B258" s="37">
        <f ca="1">DATEDIF(Employees!$F258,TODAY(),"Y")</f>
        <v>7</v>
      </c>
      <c r="C258" s="63">
        <v>1</v>
      </c>
      <c r="D258" s="54">
        <v>7</v>
      </c>
      <c r="E258" s="54">
        <v>2940</v>
      </c>
      <c r="F258" s="54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259" spans="1:6" x14ac:dyDescent="0.35">
      <c r="A259" s="40" t="str">
        <f>_xlfn.TEXTJOIN(" ",TRUE,Employees_Data[[#This Row],[First Name]],Employees_Data[[#This Row],[Last Name]])</f>
        <v>Ahmad Alshalaq</v>
      </c>
      <c r="B259" s="41">
        <f ca="1">DATEDIF(Employees!$F259,TODAY(),"Y")</f>
        <v>7</v>
      </c>
      <c r="C259" s="64">
        <v>5</v>
      </c>
      <c r="D259" s="56">
        <v>13</v>
      </c>
      <c r="E259" s="56">
        <v>983</v>
      </c>
      <c r="F259" s="56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260" spans="1:6" x14ac:dyDescent="0.35">
      <c r="A260" s="36" t="str">
        <f>_xlfn.TEXTJOIN(" ",TRUE,Employees_Data[[#This Row],[First Name]],Employees_Data[[#This Row],[Last Name]])</f>
        <v>Mazin Zawal</v>
      </c>
      <c r="B260" s="37">
        <f ca="1">DATEDIF(Employees!$F260,TODAY(),"Y")</f>
        <v>6</v>
      </c>
      <c r="C260" s="63">
        <v>1</v>
      </c>
      <c r="D260" s="54">
        <v>10</v>
      </c>
      <c r="E260" s="54">
        <v>1223</v>
      </c>
      <c r="F260" s="54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261" spans="1:6" x14ac:dyDescent="0.35">
      <c r="A261" s="40" t="str">
        <f>_xlfn.TEXTJOIN(" ",TRUE,Employees_Data[[#This Row],[First Name]],Employees_Data[[#This Row],[Last Name]])</f>
        <v>Diana Aleabd</v>
      </c>
      <c r="B261" s="41">
        <f ca="1">DATEDIF(Employees!$F261,TODAY(),"Y")</f>
        <v>6</v>
      </c>
      <c r="C261" s="64">
        <v>1</v>
      </c>
      <c r="D261" s="56">
        <v>5</v>
      </c>
      <c r="E261" s="56">
        <v>833</v>
      </c>
      <c r="F261" s="56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262" spans="1:6" x14ac:dyDescent="0.35">
      <c r="A262" s="36" t="str">
        <f>_xlfn.TEXTJOIN(" ",TRUE,Employees_Data[[#This Row],[First Name]],Employees_Data[[#This Row],[Last Name]])</f>
        <v>Kawkab Qarqazan</v>
      </c>
      <c r="B262" s="37">
        <f ca="1">DATEDIF(Employees!$F262,TODAY(),"Y")</f>
        <v>8</v>
      </c>
      <c r="C262" s="63">
        <v>3</v>
      </c>
      <c r="D262" s="54">
        <v>2</v>
      </c>
      <c r="E262" s="54">
        <v>2074</v>
      </c>
      <c r="F262" s="54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263" spans="1:6" x14ac:dyDescent="0.35">
      <c r="A263" s="40" t="str">
        <f>_xlfn.TEXTJOIN(" ",TRUE,Employees_Data[[#This Row],[First Name]],Employees_Data[[#This Row],[Last Name]])</f>
        <v>Thamir Abu Ghazy</v>
      </c>
      <c r="B263" s="41">
        <f ca="1">DATEDIF(Employees!$F263,TODAY(),"Y")</f>
        <v>8</v>
      </c>
      <c r="C263" s="64">
        <v>3</v>
      </c>
      <c r="D263" s="56">
        <v>9</v>
      </c>
      <c r="E263" s="56">
        <v>2811</v>
      </c>
      <c r="F263" s="56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264" spans="1:6" x14ac:dyDescent="0.35">
      <c r="A264" s="36" t="str">
        <f>_xlfn.TEXTJOIN(" ",TRUE,Employees_Data[[#This Row],[First Name]],Employees_Data[[#This Row],[Last Name]])</f>
        <v>Muhamad Alabth</v>
      </c>
      <c r="B264" s="37">
        <f ca="1">DATEDIF(Employees!$F264,TODAY(),"Y")</f>
        <v>7</v>
      </c>
      <c r="C264" s="63">
        <v>4.5</v>
      </c>
      <c r="D264" s="54">
        <v>4</v>
      </c>
      <c r="E264" s="54">
        <v>1436</v>
      </c>
      <c r="F264" s="54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265" spans="1:6" x14ac:dyDescent="0.35">
      <c r="A265" s="40" t="str">
        <f>_xlfn.TEXTJOIN(" ",TRUE,Employees_Data[[#This Row],[First Name]],Employees_Data[[#This Row],[Last Name]])</f>
        <v>Khadijah Abu Taqih</v>
      </c>
      <c r="B265" s="41">
        <f ca="1">DATEDIF(Employees!$F265,TODAY(),"Y")</f>
        <v>7</v>
      </c>
      <c r="C265" s="64">
        <v>2</v>
      </c>
      <c r="D265" s="56">
        <v>5</v>
      </c>
      <c r="E265" s="56">
        <v>1041</v>
      </c>
      <c r="F265" s="56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266" spans="1:6" x14ac:dyDescent="0.35">
      <c r="A266" s="36" t="str">
        <f>_xlfn.TEXTJOIN(" ",TRUE,Employees_Data[[#This Row],[First Name]],Employees_Data[[#This Row],[Last Name]])</f>
        <v>Salwaa Alsyd</v>
      </c>
      <c r="B266" s="37">
        <f ca="1">DATEDIF(Employees!$F266,TODAY(),"Y")</f>
        <v>8</v>
      </c>
      <c r="C266" s="63">
        <v>3</v>
      </c>
      <c r="D266" s="54">
        <v>87</v>
      </c>
      <c r="E266" s="54">
        <v>2231</v>
      </c>
      <c r="F266" s="54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Eligible</v>
      </c>
    </row>
    <row r="267" spans="1:6" x14ac:dyDescent="0.35">
      <c r="A267" s="40" t="str">
        <f>_xlfn.TEXTJOIN(" ",TRUE,Employees_Data[[#This Row],[First Name]],Employees_Data[[#This Row],[Last Name]])</f>
        <v>Muayid Shbyb</v>
      </c>
      <c r="B267" s="41">
        <f ca="1">DATEDIF(Employees!$F267,TODAY(),"Y")</f>
        <v>7</v>
      </c>
      <c r="C267" s="64">
        <v>3</v>
      </c>
      <c r="D267" s="56">
        <v>1</v>
      </c>
      <c r="E267" s="56">
        <v>1036</v>
      </c>
      <c r="F267" s="56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268" spans="1:6" x14ac:dyDescent="0.35">
      <c r="A268" s="36" t="str">
        <f>_xlfn.TEXTJOIN(" ",TRUE,Employees_Data[[#This Row],[First Name]],Employees_Data[[#This Row],[Last Name]])</f>
        <v>Rannym Tyru</v>
      </c>
      <c r="B268" s="37">
        <f ca="1">DATEDIF(Employees!$F268,TODAY(),"Y")</f>
        <v>6</v>
      </c>
      <c r="C268" s="63">
        <v>5</v>
      </c>
      <c r="D268" s="54">
        <v>45</v>
      </c>
      <c r="E268" s="54">
        <v>2143</v>
      </c>
      <c r="F268" s="54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269" spans="1:6" x14ac:dyDescent="0.35">
      <c r="A269" s="40" t="str">
        <f>_xlfn.TEXTJOIN(" ",TRUE,Employees_Data[[#This Row],[First Name]],Employees_Data[[#This Row],[Last Name]])</f>
        <v>Iin Alhaju Bikr</v>
      </c>
      <c r="B269" s="41">
        <f ca="1">DATEDIF(Employees!$F269,TODAY(),"Y")</f>
        <v>6</v>
      </c>
      <c r="C269" s="64">
        <v>5</v>
      </c>
      <c r="D269" s="56">
        <v>9</v>
      </c>
      <c r="E269" s="56">
        <v>967</v>
      </c>
      <c r="F269" s="56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270" spans="1:6" x14ac:dyDescent="0.35">
      <c r="A270" s="36" t="str">
        <f>_xlfn.TEXTJOIN(" ",TRUE,Employees_Data[[#This Row],[First Name]],Employees_Data[[#This Row],[Last Name]])</f>
        <v>Jihad Aldukifi</v>
      </c>
      <c r="B270" s="37">
        <f ca="1">DATEDIF(Employees!$F270,TODAY(),"Y")</f>
        <v>6</v>
      </c>
      <c r="C270" s="63">
        <v>1</v>
      </c>
      <c r="D270" s="54">
        <v>3</v>
      </c>
      <c r="E270" s="54">
        <v>2510</v>
      </c>
      <c r="F270" s="54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271" spans="1:6" x14ac:dyDescent="0.35">
      <c r="A271" s="40" t="str">
        <f>_xlfn.TEXTJOIN(" ",TRUE,Employees_Data[[#This Row],[First Name]],Employees_Data[[#This Row],[Last Name]])</f>
        <v>Sandurana Antun</v>
      </c>
      <c r="B271" s="41">
        <f ca="1">DATEDIF(Employees!$F271,TODAY(),"Y")</f>
        <v>7</v>
      </c>
      <c r="C271" s="64">
        <v>2</v>
      </c>
      <c r="D271" s="56">
        <v>1</v>
      </c>
      <c r="E271" s="56">
        <v>3364</v>
      </c>
      <c r="F271" s="56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272" spans="1:6" x14ac:dyDescent="0.35">
      <c r="A272" s="36" t="str">
        <f>_xlfn.TEXTJOIN(" ",TRUE,Employees_Data[[#This Row],[First Name]],Employees_Data[[#This Row],[Last Name]])</f>
        <v>Eala Darkzifli</v>
      </c>
      <c r="B272" s="37">
        <f ca="1">DATEDIF(Employees!$F272,TODAY(),"Y")</f>
        <v>7</v>
      </c>
      <c r="C272" s="63">
        <v>5</v>
      </c>
      <c r="D272" s="54">
        <v>10</v>
      </c>
      <c r="E272" s="54">
        <v>3420</v>
      </c>
      <c r="F272" s="54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273" spans="1:6" x14ac:dyDescent="0.35">
      <c r="A273" s="40" t="str">
        <f>_xlfn.TEXTJOIN(" ",TRUE,Employees_Data[[#This Row],[First Name]],Employees_Data[[#This Row],[Last Name]])</f>
        <v>Samir Alsaeid</v>
      </c>
      <c r="B273" s="41">
        <f ca="1">DATEDIF(Employees!$F273,TODAY(),"Y")</f>
        <v>7</v>
      </c>
      <c r="C273" s="64">
        <v>3</v>
      </c>
      <c r="D273" s="56">
        <v>1</v>
      </c>
      <c r="E273" s="56">
        <v>2229</v>
      </c>
      <c r="F273" s="56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274" spans="1:6" x14ac:dyDescent="0.35">
      <c r="A274" s="36" t="str">
        <f>_xlfn.TEXTJOIN(" ",TRUE,Employees_Data[[#This Row],[First Name]],Employees_Data[[#This Row],[Last Name]])</f>
        <v>Amir Alhifar</v>
      </c>
      <c r="B274" s="37">
        <f ca="1">DATEDIF(Employees!$F274,TODAY(),"Y")</f>
        <v>6</v>
      </c>
      <c r="C274" s="63">
        <v>5</v>
      </c>
      <c r="D274" s="54">
        <v>5</v>
      </c>
      <c r="E274" s="54">
        <v>1910</v>
      </c>
      <c r="F274" s="54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275" spans="1:6" x14ac:dyDescent="0.35">
      <c r="A275" s="40" t="str">
        <f>_xlfn.TEXTJOIN(" ",TRUE,Employees_Data[[#This Row],[First Name]],Employees_Data[[#This Row],[Last Name]])</f>
        <v>Lama Almala</v>
      </c>
      <c r="B275" s="41">
        <f ca="1">DATEDIF(Employees!$F275,TODAY(),"Y")</f>
        <v>7</v>
      </c>
      <c r="C275" s="64">
        <v>4.5</v>
      </c>
      <c r="D275" s="56">
        <v>84</v>
      </c>
      <c r="E275" s="56">
        <v>1917</v>
      </c>
      <c r="F275" s="56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Eligible</v>
      </c>
    </row>
    <row r="276" spans="1:6" x14ac:dyDescent="0.35">
      <c r="A276" s="36" t="str">
        <f>_xlfn.TEXTJOIN(" ",TRUE,Employees_Data[[#This Row],[First Name]],Employees_Data[[#This Row],[Last Name]])</f>
        <v>Hasan Kalthum</v>
      </c>
      <c r="B276" s="37">
        <f ca="1">DATEDIF(Employees!$F276,TODAY(),"Y")</f>
        <v>7</v>
      </c>
      <c r="C276" s="63">
        <v>1</v>
      </c>
      <c r="D276" s="54">
        <v>7</v>
      </c>
      <c r="E276" s="54">
        <v>831</v>
      </c>
      <c r="F276" s="54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277" spans="1:6" x14ac:dyDescent="0.35">
      <c r="A277" s="40" t="str">
        <f>_xlfn.TEXTJOIN(" ",TRUE,Employees_Data[[#This Row],[First Name]],Employees_Data[[#This Row],[Last Name]])</f>
        <v>Muhamad Saeadat</v>
      </c>
      <c r="B277" s="41">
        <f ca="1">DATEDIF(Employees!$F277,TODAY(),"Y")</f>
        <v>7</v>
      </c>
      <c r="C277" s="64">
        <v>4.5</v>
      </c>
      <c r="D277" s="56">
        <v>4</v>
      </c>
      <c r="E277" s="56">
        <v>2636</v>
      </c>
      <c r="F277" s="56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278" spans="1:6" x14ac:dyDescent="0.35">
      <c r="A278" s="36" t="str">
        <f>_xlfn.TEXTJOIN(" ",TRUE,Employees_Data[[#This Row],[First Name]],Employees_Data[[#This Row],[Last Name]])</f>
        <v>Rana Eijrush</v>
      </c>
      <c r="B278" s="37">
        <f ca="1">DATEDIF(Employees!$F278,TODAY(),"Y")</f>
        <v>8</v>
      </c>
      <c r="C278" s="63">
        <v>2</v>
      </c>
      <c r="D278" s="54">
        <v>4</v>
      </c>
      <c r="E278" s="54">
        <v>2929</v>
      </c>
      <c r="F278" s="54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279" spans="1:6" x14ac:dyDescent="0.35">
      <c r="A279" s="40" t="str">
        <f>_xlfn.TEXTJOIN(" ",TRUE,Employees_Data[[#This Row],[First Name]],Employees_Data[[#This Row],[Last Name]])</f>
        <v>Tariq Alkinaya</v>
      </c>
      <c r="B279" s="41">
        <f ca="1">DATEDIF(Employees!$F279,TODAY(),"Y")</f>
        <v>7</v>
      </c>
      <c r="C279" s="64">
        <v>1</v>
      </c>
      <c r="D279" s="56">
        <v>15</v>
      </c>
      <c r="E279" s="56">
        <v>1255</v>
      </c>
      <c r="F279" s="56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280" spans="1:6" x14ac:dyDescent="0.35">
      <c r="A280" s="36" t="str">
        <f>_xlfn.TEXTJOIN(" ",TRUE,Employees_Data[[#This Row],[First Name]],Employees_Data[[#This Row],[Last Name]])</f>
        <v>Amjad Alrz</v>
      </c>
      <c r="B280" s="37">
        <f ca="1">DATEDIF(Employees!$F280,TODAY(),"Y")</f>
        <v>6</v>
      </c>
      <c r="C280" s="63">
        <v>3</v>
      </c>
      <c r="D280" s="54">
        <v>13</v>
      </c>
      <c r="E280" s="54">
        <v>2210</v>
      </c>
      <c r="F280" s="54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281" spans="1:6" x14ac:dyDescent="0.35">
      <c r="A281" s="40" t="str">
        <f>_xlfn.TEXTJOIN(" ",TRUE,Employees_Data[[#This Row],[First Name]],Employees_Data[[#This Row],[Last Name]])</f>
        <v>Daniah Alhariri</v>
      </c>
      <c r="B281" s="41">
        <f ca="1">DATEDIF(Employees!$F281,TODAY(),"Y")</f>
        <v>7</v>
      </c>
      <c r="C281" s="64">
        <v>5</v>
      </c>
      <c r="D281" s="56">
        <v>9</v>
      </c>
      <c r="E281" s="56">
        <v>1788</v>
      </c>
      <c r="F281" s="56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282" spans="1:6" x14ac:dyDescent="0.35">
      <c r="A282" s="36" t="str">
        <f>_xlfn.TEXTJOIN(" ",TRUE,Employees_Data[[#This Row],[First Name]],Employees_Data[[#This Row],[Last Name]])</f>
        <v>Hasan Quidr</v>
      </c>
      <c r="B282" s="37">
        <f ca="1">DATEDIF(Employees!$F282,TODAY(),"Y")</f>
        <v>6</v>
      </c>
      <c r="C282" s="63">
        <v>5</v>
      </c>
      <c r="D282" s="54">
        <v>3</v>
      </c>
      <c r="E282" s="54">
        <v>2488</v>
      </c>
      <c r="F282" s="54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283" spans="1:6" x14ac:dyDescent="0.35">
      <c r="A283" s="40" t="str">
        <f>_xlfn.TEXTJOIN(" ",TRUE,Employees_Data[[#This Row],[First Name]],Employees_Data[[#This Row],[Last Name]])</f>
        <v>Muhamad Shaykh Janid</v>
      </c>
      <c r="B283" s="41">
        <f ca="1">DATEDIF(Employees!$F283,TODAY(),"Y")</f>
        <v>6</v>
      </c>
      <c r="C283" s="64">
        <v>5</v>
      </c>
      <c r="D283" s="56">
        <v>2</v>
      </c>
      <c r="E283" s="56">
        <v>2187</v>
      </c>
      <c r="F283" s="56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284" spans="1:6" x14ac:dyDescent="0.35">
      <c r="A284" s="36" t="str">
        <f>_xlfn.TEXTJOIN(" ",TRUE,Employees_Data[[#This Row],[First Name]],Employees_Data[[#This Row],[Last Name]])</f>
        <v>Esamat Zaza</v>
      </c>
      <c r="B284" s="37">
        <f ca="1">DATEDIF(Employees!$F284,TODAY(),"Y")</f>
        <v>6</v>
      </c>
      <c r="C284" s="63">
        <v>2</v>
      </c>
      <c r="D284" s="54">
        <v>13</v>
      </c>
      <c r="E284" s="54">
        <v>1366</v>
      </c>
      <c r="F284" s="54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285" spans="1:6" x14ac:dyDescent="0.35">
      <c r="A285" s="40" t="str">
        <f>_xlfn.TEXTJOIN(" ",TRUE,Employees_Data[[#This Row],[First Name]],Employees_Data[[#This Row],[Last Name]])</f>
        <v>Fadi Hububati</v>
      </c>
      <c r="B285" s="41">
        <f ca="1">DATEDIF(Employees!$F285,TODAY(),"Y")</f>
        <v>7</v>
      </c>
      <c r="C285" s="64">
        <v>5</v>
      </c>
      <c r="D285" s="56">
        <v>8</v>
      </c>
      <c r="E285" s="56">
        <v>2612</v>
      </c>
      <c r="F285" s="56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286" spans="1:6" x14ac:dyDescent="0.35">
      <c r="A286" s="36" t="str">
        <f>_xlfn.TEXTJOIN(" ",TRUE,Employees_Data[[#This Row],[First Name]],Employees_Data[[#This Row],[Last Name]])</f>
        <v>Adnan Alhusayn</v>
      </c>
      <c r="B286" s="37">
        <f ca="1">DATEDIF(Employees!$F286,TODAY(),"Y")</f>
        <v>8</v>
      </c>
      <c r="C286" s="63">
        <v>5</v>
      </c>
      <c r="D286" s="54">
        <v>8</v>
      </c>
      <c r="E286" s="54">
        <v>2246</v>
      </c>
      <c r="F286" s="54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287" spans="1:6" x14ac:dyDescent="0.35">
      <c r="A287" s="40" t="str">
        <f>_xlfn.TEXTJOIN(" ",TRUE,Employees_Data[[#This Row],[First Name]],Employees_Data[[#This Row],[Last Name]])</f>
        <v>Muhamad Allibad</v>
      </c>
      <c r="B287" s="41">
        <f ca="1">DATEDIF(Employees!$F287,TODAY(),"Y")</f>
        <v>8</v>
      </c>
      <c r="C287" s="64">
        <v>5</v>
      </c>
      <c r="D287" s="56">
        <v>5</v>
      </c>
      <c r="E287" s="56">
        <v>2761</v>
      </c>
      <c r="F287" s="56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288" spans="1:6" x14ac:dyDescent="0.35">
      <c r="A288" s="36" t="str">
        <f>_xlfn.TEXTJOIN(" ",TRUE,Employees_Data[[#This Row],[First Name]],Employees_Data[[#This Row],[Last Name]])</f>
        <v>Tana Dahruj</v>
      </c>
      <c r="B288" s="37">
        <f ca="1">DATEDIF(Employees!$F288,TODAY(),"Y")</f>
        <v>6</v>
      </c>
      <c r="C288" s="63">
        <v>4.5</v>
      </c>
      <c r="D288" s="54">
        <v>76</v>
      </c>
      <c r="E288" s="54">
        <v>1536</v>
      </c>
      <c r="F288" s="54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Eligible</v>
      </c>
    </row>
    <row r="289" spans="1:6" x14ac:dyDescent="0.35">
      <c r="A289" s="40" t="str">
        <f>_xlfn.TEXTJOIN(" ",TRUE,Employees_Data[[#This Row],[First Name]],Employees_Data[[#This Row],[Last Name]])</f>
        <v>Muhamad Almtlq</v>
      </c>
      <c r="B289" s="41">
        <f ca="1">DATEDIF(Employees!$F289,TODAY(),"Y")</f>
        <v>9</v>
      </c>
      <c r="C289" s="64">
        <v>4.5</v>
      </c>
      <c r="D289" s="56">
        <v>80</v>
      </c>
      <c r="E289" s="56">
        <v>2180</v>
      </c>
      <c r="F289" s="56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Eligible</v>
      </c>
    </row>
    <row r="290" spans="1:6" x14ac:dyDescent="0.35">
      <c r="A290" s="36" t="str">
        <f>_xlfn.TEXTJOIN(" ",TRUE,Employees_Data[[#This Row],[First Name]],Employees_Data[[#This Row],[Last Name]])</f>
        <v>Sana Alhusayn</v>
      </c>
      <c r="B290" s="37">
        <f ca="1">DATEDIF(Employees!$F290,TODAY(),"Y")</f>
        <v>6</v>
      </c>
      <c r="C290" s="63">
        <v>5</v>
      </c>
      <c r="D290" s="54">
        <v>3</v>
      </c>
      <c r="E290" s="54">
        <v>3412</v>
      </c>
      <c r="F290" s="54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291" spans="1:6" x14ac:dyDescent="0.35">
      <c r="A291" s="40" t="str">
        <f>_xlfn.TEXTJOIN(" ",TRUE,Employees_Data[[#This Row],[First Name]],Employees_Data[[#This Row],[Last Name]])</f>
        <v>Muhamad Bdraldyn</v>
      </c>
      <c r="B291" s="41">
        <f ca="1">DATEDIF(Employees!$F291,TODAY(),"Y")</f>
        <v>8</v>
      </c>
      <c r="C291" s="64">
        <v>4.5</v>
      </c>
      <c r="D291" s="56">
        <v>6</v>
      </c>
      <c r="E291" s="56">
        <v>2546</v>
      </c>
      <c r="F291" s="56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292" spans="1:6" x14ac:dyDescent="0.35">
      <c r="A292" s="36" t="str">
        <f>_xlfn.TEXTJOIN(" ",TRUE,Employees_Data[[#This Row],[First Name]],Employees_Data[[#This Row],[Last Name]])</f>
        <v>Muhamad Eataya</v>
      </c>
      <c r="B292" s="37">
        <f ca="1">DATEDIF(Employees!$F292,TODAY(),"Y")</f>
        <v>8</v>
      </c>
      <c r="C292" s="63">
        <v>5</v>
      </c>
      <c r="D292" s="54">
        <v>0</v>
      </c>
      <c r="E292" s="54">
        <v>1856</v>
      </c>
      <c r="F292" s="54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293" spans="1:6" x14ac:dyDescent="0.35">
      <c r="A293" s="40" t="str">
        <f>_xlfn.TEXTJOIN(" ",TRUE,Employees_Data[[#This Row],[First Name]],Employees_Data[[#This Row],[Last Name]])</f>
        <v>Fadi Aljizamati</v>
      </c>
      <c r="B293" s="41">
        <f ca="1">DATEDIF(Employees!$F293,TODAY(),"Y")</f>
        <v>7</v>
      </c>
      <c r="C293" s="64">
        <v>5</v>
      </c>
      <c r="D293" s="56">
        <v>3</v>
      </c>
      <c r="E293" s="56">
        <v>3220</v>
      </c>
      <c r="F293" s="56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294" spans="1:6" x14ac:dyDescent="0.35">
      <c r="A294" s="36" t="str">
        <f>_xlfn.TEXTJOIN(" ",TRUE,Employees_Data[[#This Row],[First Name]],Employees_Data[[#This Row],[Last Name]])</f>
        <v>Alaa Alqasir</v>
      </c>
      <c r="B294" s="37">
        <f ca="1">DATEDIF(Employees!$F294,TODAY(),"Y")</f>
        <v>10</v>
      </c>
      <c r="C294" s="63">
        <v>5</v>
      </c>
      <c r="D294" s="54">
        <v>3</v>
      </c>
      <c r="E294" s="54">
        <v>3061</v>
      </c>
      <c r="F294" s="54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295" spans="1:6" x14ac:dyDescent="0.35">
      <c r="A295" s="40" t="str">
        <f>_xlfn.TEXTJOIN(" ",TRUE,Employees_Data[[#This Row],[First Name]],Employees_Data[[#This Row],[Last Name]])</f>
        <v>Abd Alruhmin Salih</v>
      </c>
      <c r="B295" s="41">
        <f ca="1">DATEDIF(Employees!$F295,TODAY(),"Y")</f>
        <v>9</v>
      </c>
      <c r="C295" s="64">
        <v>2</v>
      </c>
      <c r="D295" s="56">
        <v>1</v>
      </c>
      <c r="E295" s="56">
        <v>2221</v>
      </c>
      <c r="F295" s="56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296" spans="1:6" x14ac:dyDescent="0.35">
      <c r="A296" s="36" t="str">
        <f>_xlfn.TEXTJOIN(" ",TRUE,Employees_Data[[#This Row],[First Name]],Employees_Data[[#This Row],[Last Name]])</f>
        <v>Shilan Ahmad</v>
      </c>
      <c r="B296" s="37">
        <f ca="1">DATEDIF(Employees!$F296,TODAY(),"Y")</f>
        <v>9</v>
      </c>
      <c r="C296" s="63">
        <v>4.5</v>
      </c>
      <c r="D296" s="54">
        <v>6</v>
      </c>
      <c r="E296" s="54">
        <v>1799</v>
      </c>
      <c r="F296" s="54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297" spans="1:6" x14ac:dyDescent="0.35">
      <c r="A297" s="40" t="str">
        <f>_xlfn.TEXTJOIN(" ",TRUE,Employees_Data[[#This Row],[First Name]],Employees_Data[[#This Row],[Last Name]])</f>
        <v>Hasan Aljasim</v>
      </c>
      <c r="B297" s="41">
        <f ca="1">DATEDIF(Employees!$F297,TODAY(),"Y")</f>
        <v>9</v>
      </c>
      <c r="C297" s="64">
        <v>3</v>
      </c>
      <c r="D297" s="56">
        <v>1</v>
      </c>
      <c r="E297" s="56">
        <v>2082</v>
      </c>
      <c r="F297" s="56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298" spans="1:6" x14ac:dyDescent="0.35">
      <c r="A298" s="36" t="str">
        <f>_xlfn.TEXTJOIN(" ",TRUE,Employees_Data[[#This Row],[First Name]],Employees_Data[[#This Row],[Last Name]])</f>
        <v>Khalil Salam</v>
      </c>
      <c r="B298" s="37">
        <f ca="1">DATEDIF(Employees!$F298,TODAY(),"Y")</f>
        <v>10</v>
      </c>
      <c r="C298" s="63">
        <v>4.5</v>
      </c>
      <c r="D298" s="54">
        <v>6</v>
      </c>
      <c r="E298" s="54">
        <v>1490</v>
      </c>
      <c r="F298" s="54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299" spans="1:6" x14ac:dyDescent="0.35">
      <c r="A299" s="40" t="str">
        <f>_xlfn.TEXTJOIN(" ",TRUE,Employees_Data[[#This Row],[First Name]],Employees_Data[[#This Row],[Last Name]])</f>
        <v>Majd Abuhamd</v>
      </c>
      <c r="B299" s="41">
        <f ca="1">DATEDIF(Employees!$F299,TODAY(),"Y")</f>
        <v>6</v>
      </c>
      <c r="C299" s="64">
        <v>4.5</v>
      </c>
      <c r="D299" s="56">
        <v>10</v>
      </c>
      <c r="E299" s="56">
        <v>2042</v>
      </c>
      <c r="F299" s="56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300" spans="1:6" x14ac:dyDescent="0.35">
      <c r="A300" s="36" t="str">
        <f>_xlfn.TEXTJOIN(" ",TRUE,Employees_Data[[#This Row],[First Name]],Employees_Data[[#This Row],[Last Name]])</f>
        <v>Sami Qareush</v>
      </c>
      <c r="B300" s="37">
        <f ca="1">DATEDIF(Employees!$F300,TODAY(),"Y")</f>
        <v>10</v>
      </c>
      <c r="C300" s="63">
        <v>5</v>
      </c>
      <c r="D300" s="54">
        <v>5</v>
      </c>
      <c r="E300" s="54">
        <v>985</v>
      </c>
      <c r="F300" s="54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301" spans="1:6" x14ac:dyDescent="0.35">
      <c r="A301" s="40" t="str">
        <f>_xlfn.TEXTJOIN(" ",TRUE,Employees_Data[[#This Row],[First Name]],Employees_Data[[#This Row],[Last Name]])</f>
        <v>Rima Jaridiun</v>
      </c>
      <c r="B301" s="41">
        <f ca="1">DATEDIF(Employees!$F301,TODAY(),"Y")</f>
        <v>9</v>
      </c>
      <c r="C301" s="64">
        <v>3</v>
      </c>
      <c r="D301" s="56">
        <v>7</v>
      </c>
      <c r="E301" s="56">
        <v>1988</v>
      </c>
      <c r="F301" s="56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302" spans="1:6" x14ac:dyDescent="0.35">
      <c r="A302" s="36" t="str">
        <f>_xlfn.TEXTJOIN(" ",TRUE,Employees_Data[[#This Row],[First Name]],Employees_Data[[#This Row],[Last Name]])</f>
        <v>Iin Alhumwi</v>
      </c>
      <c r="B302" s="37">
        <f ca="1">DATEDIF(Employees!$F302,TODAY(),"Y")</f>
        <v>8</v>
      </c>
      <c r="C302" s="63">
        <v>5</v>
      </c>
      <c r="D302" s="54">
        <v>1</v>
      </c>
      <c r="E302" s="54">
        <v>1545</v>
      </c>
      <c r="F302" s="54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303" spans="1:6" x14ac:dyDescent="0.35">
      <c r="A303" s="40" t="str">
        <f>_xlfn.TEXTJOIN(" ",TRUE,Employees_Data[[#This Row],[First Name]],Employees_Data[[#This Row],[Last Name]])</f>
        <v>Akthum Eibdalbaqi</v>
      </c>
      <c r="B303" s="41">
        <f ca="1">DATEDIF(Employees!$F303,TODAY(),"Y")</f>
        <v>6</v>
      </c>
      <c r="C303" s="64">
        <v>5</v>
      </c>
      <c r="D303" s="56">
        <v>50</v>
      </c>
      <c r="E303" s="56">
        <v>2637</v>
      </c>
      <c r="F303" s="56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304" spans="1:6" x14ac:dyDescent="0.35">
      <c r="A304" s="36" t="str">
        <f>_xlfn.TEXTJOIN(" ",TRUE,Employees_Data[[#This Row],[First Name]],Employees_Data[[#This Row],[Last Name]])</f>
        <v>Muhamad Almurashihi</v>
      </c>
      <c r="B304" s="37">
        <f ca="1">DATEDIF(Employees!$F304,TODAY(),"Y")</f>
        <v>6</v>
      </c>
      <c r="C304" s="63">
        <v>4.5</v>
      </c>
      <c r="D304" s="54">
        <v>6</v>
      </c>
      <c r="E304" s="54">
        <v>1385</v>
      </c>
      <c r="F304" s="54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305" spans="1:6" x14ac:dyDescent="0.35">
      <c r="A305" s="40" t="str">
        <f>_xlfn.TEXTJOIN(" ",TRUE,Employees_Data[[#This Row],[First Name]],Employees_Data[[#This Row],[Last Name]])</f>
        <v>Batual Abu Fakhar</v>
      </c>
      <c r="B305" s="41">
        <f ca="1">DATEDIF(Employees!$F305,TODAY(),"Y")</f>
        <v>8</v>
      </c>
      <c r="C305" s="64">
        <v>1</v>
      </c>
      <c r="D305" s="56">
        <v>3</v>
      </c>
      <c r="E305" s="56">
        <v>2468</v>
      </c>
      <c r="F305" s="56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306" spans="1:6" x14ac:dyDescent="0.35">
      <c r="A306" s="36" t="str">
        <f>_xlfn.TEXTJOIN(" ",TRUE,Employees_Data[[#This Row],[First Name]],Employees_Data[[#This Row],[Last Name]])</f>
        <v>Rinah Alkhuriu</v>
      </c>
      <c r="B306" s="37">
        <f ca="1">DATEDIF(Employees!$F306,TODAY(),"Y")</f>
        <v>8</v>
      </c>
      <c r="C306" s="63">
        <v>4.5</v>
      </c>
      <c r="D306" s="54">
        <v>3</v>
      </c>
      <c r="E306" s="54">
        <v>2098</v>
      </c>
      <c r="F306" s="54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307" spans="1:6" x14ac:dyDescent="0.35">
      <c r="A307" s="40" t="str">
        <f>_xlfn.TEXTJOIN(" ",TRUE,Employees_Data[[#This Row],[First Name]],Employees_Data[[#This Row],[Last Name]])</f>
        <v>Muhamad Alsaqaraq</v>
      </c>
      <c r="B307" s="41">
        <f ca="1">DATEDIF(Employees!$F307,TODAY(),"Y")</f>
        <v>7</v>
      </c>
      <c r="C307" s="64">
        <v>3</v>
      </c>
      <c r="D307" s="56">
        <v>6</v>
      </c>
      <c r="E307" s="56">
        <v>2302</v>
      </c>
      <c r="F307" s="56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308" spans="1:6" x14ac:dyDescent="0.35">
      <c r="A308" s="36" t="str">
        <f>_xlfn.TEXTJOIN(" ",TRUE,Employees_Data[[#This Row],[First Name]],Employees_Data[[#This Row],[Last Name]])</f>
        <v>Diea Sharina</v>
      </c>
      <c r="B308" s="37">
        <f ca="1">DATEDIF(Employees!$F308,TODAY(),"Y")</f>
        <v>7</v>
      </c>
      <c r="C308" s="63">
        <v>1</v>
      </c>
      <c r="D308" s="54">
        <v>4</v>
      </c>
      <c r="E308" s="54">
        <v>1623</v>
      </c>
      <c r="F308" s="54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309" spans="1:6" x14ac:dyDescent="0.35">
      <c r="A309" s="40" t="str">
        <f>_xlfn.TEXTJOIN(" ",TRUE,Employees_Data[[#This Row],[First Name]],Employees_Data[[#This Row],[Last Name]])</f>
        <v>Jablah Alsulayman</v>
      </c>
      <c r="B309" s="41">
        <f ca="1">DATEDIF(Employees!$F309,TODAY(),"Y")</f>
        <v>7</v>
      </c>
      <c r="C309" s="64">
        <v>3</v>
      </c>
      <c r="D309" s="56">
        <v>10</v>
      </c>
      <c r="E309" s="56">
        <v>1333</v>
      </c>
      <c r="F309" s="56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310" spans="1:6" x14ac:dyDescent="0.35">
      <c r="A310" s="36" t="str">
        <f>_xlfn.TEXTJOIN(" ",TRUE,Employees_Data[[#This Row],[First Name]],Employees_Data[[#This Row],[Last Name]])</f>
        <v>Muhamad Almaghribiu</v>
      </c>
      <c r="B310" s="37">
        <f ca="1">DATEDIF(Employees!$F310,TODAY(),"Y")</f>
        <v>9</v>
      </c>
      <c r="C310" s="63">
        <v>5</v>
      </c>
      <c r="D310" s="54">
        <v>4</v>
      </c>
      <c r="E310" s="54">
        <v>1431</v>
      </c>
      <c r="F310" s="54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311" spans="1:6" x14ac:dyDescent="0.35">
      <c r="A311" s="40" t="str">
        <f>_xlfn.TEXTJOIN(" ",TRUE,Employees_Data[[#This Row],[First Name]],Employees_Data[[#This Row],[Last Name]])</f>
        <v>Kholoud Khayti</v>
      </c>
      <c r="B311" s="41">
        <f ca="1">DATEDIF(Employees!$F311,TODAY(),"Y")</f>
        <v>6</v>
      </c>
      <c r="C311" s="64">
        <v>3</v>
      </c>
      <c r="D311" s="56">
        <v>98</v>
      </c>
      <c r="E311" s="56">
        <v>2527</v>
      </c>
      <c r="F311" s="56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Eligible</v>
      </c>
    </row>
    <row r="312" spans="1:6" x14ac:dyDescent="0.35">
      <c r="A312" s="36" t="str">
        <f>_xlfn.TEXTJOIN(" ",TRUE,Employees_Data[[#This Row],[First Name]],Employees_Data[[#This Row],[Last Name]])</f>
        <v>Rahaf Jamul</v>
      </c>
      <c r="B312" s="37">
        <f ca="1">DATEDIF(Employees!$F312,TODAY(),"Y")</f>
        <v>9</v>
      </c>
      <c r="C312" s="63">
        <v>3</v>
      </c>
      <c r="D312" s="54">
        <v>7</v>
      </c>
      <c r="E312" s="54">
        <v>2631</v>
      </c>
      <c r="F312" s="54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313" spans="1:6" x14ac:dyDescent="0.35">
      <c r="A313" s="40" t="str">
        <f>_xlfn.TEXTJOIN(" ",TRUE,Employees_Data[[#This Row],[First Name]],Employees_Data[[#This Row],[Last Name]])</f>
        <v>Faras Alrahil</v>
      </c>
      <c r="B313" s="41">
        <f ca="1">DATEDIF(Employees!$F313,TODAY(),"Y")</f>
        <v>8</v>
      </c>
      <c r="C313" s="64">
        <v>4.5</v>
      </c>
      <c r="D313" s="56">
        <v>0</v>
      </c>
      <c r="E313" s="56">
        <v>1600</v>
      </c>
      <c r="F313" s="56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314" spans="1:6" x14ac:dyDescent="0.35">
      <c r="A314" s="36" t="str">
        <f>_xlfn.TEXTJOIN(" ",TRUE,Employees_Data[[#This Row],[First Name]],Employees_Data[[#This Row],[Last Name]])</f>
        <v>Abd Alrazzaq Gharah</v>
      </c>
      <c r="B314" s="37">
        <f ca="1">DATEDIF(Employees!$F314,TODAY(),"Y")</f>
        <v>5</v>
      </c>
      <c r="C314" s="63">
        <v>5</v>
      </c>
      <c r="D314" s="54">
        <v>4</v>
      </c>
      <c r="E314" s="54">
        <v>2752</v>
      </c>
      <c r="F314" s="54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315" spans="1:6" x14ac:dyDescent="0.35">
      <c r="A315" s="40" t="str">
        <f>_xlfn.TEXTJOIN(" ",TRUE,Employees_Data[[#This Row],[First Name]],Employees_Data[[#This Row],[Last Name]])</f>
        <v>Alaa Saed</v>
      </c>
      <c r="B315" s="41">
        <f ca="1">DATEDIF(Employees!$F315,TODAY(),"Y")</f>
        <v>6</v>
      </c>
      <c r="C315" s="64">
        <v>5</v>
      </c>
      <c r="D315" s="56">
        <v>5</v>
      </c>
      <c r="E315" s="56">
        <v>3125</v>
      </c>
      <c r="F315" s="56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316" spans="1:6" x14ac:dyDescent="0.35">
      <c r="A316" s="36" t="str">
        <f>_xlfn.TEXTJOIN(" ",TRUE,Employees_Data[[#This Row],[First Name]],Employees_Data[[#This Row],[Last Name]])</f>
        <v>Lylas Shiah</v>
      </c>
      <c r="B316" s="37">
        <f ca="1">DATEDIF(Employees!$F316,TODAY(),"Y")</f>
        <v>7</v>
      </c>
      <c r="C316" s="63">
        <v>2</v>
      </c>
      <c r="D316" s="54">
        <v>9</v>
      </c>
      <c r="E316" s="54">
        <v>2091</v>
      </c>
      <c r="F316" s="54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317" spans="1:6" x14ac:dyDescent="0.35">
      <c r="A317" s="40" t="str">
        <f>_xlfn.TEXTJOIN(" ",TRUE,Employees_Data[[#This Row],[First Name]],Employees_Data[[#This Row],[Last Name]])</f>
        <v>Kinda Alaqre</v>
      </c>
      <c r="B317" s="41">
        <f ca="1">DATEDIF(Employees!$F317,TODAY(),"Y")</f>
        <v>9</v>
      </c>
      <c r="C317" s="64">
        <v>4.5</v>
      </c>
      <c r="D317" s="56">
        <v>17</v>
      </c>
      <c r="E317" s="56">
        <v>1009</v>
      </c>
      <c r="F317" s="56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318" spans="1:6" x14ac:dyDescent="0.35">
      <c r="A318" s="36" t="str">
        <f>_xlfn.TEXTJOIN(" ",TRUE,Employees_Data[[#This Row],[First Name]],Employees_Data[[#This Row],[Last Name]])</f>
        <v>Muhamad Almisri</v>
      </c>
      <c r="B318" s="37">
        <f ca="1">DATEDIF(Employees!$F318,TODAY(),"Y")</f>
        <v>6</v>
      </c>
      <c r="C318" s="63">
        <v>1</v>
      </c>
      <c r="D318" s="54">
        <v>1</v>
      </c>
      <c r="E318" s="54">
        <v>3443</v>
      </c>
      <c r="F318" s="54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319" spans="1:6" x14ac:dyDescent="0.35">
      <c r="A319" s="40" t="str">
        <f>_xlfn.TEXTJOIN(" ",TRUE,Employees_Data[[#This Row],[First Name]],Employees_Data[[#This Row],[Last Name]])</f>
        <v>Dinana Zaydan</v>
      </c>
      <c r="B319" s="41">
        <f ca="1">DATEDIF(Employees!$F319,TODAY(),"Y")</f>
        <v>8</v>
      </c>
      <c r="C319" s="64">
        <v>4.5</v>
      </c>
      <c r="D319" s="56">
        <v>5</v>
      </c>
      <c r="E319" s="56">
        <v>1582</v>
      </c>
      <c r="F319" s="56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320" spans="1:6" x14ac:dyDescent="0.35">
      <c r="A320" s="36" t="str">
        <f>_xlfn.TEXTJOIN(" ",TRUE,Employees_Data[[#This Row],[First Name]],Employees_Data[[#This Row],[Last Name]])</f>
        <v>Amyrah Mudinih</v>
      </c>
      <c r="B320" s="37">
        <f ca="1">DATEDIF(Employees!$F320,TODAY(),"Y")</f>
        <v>7</v>
      </c>
      <c r="C320" s="63">
        <v>5</v>
      </c>
      <c r="D320" s="54">
        <v>2</v>
      </c>
      <c r="E320" s="54">
        <v>2103</v>
      </c>
      <c r="F320" s="54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321" spans="1:6" x14ac:dyDescent="0.35">
      <c r="A321" s="40" t="str">
        <f>_xlfn.TEXTJOIN(" ",TRUE,Employees_Data[[#This Row],[First Name]],Employees_Data[[#This Row],[Last Name]])</f>
        <v>Safa AlAhmar</v>
      </c>
      <c r="B321" s="41">
        <f ca="1">DATEDIF(Employees!$F321,TODAY(),"Y")</f>
        <v>8</v>
      </c>
      <c r="C321" s="64">
        <v>1</v>
      </c>
      <c r="D321" s="56">
        <v>45</v>
      </c>
      <c r="E321" s="56">
        <v>3108</v>
      </c>
      <c r="F321" s="56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322" spans="1:6" x14ac:dyDescent="0.35">
      <c r="A322" s="36" t="str">
        <f>_xlfn.TEXTJOIN(" ",TRUE,Employees_Data[[#This Row],[First Name]],Employees_Data[[#This Row],[Last Name]])</f>
        <v>Ahmad Eurman</v>
      </c>
      <c r="B322" s="37">
        <f ca="1">DATEDIF(Employees!$F322,TODAY(),"Y")</f>
        <v>10</v>
      </c>
      <c r="C322" s="63">
        <v>3</v>
      </c>
      <c r="D322" s="54">
        <v>5</v>
      </c>
      <c r="E322" s="54">
        <v>1810</v>
      </c>
      <c r="F322" s="54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323" spans="1:6" x14ac:dyDescent="0.35">
      <c r="A323" s="40" t="str">
        <f>_xlfn.TEXTJOIN(" ",TRUE,Employees_Data[[#This Row],[First Name]],Employees_Data[[#This Row],[Last Name]])</f>
        <v>Abd Allah Almawsiliu</v>
      </c>
      <c r="B323" s="41">
        <f ca="1">DATEDIF(Employees!$F323,TODAY(),"Y")</f>
        <v>8</v>
      </c>
      <c r="C323" s="64">
        <v>3</v>
      </c>
      <c r="D323" s="56">
        <v>10</v>
      </c>
      <c r="E323" s="56">
        <v>2312</v>
      </c>
      <c r="F323" s="56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324" spans="1:6" x14ac:dyDescent="0.35">
      <c r="A324" s="36" t="str">
        <f>_xlfn.TEXTJOIN(" ",TRUE,Employees_Data[[#This Row],[First Name]],Employees_Data[[#This Row],[Last Name]])</f>
        <v>Majd Eisaa</v>
      </c>
      <c r="B324" s="37">
        <f ca="1">DATEDIF(Employees!$F324,TODAY(),"Y")</f>
        <v>6</v>
      </c>
      <c r="C324" s="63">
        <v>1</v>
      </c>
      <c r="D324" s="54">
        <v>15</v>
      </c>
      <c r="E324" s="54">
        <v>2783</v>
      </c>
      <c r="F324" s="54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325" spans="1:6" x14ac:dyDescent="0.35">
      <c r="A325" s="40" t="str">
        <f>_xlfn.TEXTJOIN(" ",TRUE,Employees_Data[[#This Row],[First Name]],Employees_Data[[#This Row],[Last Name]])</f>
        <v>Muhamad Salhany</v>
      </c>
      <c r="B325" s="41">
        <f ca="1">DATEDIF(Employees!$F325,TODAY(),"Y")</f>
        <v>5</v>
      </c>
      <c r="C325" s="64">
        <v>3</v>
      </c>
      <c r="D325" s="56">
        <v>10</v>
      </c>
      <c r="E325" s="56">
        <v>3428</v>
      </c>
      <c r="F325" s="56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326" spans="1:6" x14ac:dyDescent="0.35">
      <c r="A326" s="36" t="str">
        <f>_xlfn.TEXTJOIN(" ",TRUE,Employees_Data[[#This Row],[First Name]],Employees_Data[[#This Row],[Last Name]])</f>
        <v>Ashraf Aleid</v>
      </c>
      <c r="B326" s="37">
        <f ca="1">DATEDIF(Employees!$F326,TODAY(),"Y")</f>
        <v>8</v>
      </c>
      <c r="C326" s="63">
        <v>2</v>
      </c>
      <c r="D326" s="54">
        <v>9</v>
      </c>
      <c r="E326" s="54">
        <v>3450</v>
      </c>
      <c r="F326" s="54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327" spans="1:6" x14ac:dyDescent="0.35">
      <c r="A327" s="40" t="str">
        <f>_xlfn.TEXTJOIN(" ",TRUE,Employees_Data[[#This Row],[First Name]],Employees_Data[[#This Row],[Last Name]])</f>
        <v>Muhamad Shadi Alghazy</v>
      </c>
      <c r="B327" s="41">
        <f ca="1">DATEDIF(Employees!$F327,TODAY(),"Y")</f>
        <v>8</v>
      </c>
      <c r="C327" s="64">
        <v>2</v>
      </c>
      <c r="D327" s="56">
        <v>4</v>
      </c>
      <c r="E327" s="56">
        <v>1226</v>
      </c>
      <c r="F327" s="56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328" spans="1:6" x14ac:dyDescent="0.35">
      <c r="A328" s="36" t="str">
        <f>_xlfn.TEXTJOIN(" ",TRUE,Employees_Data[[#This Row],[First Name]],Employees_Data[[#This Row],[Last Name]])</f>
        <v>Muhamad Husayn</v>
      </c>
      <c r="B328" s="37">
        <f ca="1">DATEDIF(Employees!$F328,TODAY(),"Y")</f>
        <v>7</v>
      </c>
      <c r="C328" s="63">
        <v>3</v>
      </c>
      <c r="D328" s="54">
        <v>5</v>
      </c>
      <c r="E328" s="54">
        <v>3219</v>
      </c>
      <c r="F328" s="54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329" spans="1:6" x14ac:dyDescent="0.35">
      <c r="A329" s="40" t="str">
        <f>_xlfn.TEXTJOIN(" ",TRUE,Employees_Data[[#This Row],[First Name]],Employees_Data[[#This Row],[Last Name]])</f>
        <v>Mazin Bytar</v>
      </c>
      <c r="B329" s="41">
        <f ca="1">DATEDIF(Employees!$F329,TODAY(),"Y")</f>
        <v>7</v>
      </c>
      <c r="C329" s="64">
        <v>5</v>
      </c>
      <c r="D329" s="56">
        <v>14</v>
      </c>
      <c r="E329" s="56">
        <v>2060</v>
      </c>
      <c r="F329" s="56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330" spans="1:6" x14ac:dyDescent="0.35">
      <c r="A330" s="36" t="str">
        <f>_xlfn.TEXTJOIN(" ",TRUE,Employees_Data[[#This Row],[First Name]],Employees_Data[[#This Row],[Last Name]])</f>
        <v>Iin Farahat</v>
      </c>
      <c r="B330" s="37">
        <f ca="1">DATEDIF(Employees!$F330,TODAY(),"Y")</f>
        <v>7</v>
      </c>
      <c r="C330" s="63">
        <v>5</v>
      </c>
      <c r="D330" s="54">
        <v>3</v>
      </c>
      <c r="E330" s="54">
        <v>2479</v>
      </c>
      <c r="F330" s="54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331" spans="1:6" x14ac:dyDescent="0.35">
      <c r="A331" s="40" t="str">
        <f>_xlfn.TEXTJOIN(" ",TRUE,Employees_Data[[#This Row],[First Name]],Employees_Data[[#This Row],[Last Name]])</f>
        <v>Lama Albazir</v>
      </c>
      <c r="B331" s="41">
        <f ca="1">DATEDIF(Employees!$F331,TODAY(),"Y")</f>
        <v>8</v>
      </c>
      <c r="C331" s="64">
        <v>3</v>
      </c>
      <c r="D331" s="56">
        <v>9</v>
      </c>
      <c r="E331" s="56">
        <v>2106</v>
      </c>
      <c r="F331" s="56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332" spans="1:6" x14ac:dyDescent="0.35">
      <c r="A332" s="36" t="str">
        <f>_xlfn.TEXTJOIN(" ",TRUE,Employees_Data[[#This Row],[First Name]],Employees_Data[[#This Row],[Last Name]])</f>
        <v>Emar Alnisrin</v>
      </c>
      <c r="B332" s="37">
        <f ca="1">DATEDIF(Employees!$F332,TODAY(),"Y")</f>
        <v>7</v>
      </c>
      <c r="C332" s="63">
        <v>2</v>
      </c>
      <c r="D332" s="54">
        <v>10</v>
      </c>
      <c r="E332" s="54">
        <v>1480</v>
      </c>
      <c r="F332" s="54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333" spans="1:6" x14ac:dyDescent="0.35">
      <c r="A333" s="40" t="str">
        <f>_xlfn.TEXTJOIN(" ",TRUE,Employees_Data[[#This Row],[First Name]],Employees_Data[[#This Row],[Last Name]])</f>
        <v>Afra Sharabi</v>
      </c>
      <c r="B333" s="41">
        <f ca="1">DATEDIF(Employees!$F333,TODAY(),"Y")</f>
        <v>8</v>
      </c>
      <c r="C333" s="64">
        <v>1</v>
      </c>
      <c r="D333" s="56">
        <v>9</v>
      </c>
      <c r="E333" s="56">
        <v>994</v>
      </c>
      <c r="F333" s="56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334" spans="1:6" x14ac:dyDescent="0.35">
      <c r="A334" s="36" t="str">
        <f>_xlfn.TEXTJOIN(" ",TRUE,Employees_Data[[#This Row],[First Name]],Employees_Data[[#This Row],[Last Name]])</f>
        <v>Ahmad Hamuwd</v>
      </c>
      <c r="B334" s="37">
        <f ca="1">DATEDIF(Employees!$F334,TODAY(),"Y")</f>
        <v>6</v>
      </c>
      <c r="C334" s="63">
        <v>4.5</v>
      </c>
      <c r="D334" s="54">
        <v>0</v>
      </c>
      <c r="E334" s="54">
        <v>2119</v>
      </c>
      <c r="F334" s="54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335" spans="1:6" x14ac:dyDescent="0.35">
      <c r="A335" s="40" t="str">
        <f>_xlfn.TEXTJOIN(" ",TRUE,Employees_Data[[#This Row],[First Name]],Employees_Data[[#This Row],[Last Name]])</f>
        <v>Ramiz Aleuryan</v>
      </c>
      <c r="B335" s="41">
        <f ca="1">DATEDIF(Employees!$F335,TODAY(),"Y")</f>
        <v>8</v>
      </c>
      <c r="C335" s="64">
        <v>4.5</v>
      </c>
      <c r="D335" s="56">
        <v>7</v>
      </c>
      <c r="E335" s="56">
        <v>1577</v>
      </c>
      <c r="F335" s="56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336" spans="1:6" x14ac:dyDescent="0.35">
      <c r="A336" s="36" t="str">
        <f>_xlfn.TEXTJOIN(" ",TRUE,Employees_Data[[#This Row],[First Name]],Employees_Data[[#This Row],[Last Name]])</f>
        <v>Iad Eaku</v>
      </c>
      <c r="B336" s="37">
        <f ca="1">DATEDIF(Employees!$F336,TODAY(),"Y")</f>
        <v>8</v>
      </c>
      <c r="C336" s="63">
        <v>5</v>
      </c>
      <c r="D336" s="54">
        <v>10</v>
      </c>
      <c r="E336" s="54">
        <v>3160</v>
      </c>
      <c r="F336" s="54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337" spans="1:6" x14ac:dyDescent="0.35">
      <c r="A337" s="40" t="str">
        <f>_xlfn.TEXTJOIN(" ",TRUE,Employees_Data[[#This Row],[First Name]],Employees_Data[[#This Row],[Last Name]])</f>
        <v>Husayn Euthman</v>
      </c>
      <c r="B337" s="41">
        <f ca="1">DATEDIF(Employees!$F337,TODAY(),"Y")</f>
        <v>6</v>
      </c>
      <c r="C337" s="64">
        <v>1</v>
      </c>
      <c r="D337" s="56">
        <v>6</v>
      </c>
      <c r="E337" s="56">
        <v>2692</v>
      </c>
      <c r="F337" s="56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338" spans="1:6" x14ac:dyDescent="0.35">
      <c r="A338" s="36" t="str">
        <f>_xlfn.TEXTJOIN(" ",TRUE,Employees_Data[[#This Row],[First Name]],Employees_Data[[#This Row],[Last Name]])</f>
        <v>Imran Hazruma</v>
      </c>
      <c r="B338" s="37">
        <f ca="1">DATEDIF(Employees!$F338,TODAY(),"Y")</f>
        <v>7</v>
      </c>
      <c r="C338" s="63">
        <v>4.5</v>
      </c>
      <c r="D338" s="54">
        <v>1</v>
      </c>
      <c r="E338" s="54">
        <v>1448</v>
      </c>
      <c r="F338" s="54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339" spans="1:6" x14ac:dyDescent="0.35">
      <c r="A339" s="40" t="str">
        <f>_xlfn.TEXTJOIN(" ",TRUE,Employees_Data[[#This Row],[First Name]],Employees_Data[[#This Row],[Last Name]])</f>
        <v>Rawan Durkzili</v>
      </c>
      <c r="B339" s="41">
        <f ca="1">DATEDIF(Employees!$F339,TODAY(),"Y")</f>
        <v>7</v>
      </c>
      <c r="C339" s="64">
        <v>3</v>
      </c>
      <c r="D339" s="56">
        <v>7</v>
      </c>
      <c r="E339" s="56">
        <v>1568</v>
      </c>
      <c r="F339" s="56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340" spans="1:6" x14ac:dyDescent="0.35">
      <c r="A340" s="36" t="str">
        <f>_xlfn.TEXTJOIN(" ",TRUE,Employees_Data[[#This Row],[First Name]],Employees_Data[[#This Row],[Last Name]])</f>
        <v>Muayid Shaqir</v>
      </c>
      <c r="B340" s="37">
        <f ca="1">DATEDIF(Employees!$F340,TODAY(),"Y")</f>
        <v>9</v>
      </c>
      <c r="C340" s="63">
        <v>4.5</v>
      </c>
      <c r="D340" s="54">
        <v>9</v>
      </c>
      <c r="E340" s="54">
        <v>1823</v>
      </c>
      <c r="F340" s="54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341" spans="1:6" x14ac:dyDescent="0.35">
      <c r="A341" s="40" t="str">
        <f>_xlfn.TEXTJOIN(" ",TRUE,Employees_Data[[#This Row],[First Name]],Employees_Data[[#This Row],[Last Name]])</f>
        <v>Muanis Alsabagh</v>
      </c>
      <c r="B341" s="41">
        <f ca="1">DATEDIF(Employees!$F341,TODAY(),"Y")</f>
        <v>7</v>
      </c>
      <c r="C341" s="64">
        <v>4.5</v>
      </c>
      <c r="D341" s="56">
        <v>15</v>
      </c>
      <c r="E341" s="56">
        <v>1712</v>
      </c>
      <c r="F341" s="56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342" spans="1:6" x14ac:dyDescent="0.35">
      <c r="A342" s="36" t="str">
        <f>_xlfn.TEXTJOIN(" ",TRUE,Employees_Data[[#This Row],[First Name]],Employees_Data[[#This Row],[Last Name]])</f>
        <v>Dijwar Husu</v>
      </c>
      <c r="B342" s="37">
        <f ca="1">DATEDIF(Employees!$F342,TODAY(),"Y")</f>
        <v>5</v>
      </c>
      <c r="C342" s="63">
        <v>5</v>
      </c>
      <c r="D342" s="54">
        <v>8</v>
      </c>
      <c r="E342" s="54">
        <v>744</v>
      </c>
      <c r="F342" s="54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343" spans="1:6" x14ac:dyDescent="0.35">
      <c r="A343" s="40" t="str">
        <f>_xlfn.TEXTJOIN(" ",TRUE,Employees_Data[[#This Row],[First Name]],Employees_Data[[#This Row],[Last Name]])</f>
        <v>Asama Eilwan</v>
      </c>
      <c r="B343" s="41">
        <f ca="1">DATEDIF(Employees!$F343,TODAY(),"Y")</f>
        <v>9</v>
      </c>
      <c r="C343" s="64">
        <v>5</v>
      </c>
      <c r="D343" s="56">
        <v>2</v>
      </c>
      <c r="E343" s="56">
        <v>2972</v>
      </c>
      <c r="F343" s="56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344" spans="1:6" x14ac:dyDescent="0.35">
      <c r="A344" s="36" t="str">
        <f>_xlfn.TEXTJOIN(" ",TRUE,Employees_Data[[#This Row],[First Name]],Employees_Data[[#This Row],[Last Name]])</f>
        <v>Esamat Alhidad</v>
      </c>
      <c r="B344" s="37">
        <f ca="1">DATEDIF(Employees!$F344,TODAY(),"Y")</f>
        <v>6</v>
      </c>
      <c r="C344" s="63">
        <v>3</v>
      </c>
      <c r="D344" s="54">
        <v>71</v>
      </c>
      <c r="E344" s="54">
        <v>2931</v>
      </c>
      <c r="F344" s="54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Eligible</v>
      </c>
    </row>
    <row r="345" spans="1:6" x14ac:dyDescent="0.35">
      <c r="A345" s="40" t="str">
        <f>_xlfn.TEXTJOIN(" ",TRUE,Employees_Data[[#This Row],[First Name]],Employees_Data[[#This Row],[Last Name]])</f>
        <v>Tariq Zaeur</v>
      </c>
      <c r="B345" s="41">
        <f ca="1">DATEDIF(Employees!$F345,TODAY(),"Y")</f>
        <v>8</v>
      </c>
      <c r="C345" s="64">
        <v>3</v>
      </c>
      <c r="D345" s="56">
        <v>2</v>
      </c>
      <c r="E345" s="56">
        <v>2544</v>
      </c>
      <c r="F345" s="56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346" spans="1:6" x14ac:dyDescent="0.35">
      <c r="A346" s="36" t="str">
        <f>_xlfn.TEXTJOIN(" ",TRUE,Employees_Data[[#This Row],[First Name]],Employees_Data[[#This Row],[Last Name]])</f>
        <v>Rasul Aleumurii</v>
      </c>
      <c r="B346" s="37">
        <f ca="1">DATEDIF(Employees!$F346,TODAY(),"Y")</f>
        <v>10</v>
      </c>
      <c r="C346" s="63">
        <v>5</v>
      </c>
      <c r="D346" s="54">
        <v>0</v>
      </c>
      <c r="E346" s="54">
        <v>1595</v>
      </c>
      <c r="F346" s="54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347" spans="1:6" x14ac:dyDescent="0.35">
      <c r="A347" s="40" t="str">
        <f>_xlfn.TEXTJOIN(" ",TRUE,Employees_Data[[#This Row],[First Name]],Employees_Data[[#This Row],[Last Name]])</f>
        <v>Rawan Albaytar</v>
      </c>
      <c r="B347" s="41">
        <f ca="1">DATEDIF(Employees!$F347,TODAY(),"Y")</f>
        <v>7</v>
      </c>
      <c r="C347" s="64">
        <v>3</v>
      </c>
      <c r="D347" s="56">
        <v>7</v>
      </c>
      <c r="E347" s="56">
        <v>1326</v>
      </c>
      <c r="F347" s="56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348" spans="1:6" x14ac:dyDescent="0.35">
      <c r="A348" s="36" t="str">
        <f>_xlfn.TEXTJOIN(" ",TRUE,Employees_Data[[#This Row],[First Name]],Employees_Data[[#This Row],[Last Name]])</f>
        <v>Omar Altuean</v>
      </c>
      <c r="B348" s="37">
        <f ca="1">DATEDIF(Employees!$F348,TODAY(),"Y")</f>
        <v>7</v>
      </c>
      <c r="C348" s="63">
        <v>3</v>
      </c>
      <c r="D348" s="54">
        <v>0</v>
      </c>
      <c r="E348" s="54">
        <v>3117</v>
      </c>
      <c r="F348" s="54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349" spans="1:6" x14ac:dyDescent="0.35">
      <c r="A349" s="40" t="str">
        <f>_xlfn.TEXTJOIN(" ",TRUE,Employees_Data[[#This Row],[First Name]],Employees_Data[[#This Row],[Last Name]])</f>
        <v>Dalia Hamdan</v>
      </c>
      <c r="B349" s="41">
        <f ca="1">DATEDIF(Employees!$F349,TODAY(),"Y")</f>
        <v>7</v>
      </c>
      <c r="C349" s="64">
        <v>5</v>
      </c>
      <c r="D349" s="56">
        <v>10</v>
      </c>
      <c r="E349" s="56">
        <v>3446</v>
      </c>
      <c r="F349" s="56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350" spans="1:6" x14ac:dyDescent="0.35">
      <c r="A350" s="36" t="str">
        <f>_xlfn.TEXTJOIN(" ",TRUE,Employees_Data[[#This Row],[First Name]],Employees_Data[[#This Row],[Last Name]])</f>
        <v>Omar Alhindi</v>
      </c>
      <c r="B350" s="37">
        <f ca="1">DATEDIF(Employees!$F350,TODAY(),"Y")</f>
        <v>7</v>
      </c>
      <c r="C350" s="63">
        <v>4.5</v>
      </c>
      <c r="D350" s="54">
        <v>6</v>
      </c>
      <c r="E350" s="54">
        <v>2023</v>
      </c>
      <c r="F350" s="54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351" spans="1:6" x14ac:dyDescent="0.35">
      <c r="A351" s="40" t="str">
        <f>_xlfn.TEXTJOIN(" ",TRUE,Employees_Data[[#This Row],[First Name]],Employees_Data[[#This Row],[Last Name]])</f>
        <v>Ali Zyny</v>
      </c>
      <c r="B351" s="41">
        <f ca="1">DATEDIF(Employees!$F351,TODAY(),"Y")</f>
        <v>6</v>
      </c>
      <c r="C351" s="64">
        <v>3</v>
      </c>
      <c r="D351" s="56">
        <v>4</v>
      </c>
      <c r="E351" s="56">
        <v>979</v>
      </c>
      <c r="F351" s="56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352" spans="1:6" x14ac:dyDescent="0.35">
      <c r="A352" s="36" t="str">
        <f>_xlfn.TEXTJOIN(" ",TRUE,Employees_Data[[#This Row],[First Name]],Employees_Data[[#This Row],[Last Name]])</f>
        <v>Almuetaz Biallah</v>
      </c>
      <c r="B352" s="37">
        <f ca="1">DATEDIF(Employees!$F352,TODAY(),"Y")</f>
        <v>6</v>
      </c>
      <c r="C352" s="63">
        <v>4.5</v>
      </c>
      <c r="D352" s="54">
        <v>8</v>
      </c>
      <c r="E352" s="54">
        <v>1676</v>
      </c>
      <c r="F352" s="54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353" spans="1:6" x14ac:dyDescent="0.35">
      <c r="A353" s="40" t="str">
        <f>_xlfn.TEXTJOIN(" ",TRUE,Employees_Data[[#This Row],[First Name]],Employees_Data[[#This Row],[Last Name]])</f>
        <v>Rabana Alsaman</v>
      </c>
      <c r="B353" s="41">
        <f ca="1">DATEDIF(Employees!$F353,TODAY(),"Y")</f>
        <v>9</v>
      </c>
      <c r="C353" s="64">
        <v>3</v>
      </c>
      <c r="D353" s="56">
        <v>2</v>
      </c>
      <c r="E353" s="56">
        <v>3079</v>
      </c>
      <c r="F353" s="56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354" spans="1:6" x14ac:dyDescent="0.35">
      <c r="A354" s="36" t="str">
        <f>_xlfn.TEXTJOIN(" ",TRUE,Employees_Data[[#This Row],[First Name]],Employees_Data[[#This Row],[Last Name]])</f>
        <v>Ghada Khalid</v>
      </c>
      <c r="B354" s="37">
        <f ca="1">DATEDIF(Employees!$F354,TODAY(),"Y")</f>
        <v>7</v>
      </c>
      <c r="C354" s="63">
        <v>3</v>
      </c>
      <c r="D354" s="54">
        <v>0</v>
      </c>
      <c r="E354" s="54">
        <v>2164</v>
      </c>
      <c r="F354" s="54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355" spans="1:6" x14ac:dyDescent="0.35">
      <c r="A355" s="40" t="str">
        <f>_xlfn.TEXTJOIN(" ",TRUE,Employees_Data[[#This Row],[First Name]],Employees_Data[[#This Row],[Last Name]])</f>
        <v>Esamat Alriys</v>
      </c>
      <c r="B355" s="41">
        <f ca="1">DATEDIF(Employees!$F355,TODAY(),"Y")</f>
        <v>5</v>
      </c>
      <c r="C355" s="64">
        <v>3</v>
      </c>
      <c r="D355" s="56">
        <v>31</v>
      </c>
      <c r="E355" s="56">
        <v>2312</v>
      </c>
      <c r="F355" s="56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356" spans="1:6" x14ac:dyDescent="0.35">
      <c r="A356" s="36" t="str">
        <f>_xlfn.TEXTJOIN(" ",TRUE,Employees_Data[[#This Row],[First Name]],Employees_Data[[#This Row],[Last Name]])</f>
        <v>Amir Alkhatib</v>
      </c>
      <c r="B356" s="37">
        <f ca="1">DATEDIF(Employees!$F356,TODAY(),"Y")</f>
        <v>9</v>
      </c>
      <c r="C356" s="63">
        <v>2</v>
      </c>
      <c r="D356" s="54">
        <v>13</v>
      </c>
      <c r="E356" s="54">
        <v>834</v>
      </c>
      <c r="F356" s="54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357" spans="1:6" x14ac:dyDescent="0.35">
      <c r="A357" s="40" t="str">
        <f>_xlfn.TEXTJOIN(" ",TRUE,Employees_Data[[#This Row],[First Name]],Employees_Data[[#This Row],[Last Name]])</f>
        <v>Samirah Jumea</v>
      </c>
      <c r="B357" s="41">
        <f ca="1">DATEDIF(Employees!$F357,TODAY(),"Y")</f>
        <v>7</v>
      </c>
      <c r="C357" s="64">
        <v>3</v>
      </c>
      <c r="D357" s="56">
        <v>10</v>
      </c>
      <c r="E357" s="56">
        <v>723</v>
      </c>
      <c r="F357" s="56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358" spans="1:6" x14ac:dyDescent="0.35">
      <c r="A358" s="36" t="str">
        <f>_xlfn.TEXTJOIN(" ",TRUE,Employees_Data[[#This Row],[First Name]],Employees_Data[[#This Row],[Last Name]])</f>
        <v>Samir Alhaj Ali</v>
      </c>
      <c r="B358" s="37">
        <f ca="1">DATEDIF(Employees!$F358,TODAY(),"Y")</f>
        <v>10</v>
      </c>
      <c r="C358" s="63">
        <v>3</v>
      </c>
      <c r="D358" s="54">
        <v>2</v>
      </c>
      <c r="E358" s="54">
        <v>2807</v>
      </c>
      <c r="F358" s="54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359" spans="1:6" x14ac:dyDescent="0.35">
      <c r="A359" s="40" t="str">
        <f>_xlfn.TEXTJOIN(" ",TRUE,Employees_Data[[#This Row],[First Name]],Employees_Data[[#This Row],[Last Name]])</f>
        <v>Farial Qulumih</v>
      </c>
      <c r="B359" s="41">
        <f ca="1">DATEDIF(Employees!$F359,TODAY(),"Y")</f>
        <v>9</v>
      </c>
      <c r="C359" s="64">
        <v>5</v>
      </c>
      <c r="D359" s="56">
        <v>3</v>
      </c>
      <c r="E359" s="56">
        <v>1002</v>
      </c>
      <c r="F359" s="56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360" spans="1:6" x14ac:dyDescent="0.35">
      <c r="A360" s="36" t="str">
        <f>_xlfn.TEXTJOIN(" ",TRUE,Employees_Data[[#This Row],[First Name]],Employees_Data[[#This Row],[Last Name]])</f>
        <v>Salih Dawara</v>
      </c>
      <c r="B360" s="37">
        <f ca="1">DATEDIF(Employees!$F360,TODAY(),"Y")</f>
        <v>6</v>
      </c>
      <c r="C360" s="63">
        <v>5</v>
      </c>
      <c r="D360" s="54">
        <v>9</v>
      </c>
      <c r="E360" s="54">
        <v>2265</v>
      </c>
      <c r="F360" s="54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361" spans="1:6" x14ac:dyDescent="0.35">
      <c r="A361" s="40" t="str">
        <f>_xlfn.TEXTJOIN(" ",TRUE,Employees_Data[[#This Row],[First Name]],Employees_Data[[#This Row],[Last Name]])</f>
        <v>Abdalhadi Salim</v>
      </c>
      <c r="B361" s="41">
        <f ca="1">DATEDIF(Employees!$F361,TODAY(),"Y")</f>
        <v>7</v>
      </c>
      <c r="C361" s="64">
        <v>5</v>
      </c>
      <c r="D361" s="56">
        <v>3</v>
      </c>
      <c r="E361" s="56">
        <v>3283</v>
      </c>
      <c r="F361" s="56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362" spans="1:6" x14ac:dyDescent="0.35">
      <c r="A362" s="36" t="str">
        <f>_xlfn.TEXTJOIN(" ",TRUE,Employees_Data[[#This Row],[First Name]],Employees_Data[[#This Row],[Last Name]])</f>
        <v>Ruaa Qahraman</v>
      </c>
      <c r="B362" s="37">
        <f ca="1">DATEDIF(Employees!$F362,TODAY(),"Y")</f>
        <v>8</v>
      </c>
      <c r="C362" s="63">
        <v>3</v>
      </c>
      <c r="D362" s="54">
        <v>4</v>
      </c>
      <c r="E362" s="54">
        <v>2675</v>
      </c>
      <c r="F362" s="54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363" spans="1:6" x14ac:dyDescent="0.35">
      <c r="A363" s="40" t="str">
        <f>_xlfn.TEXTJOIN(" ",TRUE,Employees_Data[[#This Row],[First Name]],Employees_Data[[#This Row],[Last Name]])</f>
        <v>Muhamad Mshati</v>
      </c>
      <c r="B363" s="41">
        <f ca="1">DATEDIF(Employees!$F363,TODAY(),"Y")</f>
        <v>7</v>
      </c>
      <c r="C363" s="64">
        <v>4.5</v>
      </c>
      <c r="D363" s="56">
        <v>9</v>
      </c>
      <c r="E363" s="56">
        <v>3056</v>
      </c>
      <c r="F363" s="56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364" spans="1:6" x14ac:dyDescent="0.35">
      <c r="A364" s="36" t="str">
        <f>_xlfn.TEXTJOIN(" ",TRUE,Employees_Data[[#This Row],[First Name]],Employees_Data[[#This Row],[Last Name]])</f>
        <v>Shadi Altibae</v>
      </c>
      <c r="B364" s="37">
        <f ca="1">DATEDIF(Employees!$F364,TODAY(),"Y")</f>
        <v>7</v>
      </c>
      <c r="C364" s="63">
        <v>3</v>
      </c>
      <c r="D364" s="54">
        <v>14</v>
      </c>
      <c r="E364" s="54">
        <v>1579</v>
      </c>
      <c r="F364" s="54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365" spans="1:6" x14ac:dyDescent="0.35">
      <c r="A365" s="40" t="str">
        <f>_xlfn.TEXTJOIN(" ",TRUE,Employees_Data[[#This Row],[First Name]],Employees_Data[[#This Row],[Last Name]])</f>
        <v>Ahmad Iidlibi</v>
      </c>
      <c r="B365" s="41">
        <f ca="1">DATEDIF(Employees!$F365,TODAY(),"Y")</f>
        <v>7</v>
      </c>
      <c r="C365" s="64">
        <v>3</v>
      </c>
      <c r="D365" s="56">
        <v>0</v>
      </c>
      <c r="E365" s="56">
        <v>1255</v>
      </c>
      <c r="F365" s="56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366" spans="1:6" x14ac:dyDescent="0.35">
      <c r="A366" s="36" t="str">
        <f>_xlfn.TEXTJOIN(" ",TRUE,Employees_Data[[#This Row],[First Name]],Employees_Data[[#This Row],[Last Name]])</f>
        <v>Fadi Ghazzawi</v>
      </c>
      <c r="B366" s="37">
        <f ca="1">DATEDIF(Employees!$F366,TODAY(),"Y")</f>
        <v>7</v>
      </c>
      <c r="C366" s="63">
        <v>3</v>
      </c>
      <c r="D366" s="54">
        <v>1</v>
      </c>
      <c r="E366" s="54">
        <v>3418</v>
      </c>
      <c r="F366" s="54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367" spans="1:6" x14ac:dyDescent="0.35">
      <c r="A367" s="40" t="str">
        <f>_xlfn.TEXTJOIN(" ",TRUE,Employees_Data[[#This Row],[First Name]],Employees_Data[[#This Row],[Last Name]])</f>
        <v>Basil Eabd Aleal</v>
      </c>
      <c r="B367" s="41">
        <f ca="1">DATEDIF(Employees!$F367,TODAY(),"Y")</f>
        <v>5</v>
      </c>
      <c r="C367" s="64">
        <v>3</v>
      </c>
      <c r="D367" s="56">
        <v>8</v>
      </c>
      <c r="E367" s="56">
        <v>3368</v>
      </c>
      <c r="F367" s="56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368" spans="1:6" x14ac:dyDescent="0.35">
      <c r="A368" s="36" t="str">
        <f>_xlfn.TEXTJOIN(" ",TRUE,Employees_Data[[#This Row],[First Name]],Employees_Data[[#This Row],[Last Name]])</f>
        <v>Sali Musuh</v>
      </c>
      <c r="B368" s="37">
        <f ca="1">DATEDIF(Employees!$F368,TODAY(),"Y")</f>
        <v>6</v>
      </c>
      <c r="C368" s="63">
        <v>3</v>
      </c>
      <c r="D368" s="54">
        <v>12</v>
      </c>
      <c r="E368" s="54">
        <v>3275</v>
      </c>
      <c r="F368" s="54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369" spans="1:6" x14ac:dyDescent="0.35">
      <c r="A369" s="40" t="str">
        <f>_xlfn.TEXTJOIN(" ",TRUE,Employees_Data[[#This Row],[First Name]],Employees_Data[[#This Row],[Last Name]])</f>
        <v>Alaa Iismaeil</v>
      </c>
      <c r="B369" s="41">
        <f ca="1">DATEDIF(Employees!$F369,TODAY(),"Y")</f>
        <v>5</v>
      </c>
      <c r="C369" s="64">
        <v>2</v>
      </c>
      <c r="D369" s="56">
        <v>8</v>
      </c>
      <c r="E369" s="56">
        <v>3043</v>
      </c>
      <c r="F369" s="56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370" spans="1:6" x14ac:dyDescent="0.35">
      <c r="A370" s="36" t="str">
        <f>_xlfn.TEXTJOIN(" ",TRUE,Employees_Data[[#This Row],[First Name]],Employees_Data[[#This Row],[Last Name]])</f>
        <v>Maria Alhizae</v>
      </c>
      <c r="B370" s="37">
        <f ca="1">DATEDIF(Employees!$F370,TODAY(),"Y")</f>
        <v>6</v>
      </c>
      <c r="C370" s="63">
        <v>4.5</v>
      </c>
      <c r="D370" s="54">
        <v>7</v>
      </c>
      <c r="E370" s="54">
        <v>1122</v>
      </c>
      <c r="F370" s="54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371" spans="1:6" x14ac:dyDescent="0.35">
      <c r="A371" s="40" t="str">
        <f>_xlfn.TEXTJOIN(" ",TRUE,Employees_Data[[#This Row],[First Name]],Employees_Data[[#This Row],[Last Name]])</f>
        <v>Ghazal Alghan</v>
      </c>
      <c r="B371" s="41">
        <f ca="1">DATEDIF(Employees!$F371,TODAY(),"Y")</f>
        <v>8</v>
      </c>
      <c r="C371" s="64">
        <v>5</v>
      </c>
      <c r="D371" s="56">
        <v>13</v>
      </c>
      <c r="E371" s="56">
        <v>764</v>
      </c>
      <c r="F371" s="56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372" spans="1:6" x14ac:dyDescent="0.35">
      <c r="A372" s="36" t="str">
        <f>_xlfn.TEXTJOIN(" ",TRUE,Employees_Data[[#This Row],[First Name]],Employees_Data[[#This Row],[Last Name]])</f>
        <v>Eala Mitri</v>
      </c>
      <c r="B372" s="37">
        <f ca="1">DATEDIF(Employees!$F372,TODAY(),"Y")</f>
        <v>7</v>
      </c>
      <c r="C372" s="63">
        <v>2</v>
      </c>
      <c r="D372" s="54">
        <v>8</v>
      </c>
      <c r="E372" s="54">
        <v>2879</v>
      </c>
      <c r="F372" s="54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373" spans="1:6" x14ac:dyDescent="0.35">
      <c r="A373" s="40" t="str">
        <f>_xlfn.TEXTJOIN(" ",TRUE,Employees_Data[[#This Row],[First Name]],Employees_Data[[#This Row],[Last Name]])</f>
        <v>Muhamad Aleliwi</v>
      </c>
      <c r="B373" s="41">
        <f ca="1">DATEDIF(Employees!$F373,TODAY(),"Y")</f>
        <v>6</v>
      </c>
      <c r="C373" s="64">
        <v>3</v>
      </c>
      <c r="D373" s="56">
        <v>50</v>
      </c>
      <c r="E373" s="56">
        <v>2252</v>
      </c>
      <c r="F373" s="56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374" spans="1:6" x14ac:dyDescent="0.35">
      <c r="A374" s="36" t="str">
        <f>_xlfn.TEXTJOIN(" ",TRUE,Employees_Data[[#This Row],[First Name]],Employees_Data[[#This Row],[Last Name]])</f>
        <v>Ahmad Almisri</v>
      </c>
      <c r="B374" s="37">
        <f ca="1">DATEDIF(Employees!$F374,TODAY(),"Y")</f>
        <v>7</v>
      </c>
      <c r="C374" s="63">
        <v>3</v>
      </c>
      <c r="D374" s="54">
        <v>1</v>
      </c>
      <c r="E374" s="54">
        <v>2149</v>
      </c>
      <c r="F374" s="54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375" spans="1:6" x14ac:dyDescent="0.35">
      <c r="A375" s="40" t="str">
        <f>_xlfn.TEXTJOIN(" ",TRUE,Employees_Data[[#This Row],[First Name]],Employees_Data[[#This Row],[Last Name]])</f>
        <v>Ahmad Aldwltali</v>
      </c>
      <c r="B375" s="41">
        <f ca="1">DATEDIF(Employees!$F375,TODAY(),"Y")</f>
        <v>6</v>
      </c>
      <c r="C375" s="64">
        <v>5</v>
      </c>
      <c r="D375" s="56">
        <v>35</v>
      </c>
      <c r="E375" s="56">
        <v>2428</v>
      </c>
      <c r="F375" s="56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376" spans="1:6" x14ac:dyDescent="0.35">
      <c r="A376" s="36" t="str">
        <f>_xlfn.TEXTJOIN(" ",TRUE,Employees_Data[[#This Row],[First Name]],Employees_Data[[#This Row],[Last Name]])</f>
        <v>Muhamad Udib</v>
      </c>
      <c r="B376" s="37">
        <f ca="1">DATEDIF(Employees!$F376,TODAY(),"Y")</f>
        <v>7</v>
      </c>
      <c r="C376" s="63">
        <v>5</v>
      </c>
      <c r="D376" s="54">
        <v>6</v>
      </c>
      <c r="E376" s="54">
        <v>3240</v>
      </c>
      <c r="F376" s="54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377" spans="1:6" x14ac:dyDescent="0.35">
      <c r="A377" s="40" t="str">
        <f>_xlfn.TEXTJOIN(" ",TRUE,Employees_Data[[#This Row],[First Name]],Employees_Data[[#This Row],[Last Name]])</f>
        <v>Alaa Yuzbik</v>
      </c>
      <c r="B377" s="41">
        <f ca="1">DATEDIF(Employees!$F377,TODAY(),"Y")</f>
        <v>8</v>
      </c>
      <c r="C377" s="64">
        <v>3</v>
      </c>
      <c r="D377" s="56">
        <v>10</v>
      </c>
      <c r="E377" s="56">
        <v>1448</v>
      </c>
      <c r="F377" s="56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378" spans="1:6" x14ac:dyDescent="0.35">
      <c r="A378" s="36" t="str">
        <f>_xlfn.TEXTJOIN(" ",TRUE,Employees_Data[[#This Row],[First Name]],Employees_Data[[#This Row],[Last Name]])</f>
        <v>Husayn Zaerur</v>
      </c>
      <c r="B378" s="37">
        <f ca="1">DATEDIF(Employees!$F378,TODAY(),"Y")</f>
        <v>6</v>
      </c>
      <c r="C378" s="63">
        <v>3</v>
      </c>
      <c r="D378" s="54">
        <v>3</v>
      </c>
      <c r="E378" s="54">
        <v>2409</v>
      </c>
      <c r="F378" s="54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379" spans="1:6" x14ac:dyDescent="0.35">
      <c r="A379" s="40" t="str">
        <f>_xlfn.TEXTJOIN(" ",TRUE,Employees_Data[[#This Row],[First Name]],Employees_Data[[#This Row],[Last Name]])</f>
        <v>Saeid Mazlum</v>
      </c>
      <c r="B379" s="41">
        <f ca="1">DATEDIF(Employees!$F379,TODAY(),"Y")</f>
        <v>7</v>
      </c>
      <c r="C379" s="64">
        <v>2</v>
      </c>
      <c r="D379" s="56">
        <v>5</v>
      </c>
      <c r="E379" s="56">
        <v>3030</v>
      </c>
      <c r="F379" s="56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380" spans="1:6" x14ac:dyDescent="0.35">
      <c r="A380" s="36" t="str">
        <f>_xlfn.TEXTJOIN(" ",TRUE,Employees_Data[[#This Row],[First Name]],Employees_Data[[#This Row],[Last Name]])</f>
        <v>Ahmad Alghurani</v>
      </c>
      <c r="B380" s="37">
        <f ca="1">DATEDIF(Employees!$F380,TODAY(),"Y")</f>
        <v>6</v>
      </c>
      <c r="C380" s="63">
        <v>5</v>
      </c>
      <c r="D380" s="54">
        <v>11</v>
      </c>
      <c r="E380" s="54">
        <v>2544</v>
      </c>
      <c r="F380" s="54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381" spans="1:6" x14ac:dyDescent="0.35">
      <c r="A381" s="40" t="str">
        <f>_xlfn.TEXTJOIN(" ",TRUE,Employees_Data[[#This Row],[First Name]],Employees_Data[[#This Row],[Last Name]])</f>
        <v>Abd Alsamad Ahmad</v>
      </c>
      <c r="B381" s="41">
        <f ca="1">DATEDIF(Employees!$F381,TODAY(),"Y")</f>
        <v>9</v>
      </c>
      <c r="C381" s="64">
        <v>4.5</v>
      </c>
      <c r="D381" s="56">
        <v>7</v>
      </c>
      <c r="E381" s="56">
        <v>2872</v>
      </c>
      <c r="F381" s="56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382" spans="1:6" x14ac:dyDescent="0.35">
      <c r="A382" s="36" t="str">
        <f>_xlfn.TEXTJOIN(" ",TRUE,Employees_Data[[#This Row],[First Name]],Employees_Data[[#This Row],[Last Name]])</f>
        <v>Amir Alhasan</v>
      </c>
      <c r="B382" s="37">
        <f ca="1">DATEDIF(Employees!$F382,TODAY(),"Y")</f>
        <v>7</v>
      </c>
      <c r="C382" s="63">
        <v>4.5</v>
      </c>
      <c r="D382" s="54">
        <v>8</v>
      </c>
      <c r="E382" s="54">
        <v>2263</v>
      </c>
      <c r="F382" s="54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383" spans="1:6" x14ac:dyDescent="0.35">
      <c r="A383" s="40" t="str">
        <f>_xlfn.TEXTJOIN(" ",TRUE,Employees_Data[[#This Row],[First Name]],Employees_Data[[#This Row],[Last Name]])</f>
        <v>Alaa Altahhan</v>
      </c>
      <c r="B383" s="41">
        <f ca="1">DATEDIF(Employees!$F383,TODAY(),"Y")</f>
        <v>7</v>
      </c>
      <c r="C383" s="64">
        <v>5</v>
      </c>
      <c r="D383" s="56">
        <v>12</v>
      </c>
      <c r="E383" s="56">
        <v>2136</v>
      </c>
      <c r="F383" s="56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384" spans="1:6" x14ac:dyDescent="0.35">
      <c r="A384" s="36" t="str">
        <f>_xlfn.TEXTJOIN(" ",TRUE,Employees_Data[[#This Row],[First Name]],Employees_Data[[#This Row],[Last Name]])</f>
        <v>Iad Mahfud</v>
      </c>
      <c r="B384" s="37">
        <f ca="1">DATEDIF(Employees!$F384,TODAY(),"Y")</f>
        <v>9</v>
      </c>
      <c r="C384" s="63">
        <v>4.5</v>
      </c>
      <c r="D384" s="54">
        <v>10</v>
      </c>
      <c r="E384" s="54">
        <v>2379</v>
      </c>
      <c r="F384" s="54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385" spans="1:6" x14ac:dyDescent="0.35">
      <c r="A385" s="40" t="str">
        <f>_xlfn.TEXTJOIN(" ",TRUE,Employees_Data[[#This Row],[First Name]],Employees_Data[[#This Row],[Last Name]])</f>
        <v>Sarah Damrani</v>
      </c>
      <c r="B385" s="41">
        <f ca="1">DATEDIF(Employees!$F385,TODAY(),"Y")</f>
        <v>6</v>
      </c>
      <c r="C385" s="64">
        <v>3</v>
      </c>
      <c r="D385" s="56">
        <v>5</v>
      </c>
      <c r="E385" s="56">
        <v>1940</v>
      </c>
      <c r="F385" s="56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386" spans="1:6" x14ac:dyDescent="0.35">
      <c r="A386" s="36" t="str">
        <f>_xlfn.TEXTJOIN(" ",TRUE,Employees_Data[[#This Row],[First Name]],Employees_Data[[#This Row],[Last Name]])</f>
        <v>Husam Aldubus</v>
      </c>
      <c r="B386" s="37">
        <f ca="1">DATEDIF(Employees!$F386,TODAY(),"Y")</f>
        <v>7</v>
      </c>
      <c r="C386" s="63">
        <v>2</v>
      </c>
      <c r="D386" s="54">
        <v>9</v>
      </c>
      <c r="E386" s="54">
        <v>1558</v>
      </c>
      <c r="F386" s="54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387" spans="1:6" x14ac:dyDescent="0.35">
      <c r="A387" s="40" t="str">
        <f>_xlfn.TEXTJOIN(" ",TRUE,Employees_Data[[#This Row],[First Name]],Employees_Data[[#This Row],[Last Name]])</f>
        <v>Ahmad Zynu</v>
      </c>
      <c r="B387" s="41">
        <f ca="1">DATEDIF(Employees!$F387,TODAY(),"Y")</f>
        <v>7</v>
      </c>
      <c r="C387" s="64">
        <v>5</v>
      </c>
      <c r="D387" s="56">
        <v>8</v>
      </c>
      <c r="E387" s="56">
        <v>1341</v>
      </c>
      <c r="F387" s="56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388" spans="1:6" x14ac:dyDescent="0.35">
      <c r="A388" s="36" t="str">
        <f>_xlfn.TEXTJOIN(" ",TRUE,Employees_Data[[#This Row],[First Name]],Employees_Data[[#This Row],[Last Name]])</f>
        <v>Lwy Abu</v>
      </c>
      <c r="B388" s="37">
        <f ca="1">DATEDIF(Employees!$F388,TODAY(),"Y")</f>
        <v>7</v>
      </c>
      <c r="C388" s="63">
        <v>5</v>
      </c>
      <c r="D388" s="54">
        <v>10</v>
      </c>
      <c r="E388" s="54">
        <v>1703</v>
      </c>
      <c r="F388" s="54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389" spans="1:6" x14ac:dyDescent="0.35">
      <c r="A389" s="40" t="str">
        <f>_xlfn.TEXTJOIN(" ",TRUE,Employees_Data[[#This Row],[First Name]],Employees_Data[[#This Row],[Last Name]])</f>
        <v>Tariq Shams</v>
      </c>
      <c r="B389" s="41">
        <f ca="1">DATEDIF(Employees!$F389,TODAY(),"Y")</f>
        <v>6</v>
      </c>
      <c r="C389" s="64">
        <v>1</v>
      </c>
      <c r="D389" s="56">
        <v>2</v>
      </c>
      <c r="E389" s="56">
        <v>3282</v>
      </c>
      <c r="F389" s="56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390" spans="1:6" x14ac:dyDescent="0.35">
      <c r="A390" s="36" t="str">
        <f>_xlfn.TEXTJOIN(" ",TRUE,Employees_Data[[#This Row],[First Name]],Employees_Data[[#This Row],[Last Name]])</f>
        <v>Muhamad Khalil</v>
      </c>
      <c r="B390" s="37">
        <f ca="1">DATEDIF(Employees!$F390,TODAY(),"Y")</f>
        <v>6</v>
      </c>
      <c r="C390" s="63">
        <v>2</v>
      </c>
      <c r="D390" s="54">
        <v>0</v>
      </c>
      <c r="E390" s="54">
        <v>3125</v>
      </c>
      <c r="F390" s="54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391" spans="1:6" x14ac:dyDescent="0.35">
      <c r="A391" s="40" t="str">
        <f>_xlfn.TEXTJOIN(" ",TRUE,Employees_Data[[#This Row],[First Name]],Employees_Data[[#This Row],[Last Name]])</f>
        <v>Amal Alhusayn</v>
      </c>
      <c r="B391" s="41">
        <f ca="1">DATEDIF(Employees!$F391,TODAY(),"Y")</f>
        <v>6</v>
      </c>
      <c r="C391" s="64">
        <v>4.5</v>
      </c>
      <c r="D391" s="56">
        <v>7</v>
      </c>
      <c r="E391" s="56">
        <v>2232</v>
      </c>
      <c r="F391" s="56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392" spans="1:6" x14ac:dyDescent="0.35">
      <c r="A392" s="36" t="str">
        <f>_xlfn.TEXTJOIN(" ",TRUE,Employees_Data[[#This Row],[First Name]],Employees_Data[[#This Row],[Last Name]])</f>
        <v>Fadi Shakur</v>
      </c>
      <c r="B392" s="37">
        <f ca="1">DATEDIF(Employees!$F392,TODAY(),"Y")</f>
        <v>9</v>
      </c>
      <c r="C392" s="63">
        <v>4.5</v>
      </c>
      <c r="D392" s="54">
        <v>8</v>
      </c>
      <c r="E392" s="54">
        <v>2513</v>
      </c>
      <c r="F392" s="54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393" spans="1:6" x14ac:dyDescent="0.35">
      <c r="A393" s="40" t="str">
        <f>_xlfn.TEXTJOIN(" ",TRUE,Employees_Data[[#This Row],[First Name]],Employees_Data[[#This Row],[Last Name]])</f>
        <v>Abdalhai Sarhan</v>
      </c>
      <c r="B393" s="41">
        <f ca="1">DATEDIF(Employees!$F393,TODAY(),"Y")</f>
        <v>9</v>
      </c>
      <c r="C393" s="64">
        <v>2</v>
      </c>
      <c r="D393" s="56">
        <v>8</v>
      </c>
      <c r="E393" s="56">
        <v>2818</v>
      </c>
      <c r="F393" s="56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394" spans="1:6" x14ac:dyDescent="0.35">
      <c r="A394" s="36" t="str">
        <f>_xlfn.TEXTJOIN(" ",TRUE,Employees_Data[[#This Row],[First Name]],Employees_Data[[#This Row],[Last Name]])</f>
        <v>Ahmad Alqadi</v>
      </c>
      <c r="B394" s="37">
        <f ca="1">DATEDIF(Employees!$F394,TODAY(),"Y")</f>
        <v>8</v>
      </c>
      <c r="C394" s="63">
        <v>3</v>
      </c>
      <c r="D394" s="54">
        <v>6</v>
      </c>
      <c r="E394" s="54">
        <v>2257</v>
      </c>
      <c r="F394" s="54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395" spans="1:6" x14ac:dyDescent="0.35">
      <c r="A395" s="40" t="str">
        <f>_xlfn.TEXTJOIN(" ",TRUE,Employees_Data[[#This Row],[First Name]],Employees_Data[[#This Row],[Last Name]])</f>
        <v>Husam Albush</v>
      </c>
      <c r="B395" s="41">
        <f ca="1">DATEDIF(Employees!$F395,TODAY(),"Y")</f>
        <v>6</v>
      </c>
      <c r="C395" s="64">
        <v>3</v>
      </c>
      <c r="D395" s="56">
        <v>5</v>
      </c>
      <c r="E395" s="56">
        <v>1265</v>
      </c>
      <c r="F395" s="56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396" spans="1:6" x14ac:dyDescent="0.35">
      <c r="A396" s="36" t="str">
        <f>_xlfn.TEXTJOIN(" ",TRUE,Employees_Data[[#This Row],[First Name]],Employees_Data[[#This Row],[Last Name]])</f>
        <v>Anas Eabidin</v>
      </c>
      <c r="B396" s="37">
        <f ca="1">DATEDIF(Employees!$F396,TODAY(),"Y")</f>
        <v>6</v>
      </c>
      <c r="C396" s="63">
        <v>3</v>
      </c>
      <c r="D396" s="54">
        <v>0</v>
      </c>
      <c r="E396" s="54">
        <v>2207</v>
      </c>
      <c r="F396" s="54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397" spans="1:6" x14ac:dyDescent="0.35">
      <c r="A397" s="40" t="str">
        <f>_xlfn.TEXTJOIN(" ",TRUE,Employees_Data[[#This Row],[First Name]],Employees_Data[[#This Row],[Last Name]])</f>
        <v>Muhamad Ebdalwahd</v>
      </c>
      <c r="B397" s="41">
        <f ca="1">DATEDIF(Employees!$F397,TODAY(),"Y")</f>
        <v>7</v>
      </c>
      <c r="C397" s="64">
        <v>3</v>
      </c>
      <c r="D397" s="56">
        <v>4</v>
      </c>
      <c r="E397" s="56">
        <v>2806</v>
      </c>
      <c r="F397" s="56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398" spans="1:6" x14ac:dyDescent="0.35">
      <c r="A398" s="36" t="str">
        <f>_xlfn.TEXTJOIN(" ",TRUE,Employees_Data[[#This Row],[First Name]],Employees_Data[[#This Row],[Last Name]])</f>
        <v>Khalid Iibrahim</v>
      </c>
      <c r="B398" s="37">
        <f ca="1">DATEDIF(Employees!$F398,TODAY(),"Y")</f>
        <v>9</v>
      </c>
      <c r="C398" s="63">
        <v>5</v>
      </c>
      <c r="D398" s="54">
        <v>3</v>
      </c>
      <c r="E398" s="54">
        <v>1521</v>
      </c>
      <c r="F398" s="54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399" spans="1:6" x14ac:dyDescent="0.35">
      <c r="A399" s="40" t="str">
        <f>_xlfn.TEXTJOIN(" ",TRUE,Employees_Data[[#This Row],[First Name]],Employees_Data[[#This Row],[Last Name]])</f>
        <v>Muhamad Aleazm</v>
      </c>
      <c r="B399" s="41">
        <f ca="1">DATEDIF(Employees!$F399,TODAY(),"Y")</f>
        <v>8</v>
      </c>
      <c r="C399" s="64">
        <v>3</v>
      </c>
      <c r="D399" s="56">
        <v>0</v>
      </c>
      <c r="E399" s="56">
        <v>1867</v>
      </c>
      <c r="F399" s="56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400" spans="1:6" x14ac:dyDescent="0.35">
      <c r="A400" s="36" t="str">
        <f>_xlfn.TEXTJOIN(" ",TRUE,Employees_Data[[#This Row],[First Name]],Employees_Data[[#This Row],[Last Name]])</f>
        <v>Maya Alhmwi</v>
      </c>
      <c r="B400" s="37">
        <f ca="1">DATEDIF(Employees!$F400,TODAY(),"Y")</f>
        <v>7</v>
      </c>
      <c r="C400" s="63">
        <v>5</v>
      </c>
      <c r="D400" s="54">
        <v>10</v>
      </c>
      <c r="E400" s="54">
        <v>2425</v>
      </c>
      <c r="F400" s="54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401" spans="1:6" x14ac:dyDescent="0.35">
      <c r="A401" s="40" t="str">
        <f>_xlfn.TEXTJOIN(" ",TRUE,Employees_Data[[#This Row],[First Name]],Employees_Data[[#This Row],[Last Name]])</f>
        <v>Basil Khiat</v>
      </c>
      <c r="B401" s="41">
        <f ca="1">DATEDIF(Employees!$F401,TODAY(),"Y")</f>
        <v>5</v>
      </c>
      <c r="C401" s="64">
        <v>5</v>
      </c>
      <c r="D401" s="56">
        <v>0</v>
      </c>
      <c r="E401" s="56">
        <v>1758</v>
      </c>
      <c r="F401" s="56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402" spans="1:6" x14ac:dyDescent="0.35">
      <c r="A402" s="36" t="str">
        <f>_xlfn.TEXTJOIN(" ",TRUE,Employees_Data[[#This Row],[First Name]],Employees_Data[[#This Row],[Last Name]])</f>
        <v>Muhamad Zaydan</v>
      </c>
      <c r="B402" s="37">
        <f ca="1">DATEDIF(Employees!$F402,TODAY(),"Y")</f>
        <v>5</v>
      </c>
      <c r="C402" s="63">
        <v>3</v>
      </c>
      <c r="D402" s="54">
        <v>1</v>
      </c>
      <c r="E402" s="54">
        <v>2832</v>
      </c>
      <c r="F402" s="54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403" spans="1:6" x14ac:dyDescent="0.35">
      <c r="A403" s="40" t="str">
        <f>_xlfn.TEXTJOIN(" ",TRUE,Employees_Data[[#This Row],[First Name]],Employees_Data[[#This Row],[Last Name]])</f>
        <v>Randa Alajw</v>
      </c>
      <c r="B403" s="41">
        <f ca="1">DATEDIF(Employees!$F403,TODAY(),"Y")</f>
        <v>9</v>
      </c>
      <c r="C403" s="64">
        <v>1</v>
      </c>
      <c r="D403" s="56">
        <v>8</v>
      </c>
      <c r="E403" s="56">
        <v>1371</v>
      </c>
      <c r="F403" s="56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404" spans="1:6" x14ac:dyDescent="0.35">
      <c r="A404" s="36" t="str">
        <f>_xlfn.TEXTJOIN(" ",TRUE,Employees_Data[[#This Row],[First Name]],Employees_Data[[#This Row],[Last Name]])</f>
        <v>Muhamad Alghazi</v>
      </c>
      <c r="B404" s="37">
        <f ca="1">DATEDIF(Employees!$F404,TODAY(),"Y")</f>
        <v>7</v>
      </c>
      <c r="C404" s="63">
        <v>5</v>
      </c>
      <c r="D404" s="54">
        <v>3</v>
      </c>
      <c r="E404" s="54">
        <v>2904</v>
      </c>
      <c r="F404" s="54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405" spans="1:6" x14ac:dyDescent="0.35">
      <c r="A405" s="40" t="str">
        <f>_xlfn.TEXTJOIN(" ",TRUE,Employees_Data[[#This Row],[First Name]],Employees_Data[[#This Row],[Last Name]])</f>
        <v>Rahaf Eijluni</v>
      </c>
      <c r="B405" s="41">
        <f ca="1">DATEDIF(Employees!$F405,TODAY(),"Y")</f>
        <v>7</v>
      </c>
      <c r="C405" s="64">
        <v>3</v>
      </c>
      <c r="D405" s="56">
        <v>0</v>
      </c>
      <c r="E405" s="56">
        <v>3285</v>
      </c>
      <c r="F405" s="56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406" spans="1:6" x14ac:dyDescent="0.35">
      <c r="A406" s="36" t="str">
        <f>_xlfn.TEXTJOIN(" ",TRUE,Employees_Data[[#This Row],[First Name]],Employees_Data[[#This Row],[Last Name]])</f>
        <v>Sultan Alhijar</v>
      </c>
      <c r="B406" s="37">
        <f ca="1">DATEDIF(Employees!$F406,TODAY(),"Y")</f>
        <v>8</v>
      </c>
      <c r="C406" s="63">
        <v>5</v>
      </c>
      <c r="D406" s="54">
        <v>45</v>
      </c>
      <c r="E406" s="54">
        <v>2964</v>
      </c>
      <c r="F406" s="54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407" spans="1:6" x14ac:dyDescent="0.35">
      <c r="A407" s="40" t="str">
        <f>_xlfn.TEXTJOIN(" ",TRUE,Employees_Data[[#This Row],[First Name]],Employees_Data[[#This Row],[Last Name]])</f>
        <v>Asma Sadqawi</v>
      </c>
      <c r="B407" s="41">
        <f ca="1">DATEDIF(Employees!$F407,TODAY(),"Y")</f>
        <v>8</v>
      </c>
      <c r="C407" s="64">
        <v>2</v>
      </c>
      <c r="D407" s="56">
        <v>5</v>
      </c>
      <c r="E407" s="56">
        <v>974</v>
      </c>
      <c r="F407" s="56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408" spans="1:6" x14ac:dyDescent="0.35">
      <c r="A408" s="36" t="str">
        <f>_xlfn.TEXTJOIN(" ",TRUE,Employees_Data[[#This Row],[First Name]],Employees_Data[[#This Row],[Last Name]])</f>
        <v>Fulla Alkhalid</v>
      </c>
      <c r="B408" s="37">
        <f ca="1">DATEDIF(Employees!$F408,TODAY(),"Y")</f>
        <v>7</v>
      </c>
      <c r="C408" s="63">
        <v>4.5</v>
      </c>
      <c r="D408" s="54">
        <v>9</v>
      </c>
      <c r="E408" s="54">
        <v>2607</v>
      </c>
      <c r="F408" s="54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409" spans="1:6" x14ac:dyDescent="0.35">
      <c r="A409" s="40" t="str">
        <f>_xlfn.TEXTJOIN(" ",TRUE,Employees_Data[[#This Row],[First Name]],Employees_Data[[#This Row],[Last Name]])</f>
        <v>Lujin Alaleppoy</v>
      </c>
      <c r="B409" s="41">
        <f ca="1">DATEDIF(Employees!$F409,TODAY(),"Y")</f>
        <v>9</v>
      </c>
      <c r="C409" s="64">
        <v>1</v>
      </c>
      <c r="D409" s="56">
        <v>3</v>
      </c>
      <c r="E409" s="56">
        <v>1550</v>
      </c>
      <c r="F409" s="56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410" spans="1:6" x14ac:dyDescent="0.35">
      <c r="A410" s="36" t="str">
        <f>_xlfn.TEXTJOIN(" ",TRUE,Employees_Data[[#This Row],[First Name]],Employees_Data[[#This Row],[Last Name]])</f>
        <v>Jihan Alqudmani</v>
      </c>
      <c r="B410" s="37">
        <f ca="1">DATEDIF(Employees!$F410,TODAY(),"Y")</f>
        <v>10</v>
      </c>
      <c r="C410" s="63">
        <v>4.5</v>
      </c>
      <c r="D410" s="54">
        <v>4</v>
      </c>
      <c r="E410" s="54">
        <v>1631</v>
      </c>
      <c r="F410" s="54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411" spans="1:6" x14ac:dyDescent="0.35">
      <c r="A411" s="40" t="str">
        <f>_xlfn.TEXTJOIN(" ",TRUE,Employees_Data[[#This Row],[First Name]],Employees_Data[[#This Row],[Last Name]])</f>
        <v>Anwar Alkhayran</v>
      </c>
      <c r="B411" s="41">
        <f ca="1">DATEDIF(Employees!$F411,TODAY(),"Y")</f>
        <v>7</v>
      </c>
      <c r="C411" s="64">
        <v>1</v>
      </c>
      <c r="D411" s="56">
        <v>6</v>
      </c>
      <c r="E411" s="56">
        <v>3003</v>
      </c>
      <c r="F411" s="56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412" spans="1:6" x14ac:dyDescent="0.35">
      <c r="A412" s="36" t="str">
        <f>_xlfn.TEXTJOIN(" ",TRUE,Employees_Data[[#This Row],[First Name]],Employees_Data[[#This Row],[Last Name]])</f>
        <v>Qasim Muhamad</v>
      </c>
      <c r="B412" s="37">
        <f ca="1">DATEDIF(Employees!$F412,TODAY(),"Y")</f>
        <v>6</v>
      </c>
      <c r="C412" s="63">
        <v>5</v>
      </c>
      <c r="D412" s="54">
        <v>12</v>
      </c>
      <c r="E412" s="54">
        <v>913</v>
      </c>
      <c r="F412" s="54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413" spans="1:6" x14ac:dyDescent="0.35">
      <c r="A413" s="40" t="str">
        <f>_xlfn.TEXTJOIN(" ",TRUE,Employees_Data[[#This Row],[First Name]],Employees_Data[[#This Row],[Last Name]])</f>
        <v>Samir Altaynawi</v>
      </c>
      <c r="B413" s="41">
        <f ca="1">DATEDIF(Employees!$F413,TODAY(),"Y")</f>
        <v>9</v>
      </c>
      <c r="C413" s="64">
        <v>3</v>
      </c>
      <c r="D413" s="56">
        <v>4</v>
      </c>
      <c r="E413" s="56">
        <v>2076</v>
      </c>
      <c r="F413" s="56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414" spans="1:6" x14ac:dyDescent="0.35">
      <c r="A414" s="36" t="str">
        <f>_xlfn.TEXTJOIN(" ",TRUE,Employees_Data[[#This Row],[First Name]],Employees_Data[[#This Row],[Last Name]])</f>
        <v>Alaa Hafiz</v>
      </c>
      <c r="B414" s="37">
        <f ca="1">DATEDIF(Employees!$F414,TODAY(),"Y")</f>
        <v>6</v>
      </c>
      <c r="C414" s="63">
        <v>3</v>
      </c>
      <c r="D414" s="54">
        <v>0</v>
      </c>
      <c r="E414" s="54">
        <v>2749</v>
      </c>
      <c r="F414" s="54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415" spans="1:6" x14ac:dyDescent="0.35">
      <c r="A415" s="40" t="str">
        <f>_xlfn.TEXTJOIN(" ",TRUE,Employees_Data[[#This Row],[First Name]],Employees_Data[[#This Row],[Last Name]])</f>
        <v>Kamilia Sydu</v>
      </c>
      <c r="B415" s="41">
        <f ca="1">DATEDIF(Employees!$F415,TODAY(),"Y")</f>
        <v>7</v>
      </c>
      <c r="C415" s="64">
        <v>4.5</v>
      </c>
      <c r="D415" s="56">
        <v>5</v>
      </c>
      <c r="E415" s="56">
        <v>2617</v>
      </c>
      <c r="F415" s="56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416" spans="1:6" x14ac:dyDescent="0.35">
      <c r="A416" s="36" t="str">
        <f>_xlfn.TEXTJOIN(" ",TRUE,Employees_Data[[#This Row],[First Name]],Employees_Data[[#This Row],[Last Name]])</f>
        <v>Ali Marwan</v>
      </c>
      <c r="B416" s="37">
        <f ca="1">DATEDIF(Employees!$F416,TODAY(),"Y")</f>
        <v>7</v>
      </c>
      <c r="C416" s="63">
        <v>5</v>
      </c>
      <c r="D416" s="54">
        <v>35</v>
      </c>
      <c r="E416" s="54">
        <v>1680</v>
      </c>
      <c r="F416" s="54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417" spans="1:6" x14ac:dyDescent="0.35">
      <c r="A417" s="40" t="str">
        <f>_xlfn.TEXTJOIN(" ",TRUE,Employees_Data[[#This Row],[First Name]],Employees_Data[[#This Row],[Last Name]])</f>
        <v>Mahir Almarstani</v>
      </c>
      <c r="B417" s="41">
        <f ca="1">DATEDIF(Employees!$F417,TODAY(),"Y")</f>
        <v>6</v>
      </c>
      <c r="C417" s="64">
        <v>3</v>
      </c>
      <c r="D417" s="56">
        <v>3</v>
      </c>
      <c r="E417" s="56">
        <v>2824</v>
      </c>
      <c r="F417" s="56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418" spans="1:6" x14ac:dyDescent="0.35">
      <c r="A418" s="36" t="str">
        <f>_xlfn.TEXTJOIN(" ",TRUE,Employees_Data[[#This Row],[First Name]],Employees_Data[[#This Row],[Last Name]])</f>
        <v>Rwad Alddahir</v>
      </c>
      <c r="B418" s="37">
        <f ca="1">DATEDIF(Employees!$F418,TODAY(),"Y")</f>
        <v>9</v>
      </c>
      <c r="C418" s="63">
        <v>5</v>
      </c>
      <c r="D418" s="54">
        <v>7</v>
      </c>
      <c r="E418" s="54">
        <v>1646</v>
      </c>
      <c r="F418" s="54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419" spans="1:6" x14ac:dyDescent="0.35">
      <c r="A419" s="40" t="str">
        <f>_xlfn.TEXTJOIN(" ",TRUE,Employees_Data[[#This Row],[First Name]],Employees_Data[[#This Row],[Last Name]])</f>
        <v>Jury Eabuwd</v>
      </c>
      <c r="B419" s="41">
        <f ca="1">DATEDIF(Employees!$F419,TODAY(),"Y")</f>
        <v>7</v>
      </c>
      <c r="C419" s="64">
        <v>5</v>
      </c>
      <c r="D419" s="56">
        <v>8</v>
      </c>
      <c r="E419" s="56">
        <v>979</v>
      </c>
      <c r="F419" s="56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420" spans="1:6" x14ac:dyDescent="0.35">
      <c r="A420" s="36" t="str">
        <f>_xlfn.TEXTJOIN(" ",TRUE,Employees_Data[[#This Row],[First Name]],Employees_Data[[#This Row],[Last Name]])</f>
        <v>Sayban Musur</v>
      </c>
      <c r="B420" s="37">
        <f ca="1">DATEDIF(Employees!$F420,TODAY(),"Y")</f>
        <v>7</v>
      </c>
      <c r="C420" s="63">
        <v>3</v>
      </c>
      <c r="D420" s="54">
        <v>7</v>
      </c>
      <c r="E420" s="54">
        <v>1274</v>
      </c>
      <c r="F420" s="54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421" spans="1:6" x14ac:dyDescent="0.35">
      <c r="A421" s="40" t="str">
        <f>_xlfn.TEXTJOIN(" ",TRUE,Employees_Data[[#This Row],[First Name]],Employees_Data[[#This Row],[Last Name]])</f>
        <v>Diana Muayid</v>
      </c>
      <c r="B421" s="41">
        <f ca="1">DATEDIF(Employees!$F421,TODAY(),"Y")</f>
        <v>7</v>
      </c>
      <c r="C421" s="64">
        <v>2</v>
      </c>
      <c r="D421" s="56">
        <v>3</v>
      </c>
      <c r="E421" s="56">
        <v>2715</v>
      </c>
      <c r="F421" s="56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422" spans="1:6" x14ac:dyDescent="0.35">
      <c r="A422" s="36" t="str">
        <f>_xlfn.TEXTJOIN(" ",TRUE,Employees_Data[[#This Row],[First Name]],Employees_Data[[#This Row],[Last Name]])</f>
        <v>Lbyb Fahd</v>
      </c>
      <c r="B422" s="37">
        <f ca="1">DATEDIF(Employees!$F422,TODAY(),"Y")</f>
        <v>6</v>
      </c>
      <c r="C422" s="63">
        <v>5</v>
      </c>
      <c r="D422" s="54">
        <v>0</v>
      </c>
      <c r="E422" s="54">
        <v>1158</v>
      </c>
      <c r="F422" s="54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423" spans="1:6" x14ac:dyDescent="0.35">
      <c r="A423" s="40" t="str">
        <f>_xlfn.TEXTJOIN(" ",TRUE,Employees_Data[[#This Row],[First Name]],Employees_Data[[#This Row],[Last Name]])</f>
        <v>Bashshar Bilul</v>
      </c>
      <c r="B423" s="41">
        <f ca="1">DATEDIF(Employees!$F423,TODAY(),"Y")</f>
        <v>8</v>
      </c>
      <c r="C423" s="64">
        <v>3</v>
      </c>
      <c r="D423" s="56">
        <v>14</v>
      </c>
      <c r="E423" s="56">
        <v>1986</v>
      </c>
      <c r="F423" s="56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424" spans="1:6" x14ac:dyDescent="0.35">
      <c r="A424" s="36" t="str">
        <f>_xlfn.TEXTJOIN(" ",TRUE,Employees_Data[[#This Row],[First Name]],Employees_Data[[#This Row],[Last Name]])</f>
        <v>Ali Alnuwri</v>
      </c>
      <c r="B424" s="37">
        <f ca="1">DATEDIF(Employees!$F424,TODAY(),"Y")</f>
        <v>6</v>
      </c>
      <c r="C424" s="63">
        <v>5</v>
      </c>
      <c r="D424" s="54">
        <v>0</v>
      </c>
      <c r="E424" s="54">
        <v>3299</v>
      </c>
      <c r="F424" s="54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425" spans="1:6" x14ac:dyDescent="0.35">
      <c r="A425" s="40" t="str">
        <f>_xlfn.TEXTJOIN(" ",TRUE,Employees_Data[[#This Row],[First Name]],Employees_Data[[#This Row],[Last Name]])</f>
        <v>Salim Aleabd</v>
      </c>
      <c r="B425" s="41">
        <f ca="1">DATEDIF(Employees!$F425,TODAY(),"Y")</f>
        <v>8</v>
      </c>
      <c r="C425" s="64">
        <v>5</v>
      </c>
      <c r="D425" s="56">
        <v>97</v>
      </c>
      <c r="E425" s="56">
        <v>2405</v>
      </c>
      <c r="F425" s="56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Eligible</v>
      </c>
    </row>
    <row r="426" spans="1:6" x14ac:dyDescent="0.35">
      <c r="A426" s="36" t="str">
        <f>_xlfn.TEXTJOIN(" ",TRUE,Employees_Data[[#This Row],[First Name]],Employees_Data[[#This Row],[Last Name]])</f>
        <v>Abd Alruhmin Allaham</v>
      </c>
      <c r="B426" s="37">
        <f ca="1">DATEDIF(Employees!$F426,TODAY(),"Y")</f>
        <v>6</v>
      </c>
      <c r="C426" s="63">
        <v>3</v>
      </c>
      <c r="D426" s="54">
        <v>4</v>
      </c>
      <c r="E426" s="54">
        <v>2205</v>
      </c>
      <c r="F426" s="54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427" spans="1:6" x14ac:dyDescent="0.35">
      <c r="A427" s="40" t="str">
        <f>_xlfn.TEXTJOIN(" ",TRUE,Employees_Data[[#This Row],[First Name]],Employees_Data[[#This Row],[Last Name]])</f>
        <v>Muhamad Raft</v>
      </c>
      <c r="B427" s="41">
        <f ca="1">DATEDIF(Employees!$F427,TODAY(),"Y")</f>
        <v>10</v>
      </c>
      <c r="C427" s="64">
        <v>3</v>
      </c>
      <c r="D427" s="56">
        <v>6</v>
      </c>
      <c r="E427" s="56">
        <v>2651</v>
      </c>
      <c r="F427" s="56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428" spans="1:6" x14ac:dyDescent="0.35">
      <c r="A428" s="36" t="str">
        <f>_xlfn.TEXTJOIN(" ",TRUE,Employees_Data[[#This Row],[First Name]],Employees_Data[[#This Row],[Last Name]])</f>
        <v>Ahmad Shakir</v>
      </c>
      <c r="B428" s="37">
        <f ca="1">DATEDIF(Employees!$F428,TODAY(),"Y")</f>
        <v>7</v>
      </c>
      <c r="C428" s="63">
        <v>4.5</v>
      </c>
      <c r="D428" s="54">
        <v>6</v>
      </c>
      <c r="E428" s="54">
        <v>1693</v>
      </c>
      <c r="F428" s="54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429" spans="1:6" x14ac:dyDescent="0.35">
      <c r="A429" s="40" t="str">
        <f>_xlfn.TEXTJOIN(" ",TRUE,Employees_Data[[#This Row],[First Name]],Employees_Data[[#This Row],[Last Name]])</f>
        <v>Rasha Asead</v>
      </c>
      <c r="B429" s="41">
        <f ca="1">DATEDIF(Employees!$F429,TODAY(),"Y")</f>
        <v>6</v>
      </c>
      <c r="C429" s="64">
        <v>1</v>
      </c>
      <c r="D429" s="56">
        <v>6</v>
      </c>
      <c r="E429" s="56">
        <v>1690</v>
      </c>
      <c r="F429" s="56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430" spans="1:6" x14ac:dyDescent="0.35">
      <c r="A430" s="36" t="str">
        <f>_xlfn.TEXTJOIN(" ",TRUE,Employees_Data[[#This Row],[First Name]],Employees_Data[[#This Row],[Last Name]])</f>
        <v>Omar Alwurhani</v>
      </c>
      <c r="B430" s="37">
        <f ca="1">DATEDIF(Employees!$F430,TODAY(),"Y")</f>
        <v>7</v>
      </c>
      <c r="C430" s="63">
        <v>3</v>
      </c>
      <c r="D430" s="54">
        <v>5</v>
      </c>
      <c r="E430" s="54">
        <v>766</v>
      </c>
      <c r="F430" s="54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431" spans="1:6" x14ac:dyDescent="0.35">
      <c r="A431" s="40" t="str">
        <f>_xlfn.TEXTJOIN(" ",TRUE,Employees_Data[[#This Row],[First Name]],Employees_Data[[#This Row],[Last Name]])</f>
        <v>Ayham Kharbutli</v>
      </c>
      <c r="B431" s="41">
        <f ca="1">DATEDIF(Employees!$F431,TODAY(),"Y")</f>
        <v>7</v>
      </c>
      <c r="C431" s="64">
        <v>3</v>
      </c>
      <c r="D431" s="56">
        <v>3</v>
      </c>
      <c r="E431" s="56">
        <v>2542</v>
      </c>
      <c r="F431" s="56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432" spans="1:6" x14ac:dyDescent="0.35">
      <c r="A432" s="36" t="str">
        <f>_xlfn.TEXTJOIN(" ",TRUE,Employees_Data[[#This Row],[First Name]],Employees_Data[[#This Row],[Last Name]])</f>
        <v>Sahar Jaridiun</v>
      </c>
      <c r="B432" s="37">
        <f ca="1">DATEDIF(Employees!$F432,TODAY(),"Y")</f>
        <v>10</v>
      </c>
      <c r="C432" s="63">
        <v>4.5</v>
      </c>
      <c r="D432" s="54">
        <v>8</v>
      </c>
      <c r="E432" s="54">
        <v>1966</v>
      </c>
      <c r="F432" s="54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433" spans="1:6" x14ac:dyDescent="0.35">
      <c r="A433" s="40" t="str">
        <f>_xlfn.TEXTJOIN(" ",TRUE,Employees_Data[[#This Row],[First Name]],Employees_Data[[#This Row],[Last Name]])</f>
        <v>Muhamad Tamur</v>
      </c>
      <c r="B433" s="41">
        <f ca="1">DATEDIF(Employees!$F433,TODAY(),"Y")</f>
        <v>7</v>
      </c>
      <c r="C433" s="64">
        <v>4.5</v>
      </c>
      <c r="D433" s="56">
        <v>8</v>
      </c>
      <c r="E433" s="56">
        <v>2977</v>
      </c>
      <c r="F433" s="56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434" spans="1:6" x14ac:dyDescent="0.35">
      <c r="A434" s="36" t="str">
        <f>_xlfn.TEXTJOIN(" ",TRUE,Employees_Data[[#This Row],[First Name]],Employees_Data[[#This Row],[Last Name]])</f>
        <v>Ayham Alkhlf</v>
      </c>
      <c r="B434" s="37">
        <f ca="1">DATEDIF(Employees!$F434,TODAY(),"Y")</f>
        <v>8</v>
      </c>
      <c r="C434" s="63">
        <v>1</v>
      </c>
      <c r="D434" s="54">
        <v>10</v>
      </c>
      <c r="E434" s="54">
        <v>1404</v>
      </c>
      <c r="F434" s="54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435" spans="1:6" x14ac:dyDescent="0.35">
      <c r="A435" s="40" t="str">
        <f>_xlfn.TEXTJOIN(" ",TRUE,Employees_Data[[#This Row],[First Name]],Employees_Data[[#This Row],[Last Name]])</f>
        <v>Emar Eisaf</v>
      </c>
      <c r="B435" s="41">
        <f ca="1">DATEDIF(Employees!$F435,TODAY(),"Y")</f>
        <v>8</v>
      </c>
      <c r="C435" s="64">
        <v>3</v>
      </c>
      <c r="D435" s="56">
        <v>2</v>
      </c>
      <c r="E435" s="56">
        <v>1848</v>
      </c>
      <c r="F435" s="56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436" spans="1:6" x14ac:dyDescent="0.35">
      <c r="A436" s="36" t="str">
        <f>_xlfn.TEXTJOIN(" ",TRUE,Employees_Data[[#This Row],[First Name]],Employees_Data[[#This Row],[Last Name]])</f>
        <v>Iin Bitahish</v>
      </c>
      <c r="B436" s="37">
        <f ca="1">DATEDIF(Employees!$F436,TODAY(),"Y")</f>
        <v>6</v>
      </c>
      <c r="C436" s="63">
        <v>3</v>
      </c>
      <c r="D436" s="54">
        <v>6</v>
      </c>
      <c r="E436" s="54">
        <v>2069</v>
      </c>
      <c r="F436" s="54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437" spans="1:6" x14ac:dyDescent="0.35">
      <c r="A437" s="40" t="str">
        <f>_xlfn.TEXTJOIN(" ",TRUE,Employees_Data[[#This Row],[First Name]],Employees_Data[[#This Row],[Last Name]])</f>
        <v>Abdalrhim Eimaruh</v>
      </c>
      <c r="B437" s="41">
        <f ca="1">DATEDIF(Employees!$F437,TODAY(),"Y")</f>
        <v>6</v>
      </c>
      <c r="C437" s="64">
        <v>4.5</v>
      </c>
      <c r="D437" s="56">
        <v>6</v>
      </c>
      <c r="E437" s="56">
        <v>1072</v>
      </c>
      <c r="F437" s="56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438" spans="1:6" x14ac:dyDescent="0.35">
      <c r="A438" s="36" t="str">
        <f>_xlfn.TEXTJOIN(" ",TRUE,Employees_Data[[#This Row],[First Name]],Employees_Data[[#This Row],[Last Name]])</f>
        <v>Bashaer Hadalah</v>
      </c>
      <c r="B438" s="37">
        <f ca="1">DATEDIF(Employees!$F438,TODAY(),"Y")</f>
        <v>6</v>
      </c>
      <c r="C438" s="63">
        <v>1</v>
      </c>
      <c r="D438" s="54">
        <v>8</v>
      </c>
      <c r="E438" s="54">
        <v>1984</v>
      </c>
      <c r="F438" s="54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439" spans="1:6" x14ac:dyDescent="0.35">
      <c r="A439" s="40" t="str">
        <f>_xlfn.TEXTJOIN(" ",TRUE,Employees_Data[[#This Row],[First Name]],Employees_Data[[#This Row],[Last Name]])</f>
        <v>Sana Maeruf</v>
      </c>
      <c r="B439" s="41">
        <f ca="1">DATEDIF(Employees!$F439,TODAY(),"Y")</f>
        <v>6</v>
      </c>
      <c r="C439" s="64">
        <v>1</v>
      </c>
      <c r="D439" s="56">
        <v>61</v>
      </c>
      <c r="E439" s="56">
        <v>999</v>
      </c>
      <c r="F439" s="56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440" spans="1:6" x14ac:dyDescent="0.35">
      <c r="A440" s="36" t="str">
        <f>_xlfn.TEXTJOIN(" ",TRUE,Employees_Data[[#This Row],[First Name]],Employees_Data[[#This Row],[Last Name]])</f>
        <v>Amir Alnuwnu</v>
      </c>
      <c r="B440" s="37">
        <f ca="1">DATEDIF(Employees!$F440,TODAY(),"Y")</f>
        <v>6</v>
      </c>
      <c r="C440" s="63">
        <v>3</v>
      </c>
      <c r="D440" s="54">
        <v>5</v>
      </c>
      <c r="E440" s="54">
        <v>2915</v>
      </c>
      <c r="F440" s="54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441" spans="1:6" x14ac:dyDescent="0.35">
      <c r="A441" s="40" t="str">
        <f>_xlfn.TEXTJOIN(" ",TRUE,Employees_Data[[#This Row],[First Name]],Employees_Data[[#This Row],[Last Name]])</f>
        <v>Salim Albarghali</v>
      </c>
      <c r="B441" s="41">
        <f ca="1">DATEDIF(Employees!$F441,TODAY(),"Y")</f>
        <v>6</v>
      </c>
      <c r="C441" s="64">
        <v>4.5</v>
      </c>
      <c r="D441" s="56">
        <v>7</v>
      </c>
      <c r="E441" s="56">
        <v>3158</v>
      </c>
      <c r="F441" s="56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442" spans="1:6" x14ac:dyDescent="0.35">
      <c r="A442" s="36" t="str">
        <f>_xlfn.TEXTJOIN(" ",TRUE,Employees_Data[[#This Row],[First Name]],Employees_Data[[#This Row],[Last Name]])</f>
        <v>Iin Murad</v>
      </c>
      <c r="B442" s="37">
        <f ca="1">DATEDIF(Employees!$F442,TODAY(),"Y")</f>
        <v>9</v>
      </c>
      <c r="C442" s="63">
        <v>5</v>
      </c>
      <c r="D442" s="54">
        <v>10</v>
      </c>
      <c r="E442" s="54">
        <v>711</v>
      </c>
      <c r="F442" s="54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443" spans="1:6" x14ac:dyDescent="0.35">
      <c r="A443" s="40" t="str">
        <f>_xlfn.TEXTJOIN(" ",TRUE,Employees_Data[[#This Row],[First Name]],Employees_Data[[#This Row],[Last Name]])</f>
        <v>Baha Aldiyn Marzuq</v>
      </c>
      <c r="B443" s="41">
        <f ca="1">DATEDIF(Employees!$F443,TODAY(),"Y")</f>
        <v>8</v>
      </c>
      <c r="C443" s="64">
        <v>5</v>
      </c>
      <c r="D443" s="56">
        <v>38</v>
      </c>
      <c r="E443" s="56">
        <v>899</v>
      </c>
      <c r="F443" s="56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444" spans="1:6" x14ac:dyDescent="0.35">
      <c r="A444" s="36" t="str">
        <f>_xlfn.TEXTJOIN(" ",TRUE,Employees_Data[[#This Row],[First Name]],Employees_Data[[#This Row],[Last Name]])</f>
        <v>Abd Alruhmin Hamj</v>
      </c>
      <c r="B444" s="37">
        <f ca="1">DATEDIF(Employees!$F444,TODAY(),"Y")</f>
        <v>6</v>
      </c>
      <c r="C444" s="63">
        <v>3</v>
      </c>
      <c r="D444" s="54">
        <v>6</v>
      </c>
      <c r="E444" s="54">
        <v>2571</v>
      </c>
      <c r="F444" s="54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445" spans="1:6" x14ac:dyDescent="0.35">
      <c r="A445" s="40" t="str">
        <f>_xlfn.TEXTJOIN(" ",TRUE,Employees_Data[[#This Row],[First Name]],Employees_Data[[#This Row],[Last Name]])</f>
        <v>Ahmad Bradey</v>
      </c>
      <c r="B445" s="41">
        <f ca="1">DATEDIF(Employees!$F445,TODAY(),"Y")</f>
        <v>8</v>
      </c>
      <c r="C445" s="64">
        <v>5</v>
      </c>
      <c r="D445" s="56">
        <v>8</v>
      </c>
      <c r="E445" s="56">
        <v>2437</v>
      </c>
      <c r="F445" s="56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446" spans="1:6" x14ac:dyDescent="0.35">
      <c r="A446" s="36" t="str">
        <f>_xlfn.TEXTJOIN(" ",TRUE,Employees_Data[[#This Row],[First Name]],Employees_Data[[#This Row],[Last Name]])</f>
        <v>Sabah Qadish</v>
      </c>
      <c r="B446" s="37">
        <f ca="1">DATEDIF(Employees!$F446,TODAY(),"Y")</f>
        <v>7</v>
      </c>
      <c r="C446" s="63">
        <v>5</v>
      </c>
      <c r="D446" s="54">
        <v>6</v>
      </c>
      <c r="E446" s="54">
        <v>2453</v>
      </c>
      <c r="F446" s="54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447" spans="1:6" x14ac:dyDescent="0.35">
      <c r="A447" s="40" t="str">
        <f>_xlfn.TEXTJOIN(" ",TRUE,Employees_Data[[#This Row],[First Name]],Employees_Data[[#This Row],[Last Name]])</f>
        <v>Asra Almisri</v>
      </c>
      <c r="B447" s="41">
        <f ca="1">DATEDIF(Employees!$F447,TODAY(),"Y")</f>
        <v>8</v>
      </c>
      <c r="C447" s="64">
        <v>5</v>
      </c>
      <c r="D447" s="56">
        <v>9</v>
      </c>
      <c r="E447" s="56">
        <v>1839</v>
      </c>
      <c r="F447" s="56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448" spans="1:6" x14ac:dyDescent="0.35">
      <c r="A448" s="36" t="str">
        <f>_xlfn.TEXTJOIN(" ",TRUE,Employees_Data[[#This Row],[First Name]],Employees_Data[[#This Row],[Last Name]])</f>
        <v>Faras Kawaara</v>
      </c>
      <c r="B448" s="37">
        <f ca="1">DATEDIF(Employees!$F448,TODAY(),"Y")</f>
        <v>9</v>
      </c>
      <c r="C448" s="63">
        <v>1</v>
      </c>
      <c r="D448" s="54">
        <v>7</v>
      </c>
      <c r="E448" s="54">
        <v>2306</v>
      </c>
      <c r="F448" s="54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449" spans="1:6" x14ac:dyDescent="0.35">
      <c r="A449" s="40" t="str">
        <f>_xlfn.TEXTJOIN(" ",TRUE,Employees_Data[[#This Row],[First Name]],Employees_Data[[#This Row],[Last Name]])</f>
        <v>Muhamad Abunfis</v>
      </c>
      <c r="B449" s="41">
        <f ca="1">DATEDIF(Employees!$F449,TODAY(),"Y")</f>
        <v>8</v>
      </c>
      <c r="C449" s="64">
        <v>1</v>
      </c>
      <c r="D449" s="56">
        <v>5</v>
      </c>
      <c r="E449" s="56">
        <v>970</v>
      </c>
      <c r="F449" s="56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450" spans="1:6" x14ac:dyDescent="0.35">
      <c r="A450" s="36" t="str">
        <f>_xlfn.TEXTJOIN(" ",TRUE,Employees_Data[[#This Row],[First Name]],Employees_Data[[#This Row],[Last Name]])</f>
        <v>Lawiy Shiah</v>
      </c>
      <c r="B450" s="37">
        <f ca="1">DATEDIF(Employees!$F450,TODAY(),"Y")</f>
        <v>8</v>
      </c>
      <c r="C450" s="63">
        <v>3</v>
      </c>
      <c r="D450" s="54">
        <v>5</v>
      </c>
      <c r="E450" s="54">
        <v>3140</v>
      </c>
      <c r="F450" s="54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451" spans="1:6" x14ac:dyDescent="0.35">
      <c r="A451" s="40" t="str">
        <f>_xlfn.TEXTJOIN(" ",TRUE,Employees_Data[[#This Row],[First Name]],Employees_Data[[#This Row],[Last Name]])</f>
        <v>Rama Alsaghir</v>
      </c>
      <c r="B451" s="41">
        <f ca="1">DATEDIF(Employees!$F451,TODAY(),"Y")</f>
        <v>9</v>
      </c>
      <c r="C451" s="64">
        <v>5</v>
      </c>
      <c r="D451" s="56">
        <v>6</v>
      </c>
      <c r="E451" s="56">
        <v>1176</v>
      </c>
      <c r="F451" s="56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452" spans="1:6" x14ac:dyDescent="0.35">
      <c r="A452" s="36" t="str">
        <f>_xlfn.TEXTJOIN(" ",TRUE,Employees_Data[[#This Row],[First Name]],Employees_Data[[#This Row],[Last Name]])</f>
        <v>Ahmad Qadimati</v>
      </c>
      <c r="B452" s="37">
        <f ca="1">DATEDIF(Employees!$F452,TODAY(),"Y")</f>
        <v>7</v>
      </c>
      <c r="C452" s="63">
        <v>5</v>
      </c>
      <c r="D452" s="54">
        <v>9</v>
      </c>
      <c r="E452" s="54">
        <v>2742</v>
      </c>
      <c r="F452" s="54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453" spans="1:6" x14ac:dyDescent="0.35">
      <c r="A453" s="40" t="str">
        <f>_xlfn.TEXTJOIN(" ",TRUE,Employees_Data[[#This Row],[First Name]],Employees_Data[[#This Row],[Last Name]])</f>
        <v>Qays Dahna</v>
      </c>
      <c r="B453" s="41">
        <f ca="1">DATEDIF(Employees!$F453,TODAY(),"Y")</f>
        <v>9</v>
      </c>
      <c r="C453" s="64">
        <v>3</v>
      </c>
      <c r="D453" s="56">
        <v>0</v>
      </c>
      <c r="E453" s="56">
        <v>734</v>
      </c>
      <c r="F453" s="56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454" spans="1:6" x14ac:dyDescent="0.35">
      <c r="A454" s="36" t="str">
        <f>_xlfn.TEXTJOIN(" ",TRUE,Employees_Data[[#This Row],[First Name]],Employees_Data[[#This Row],[Last Name]])</f>
        <v>Raja Eaziza</v>
      </c>
      <c r="B454" s="37">
        <f ca="1">DATEDIF(Employees!$F454,TODAY(),"Y")</f>
        <v>8</v>
      </c>
      <c r="C454" s="63">
        <v>3</v>
      </c>
      <c r="D454" s="54">
        <v>93</v>
      </c>
      <c r="E454" s="54">
        <v>894</v>
      </c>
      <c r="F454" s="54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Eligible</v>
      </c>
    </row>
    <row r="455" spans="1:6" x14ac:dyDescent="0.35">
      <c r="A455" s="40" t="str">
        <f>_xlfn.TEXTJOIN(" ",TRUE,Employees_Data[[#This Row],[First Name]],Employees_Data[[#This Row],[Last Name]])</f>
        <v>Emar Nakaash</v>
      </c>
      <c r="B455" s="41">
        <f ca="1">DATEDIF(Employees!$F455,TODAY(),"Y")</f>
        <v>5</v>
      </c>
      <c r="C455" s="64">
        <v>4.5</v>
      </c>
      <c r="D455" s="56">
        <v>4</v>
      </c>
      <c r="E455" s="56">
        <v>2640</v>
      </c>
      <c r="F455" s="56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456" spans="1:6" x14ac:dyDescent="0.35">
      <c r="A456" s="36" t="str">
        <f>_xlfn.TEXTJOIN(" ",TRUE,Employees_Data[[#This Row],[First Name]],Employees_Data[[#This Row],[Last Name]])</f>
        <v>Ranya Khuluf</v>
      </c>
      <c r="B456" s="37">
        <f ca="1">DATEDIF(Employees!$F456,TODAY(),"Y")</f>
        <v>7</v>
      </c>
      <c r="C456" s="63">
        <v>2</v>
      </c>
      <c r="D456" s="54">
        <v>14</v>
      </c>
      <c r="E456" s="54">
        <v>1059</v>
      </c>
      <c r="F456" s="54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457" spans="1:6" x14ac:dyDescent="0.35">
      <c r="A457" s="40" t="str">
        <f>_xlfn.TEXTJOIN(" ",TRUE,Employees_Data[[#This Row],[First Name]],Employees_Data[[#This Row],[Last Name]])</f>
        <v>Kinda Zaki</v>
      </c>
      <c r="B457" s="41">
        <f ca="1">DATEDIF(Employees!$F457,TODAY(),"Y")</f>
        <v>8</v>
      </c>
      <c r="C457" s="64">
        <v>3</v>
      </c>
      <c r="D457" s="56">
        <v>6</v>
      </c>
      <c r="E457" s="56">
        <v>3337</v>
      </c>
      <c r="F457" s="56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458" spans="1:6" x14ac:dyDescent="0.35">
      <c r="A458" s="36" t="str">
        <f>_xlfn.TEXTJOIN(" ",TRUE,Employees_Data[[#This Row],[First Name]],Employees_Data[[#This Row],[Last Name]])</f>
        <v>Muhamad Asamh Tubae</v>
      </c>
      <c r="B458" s="37">
        <f ca="1">DATEDIF(Employees!$F458,TODAY(),"Y")</f>
        <v>6</v>
      </c>
      <c r="C458" s="63">
        <v>3</v>
      </c>
      <c r="D458" s="54">
        <v>6</v>
      </c>
      <c r="E458" s="54">
        <v>3154</v>
      </c>
      <c r="F458" s="54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459" spans="1:6" x14ac:dyDescent="0.35">
      <c r="A459" s="40" t="str">
        <f>_xlfn.TEXTJOIN(" ",TRUE,Employees_Data[[#This Row],[First Name]],Employees_Data[[#This Row],[Last Name]])</f>
        <v>Ahmad Daeas</v>
      </c>
      <c r="B459" s="41">
        <f ca="1">DATEDIF(Employees!$F459,TODAY(),"Y")</f>
        <v>7</v>
      </c>
      <c r="C459" s="64">
        <v>3</v>
      </c>
      <c r="D459" s="56">
        <v>1</v>
      </c>
      <c r="E459" s="56">
        <v>1618</v>
      </c>
      <c r="F459" s="56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460" spans="1:6" x14ac:dyDescent="0.35">
      <c r="A460" s="36" t="str">
        <f>_xlfn.TEXTJOIN(" ",TRUE,Employees_Data[[#This Row],[First Name]],Employees_Data[[#This Row],[Last Name]])</f>
        <v>Muhamad Shadi Alkhiat</v>
      </c>
      <c r="B460" s="37">
        <f ca="1">DATEDIF(Employees!$F460,TODAY(),"Y")</f>
        <v>9</v>
      </c>
      <c r="C460" s="63">
        <v>5</v>
      </c>
      <c r="D460" s="54">
        <v>7</v>
      </c>
      <c r="E460" s="54">
        <v>1248</v>
      </c>
      <c r="F460" s="54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461" spans="1:6" x14ac:dyDescent="0.35">
      <c r="A461" s="40" t="str">
        <f>_xlfn.TEXTJOIN(" ",TRUE,Employees_Data[[#This Row],[First Name]],Employees_Data[[#This Row],[Last Name]])</f>
        <v>Omaimah Tqi Aldiyn</v>
      </c>
      <c r="B461" s="41">
        <f ca="1">DATEDIF(Employees!$F461,TODAY(),"Y")</f>
        <v>9</v>
      </c>
      <c r="C461" s="64">
        <v>3</v>
      </c>
      <c r="D461" s="56">
        <v>4</v>
      </c>
      <c r="E461" s="56">
        <v>1523</v>
      </c>
      <c r="F461" s="56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462" spans="1:6" x14ac:dyDescent="0.35">
      <c r="A462" s="36" t="str">
        <f>_xlfn.TEXTJOIN(" ",TRUE,Employees_Data[[#This Row],[First Name]],Employees_Data[[#This Row],[Last Name]])</f>
        <v>Tahani Yasir</v>
      </c>
      <c r="B462" s="37">
        <f ca="1">DATEDIF(Employees!$F462,TODAY(),"Y")</f>
        <v>7</v>
      </c>
      <c r="C462" s="63">
        <v>4.5</v>
      </c>
      <c r="D462" s="54">
        <v>9</v>
      </c>
      <c r="E462" s="54">
        <v>1275</v>
      </c>
      <c r="F462" s="54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463" spans="1:6" x14ac:dyDescent="0.35">
      <c r="A463" s="40" t="str">
        <f>_xlfn.TEXTJOIN(" ",TRUE,Employees_Data[[#This Row],[First Name]],Employees_Data[[#This Row],[Last Name]])</f>
        <v>Hasan Alfywmi</v>
      </c>
      <c r="B463" s="41">
        <f ca="1">DATEDIF(Employees!$F463,TODAY(),"Y")</f>
        <v>7</v>
      </c>
      <c r="C463" s="64">
        <v>3</v>
      </c>
      <c r="D463" s="56">
        <v>5</v>
      </c>
      <c r="E463" s="56">
        <v>1549</v>
      </c>
      <c r="F463" s="56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464" spans="1:6" x14ac:dyDescent="0.35">
      <c r="A464" s="36" t="str">
        <f>_xlfn.TEXTJOIN(" ",TRUE,Employees_Data[[#This Row],[First Name]],Employees_Data[[#This Row],[Last Name]])</f>
        <v>Zahir Zarie</v>
      </c>
      <c r="B464" s="37">
        <f ca="1">DATEDIF(Employees!$F464,TODAY(),"Y")</f>
        <v>7</v>
      </c>
      <c r="C464" s="63">
        <v>3</v>
      </c>
      <c r="D464" s="54">
        <v>1</v>
      </c>
      <c r="E464" s="54">
        <v>1786</v>
      </c>
      <c r="F464" s="54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465" spans="1:6" x14ac:dyDescent="0.35">
      <c r="A465" s="40" t="str">
        <f>_xlfn.TEXTJOIN(" ",TRUE,Employees_Data[[#This Row],[First Name]],Employees_Data[[#This Row],[Last Name]])</f>
        <v>Muhamad Eaqad</v>
      </c>
      <c r="B465" s="41">
        <f ca="1">DATEDIF(Employees!$F465,TODAY(),"Y")</f>
        <v>7</v>
      </c>
      <c r="C465" s="64">
        <v>1</v>
      </c>
      <c r="D465" s="56">
        <v>7</v>
      </c>
      <c r="E465" s="56">
        <v>1908</v>
      </c>
      <c r="F465" s="56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466" spans="1:6" x14ac:dyDescent="0.35">
      <c r="A466" s="36" t="str">
        <f>_xlfn.TEXTJOIN(" ",TRUE,Employees_Data[[#This Row],[First Name]],Employees_Data[[#This Row],[Last Name]])</f>
        <v>Ahmad Hamuwd</v>
      </c>
      <c r="B466" s="37">
        <f ca="1">DATEDIF(Employees!$F466,TODAY(),"Y")</f>
        <v>8</v>
      </c>
      <c r="C466" s="63">
        <v>5</v>
      </c>
      <c r="D466" s="54">
        <v>6</v>
      </c>
      <c r="E466" s="54">
        <v>2321</v>
      </c>
      <c r="F466" s="54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467" spans="1:6" x14ac:dyDescent="0.35">
      <c r="A467" s="40" t="str">
        <f>_xlfn.TEXTJOIN(" ",TRUE,Employees_Data[[#This Row],[First Name]],Employees_Data[[#This Row],[Last Name]])</f>
        <v>Ismaeil Jdwe</v>
      </c>
      <c r="B467" s="41">
        <f ca="1">DATEDIF(Employees!$F467,TODAY(),"Y")</f>
        <v>6</v>
      </c>
      <c r="C467" s="64">
        <v>1</v>
      </c>
      <c r="D467" s="56">
        <v>27</v>
      </c>
      <c r="E467" s="56">
        <v>899</v>
      </c>
      <c r="F467" s="56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468" spans="1:6" x14ac:dyDescent="0.35">
      <c r="A468" s="36" t="str">
        <f>_xlfn.TEXTJOIN(" ",TRUE,Employees_Data[[#This Row],[First Name]],Employees_Data[[#This Row],[Last Name]])</f>
        <v>Muhamad Saeid Alzarey</v>
      </c>
      <c r="B468" s="37">
        <f ca="1">DATEDIF(Employees!$F468,TODAY(),"Y")</f>
        <v>6</v>
      </c>
      <c r="C468" s="63">
        <v>5</v>
      </c>
      <c r="D468" s="54">
        <v>8</v>
      </c>
      <c r="E468" s="54">
        <v>1168</v>
      </c>
      <c r="F468" s="54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469" spans="1:6" x14ac:dyDescent="0.35">
      <c r="A469" s="40" t="str">
        <f>_xlfn.TEXTJOIN(" ",TRUE,Employees_Data[[#This Row],[First Name]],Employees_Data[[#This Row],[Last Name]])</f>
        <v>Bakr Eubdallah</v>
      </c>
      <c r="B469" s="41">
        <f ca="1">DATEDIF(Employees!$F469,TODAY(),"Y")</f>
        <v>8</v>
      </c>
      <c r="C469" s="64">
        <v>1</v>
      </c>
      <c r="D469" s="56">
        <v>2</v>
      </c>
      <c r="E469" s="56">
        <v>2169</v>
      </c>
      <c r="F469" s="56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470" spans="1:6" x14ac:dyDescent="0.35">
      <c r="A470" s="36" t="str">
        <f>_xlfn.TEXTJOIN(" ",TRUE,Employees_Data[[#This Row],[First Name]],Employees_Data[[#This Row],[Last Name]])</f>
        <v>Muhamad Basil</v>
      </c>
      <c r="B470" s="37">
        <f ca="1">DATEDIF(Employees!$F470,TODAY(),"Y")</f>
        <v>6</v>
      </c>
      <c r="C470" s="63">
        <v>4.5</v>
      </c>
      <c r="D470" s="54">
        <v>51</v>
      </c>
      <c r="E470" s="54">
        <v>2819</v>
      </c>
      <c r="F470" s="54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Eligible</v>
      </c>
    </row>
    <row r="471" spans="1:6" x14ac:dyDescent="0.35">
      <c r="A471" s="40" t="str">
        <f>_xlfn.TEXTJOIN(" ",TRUE,Employees_Data[[#This Row],[First Name]],Employees_Data[[#This Row],[Last Name]])</f>
        <v>Ahmad Alnajar</v>
      </c>
      <c r="B471" s="41">
        <f ca="1">DATEDIF(Employees!$F471,TODAY(),"Y")</f>
        <v>7</v>
      </c>
      <c r="C471" s="64">
        <v>3</v>
      </c>
      <c r="D471" s="56">
        <v>3</v>
      </c>
      <c r="E471" s="56">
        <v>847</v>
      </c>
      <c r="F471" s="56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472" spans="1:6" x14ac:dyDescent="0.35">
      <c r="A472" s="36" t="str">
        <f>_xlfn.TEXTJOIN(" ",TRUE,Employees_Data[[#This Row],[First Name]],Employees_Data[[#This Row],[Last Name]])</f>
        <v>Muhamad Alsaman</v>
      </c>
      <c r="B472" s="37">
        <f ca="1">DATEDIF(Employees!$F472,TODAY(),"Y")</f>
        <v>6</v>
      </c>
      <c r="C472" s="63">
        <v>2</v>
      </c>
      <c r="D472" s="54">
        <v>13</v>
      </c>
      <c r="E472" s="54">
        <v>2308</v>
      </c>
      <c r="F472" s="54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473" spans="1:6" x14ac:dyDescent="0.35">
      <c r="A473" s="40" t="str">
        <f>_xlfn.TEXTJOIN(" ",TRUE,Employees_Data[[#This Row],[First Name]],Employees_Data[[#This Row],[Last Name]])</f>
        <v>Lina Wayly</v>
      </c>
      <c r="B473" s="41">
        <f ca="1">DATEDIF(Employees!$F473,TODAY(),"Y")</f>
        <v>7</v>
      </c>
      <c r="C473" s="64">
        <v>4.5</v>
      </c>
      <c r="D473" s="56">
        <v>6</v>
      </c>
      <c r="E473" s="56">
        <v>1692</v>
      </c>
      <c r="F473" s="56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474" spans="1:6" x14ac:dyDescent="0.35">
      <c r="A474" s="36" t="str">
        <f>_xlfn.TEXTJOIN(" ",TRUE,Employees_Data[[#This Row],[First Name]],Employees_Data[[#This Row],[Last Name]])</f>
        <v>Raghid Hutayniun</v>
      </c>
      <c r="B474" s="37">
        <f ca="1">DATEDIF(Employees!$F474,TODAY(),"Y")</f>
        <v>8</v>
      </c>
      <c r="C474" s="63">
        <v>1</v>
      </c>
      <c r="D474" s="54">
        <v>4</v>
      </c>
      <c r="E474" s="54">
        <v>1372</v>
      </c>
      <c r="F474" s="54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475" spans="1:6" x14ac:dyDescent="0.35">
      <c r="A475" s="40" t="str">
        <f>_xlfn.TEXTJOIN(" ",TRUE,Employees_Data[[#This Row],[First Name]],Employees_Data[[#This Row],[Last Name]])</f>
        <v>Ruba Alsiraj</v>
      </c>
      <c r="B475" s="41">
        <f ca="1">DATEDIF(Employees!$F475,TODAY(),"Y")</f>
        <v>7</v>
      </c>
      <c r="C475" s="64">
        <v>3</v>
      </c>
      <c r="D475" s="56">
        <v>0</v>
      </c>
      <c r="E475" s="56">
        <v>2594</v>
      </c>
      <c r="F475" s="56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476" spans="1:6" x14ac:dyDescent="0.35">
      <c r="A476" s="36" t="str">
        <f>_xlfn.TEXTJOIN(" ",TRUE,Employees_Data[[#This Row],[First Name]],Employees_Data[[#This Row],[Last Name]])</f>
        <v>Adnan Allaadhiqanii</v>
      </c>
      <c r="B476" s="37">
        <f ca="1">DATEDIF(Employees!$F476,TODAY(),"Y")</f>
        <v>8</v>
      </c>
      <c r="C476" s="63">
        <v>5</v>
      </c>
      <c r="D476" s="54">
        <v>8</v>
      </c>
      <c r="E476" s="54">
        <v>1082</v>
      </c>
      <c r="F476" s="54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477" spans="1:6" x14ac:dyDescent="0.35">
      <c r="A477" s="40" t="str">
        <f>_xlfn.TEXTJOIN(" ",TRUE,Employees_Data[[#This Row],[First Name]],Employees_Data[[#This Row],[Last Name]])</f>
        <v>Muhamad Shaeban</v>
      </c>
      <c r="B477" s="41">
        <f ca="1">DATEDIF(Employees!$F477,TODAY(),"Y")</f>
        <v>7</v>
      </c>
      <c r="C477" s="64">
        <v>5</v>
      </c>
      <c r="D477" s="56">
        <v>43</v>
      </c>
      <c r="E477" s="56">
        <v>1929</v>
      </c>
      <c r="F477" s="56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478" spans="1:6" x14ac:dyDescent="0.35">
      <c r="A478" s="36" t="str">
        <f>_xlfn.TEXTJOIN(" ",TRUE,Employees_Data[[#This Row],[First Name]],Employees_Data[[#This Row],[Last Name]])</f>
        <v>Ghyath Abu</v>
      </c>
      <c r="B478" s="37">
        <f ca="1">DATEDIF(Employees!$F478,TODAY(),"Y")</f>
        <v>7</v>
      </c>
      <c r="C478" s="63">
        <v>3</v>
      </c>
      <c r="D478" s="54">
        <v>3</v>
      </c>
      <c r="E478" s="54">
        <v>1883</v>
      </c>
      <c r="F478" s="54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479" spans="1:6" x14ac:dyDescent="0.35">
      <c r="A479" s="40" t="str">
        <f>_xlfn.TEXTJOIN(" ",TRUE,Employees_Data[[#This Row],[First Name]],Employees_Data[[#This Row],[Last Name]])</f>
        <v>Basil Farahat</v>
      </c>
      <c r="B479" s="41">
        <f ca="1">DATEDIF(Employees!$F479,TODAY(),"Y")</f>
        <v>7</v>
      </c>
      <c r="C479" s="64">
        <v>3</v>
      </c>
      <c r="D479" s="56">
        <v>7</v>
      </c>
      <c r="E479" s="56">
        <v>874</v>
      </c>
      <c r="F479" s="56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480" spans="1:6" x14ac:dyDescent="0.35">
      <c r="A480" s="36" t="str">
        <f>_xlfn.TEXTJOIN(" ",TRUE,Employees_Data[[#This Row],[First Name]],Employees_Data[[#This Row],[Last Name]])</f>
        <v>Khalid Siriul</v>
      </c>
      <c r="B480" s="37">
        <f ca="1">DATEDIF(Employees!$F480,TODAY(),"Y")</f>
        <v>10</v>
      </c>
      <c r="C480" s="63">
        <v>3</v>
      </c>
      <c r="D480" s="54">
        <v>2</v>
      </c>
      <c r="E480" s="54">
        <v>2780</v>
      </c>
      <c r="F480" s="54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481" spans="1:6" x14ac:dyDescent="0.35">
      <c r="A481" s="40" t="str">
        <f>_xlfn.TEXTJOIN(" ",TRUE,Employees_Data[[#This Row],[First Name]],Employees_Data[[#This Row],[Last Name]])</f>
        <v>Salah Aldiyn Salayk</v>
      </c>
      <c r="B481" s="41">
        <f ca="1">DATEDIF(Employees!$F481,TODAY(),"Y")</f>
        <v>6</v>
      </c>
      <c r="C481" s="64">
        <v>2</v>
      </c>
      <c r="D481" s="56">
        <v>0</v>
      </c>
      <c r="E481" s="56">
        <v>1980</v>
      </c>
      <c r="F481" s="56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482" spans="1:6" x14ac:dyDescent="0.35">
      <c r="A482" s="36" t="str">
        <f>_xlfn.TEXTJOIN(" ",TRUE,Employees_Data[[#This Row],[First Name]],Employees_Data[[#This Row],[Last Name]])</f>
        <v>Bilal Einziin</v>
      </c>
      <c r="B482" s="37">
        <f ca="1">DATEDIF(Employees!$F482,TODAY(),"Y")</f>
        <v>6</v>
      </c>
      <c r="C482" s="63">
        <v>5</v>
      </c>
      <c r="D482" s="54">
        <v>9</v>
      </c>
      <c r="E482" s="54">
        <v>2611</v>
      </c>
      <c r="F482" s="54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483" spans="1:6" x14ac:dyDescent="0.35">
      <c r="A483" s="40" t="str">
        <f>_xlfn.TEXTJOIN(" ",TRUE,Employees_Data[[#This Row],[First Name]],Employees_Data[[#This Row],[Last Name]])</f>
        <v>Abdalrhmin Aljuju</v>
      </c>
      <c r="B483" s="41">
        <f ca="1">DATEDIF(Employees!$F483,TODAY(),"Y")</f>
        <v>8</v>
      </c>
      <c r="C483" s="64">
        <v>5</v>
      </c>
      <c r="D483" s="56">
        <v>1</v>
      </c>
      <c r="E483" s="56">
        <v>1881</v>
      </c>
      <c r="F483" s="56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484" spans="1:6" x14ac:dyDescent="0.35">
      <c r="A484" s="36" t="str">
        <f>_xlfn.TEXTJOIN(" ",TRUE,Employees_Data[[#This Row],[First Name]],Employees_Data[[#This Row],[Last Name]])</f>
        <v>Lawy Nadaf</v>
      </c>
      <c r="B484" s="37">
        <f ca="1">DATEDIF(Employees!$F484,TODAY(),"Y")</f>
        <v>10</v>
      </c>
      <c r="C484" s="63">
        <v>5</v>
      </c>
      <c r="D484" s="54">
        <v>6</v>
      </c>
      <c r="E484" s="54">
        <v>1517</v>
      </c>
      <c r="F484" s="54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485" spans="1:6" x14ac:dyDescent="0.35">
      <c r="A485" s="40" t="str">
        <f>_xlfn.TEXTJOIN(" ",TRUE,Employees_Data[[#This Row],[First Name]],Employees_Data[[#This Row],[Last Name]])</f>
        <v>Ali Muhamad</v>
      </c>
      <c r="B485" s="41">
        <f ca="1">DATEDIF(Employees!$F485,TODAY(),"Y")</f>
        <v>6</v>
      </c>
      <c r="C485" s="64">
        <v>4.5</v>
      </c>
      <c r="D485" s="56">
        <v>10</v>
      </c>
      <c r="E485" s="56">
        <v>1459</v>
      </c>
      <c r="F485" s="56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486" spans="1:6" x14ac:dyDescent="0.35">
      <c r="A486" s="36" t="str">
        <f>_xlfn.TEXTJOIN(" ",TRUE,Employees_Data[[#This Row],[First Name]],Employees_Data[[#This Row],[Last Name]])</f>
        <v>Mahir Bikar</v>
      </c>
      <c r="B486" s="37">
        <f ca="1">DATEDIF(Employees!$F486,TODAY(),"Y")</f>
        <v>7</v>
      </c>
      <c r="C486" s="63">
        <v>3</v>
      </c>
      <c r="D486" s="54">
        <v>0</v>
      </c>
      <c r="E486" s="54">
        <v>2383</v>
      </c>
      <c r="F486" s="54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487" spans="1:6" x14ac:dyDescent="0.35">
      <c r="A487" s="40" t="str">
        <f>_xlfn.TEXTJOIN(" ",TRUE,Employees_Data[[#This Row],[First Name]],Employees_Data[[#This Row],[Last Name]])</f>
        <v>Iad Alhusayn</v>
      </c>
      <c r="B487" s="41">
        <f ca="1">DATEDIF(Employees!$F487,TODAY(),"Y")</f>
        <v>8</v>
      </c>
      <c r="C487" s="64">
        <v>5</v>
      </c>
      <c r="D487" s="56">
        <v>7</v>
      </c>
      <c r="E487" s="56">
        <v>1420</v>
      </c>
      <c r="F487" s="56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488" spans="1:6" x14ac:dyDescent="0.35">
      <c r="A488" s="36" t="str">
        <f>_xlfn.TEXTJOIN(" ",TRUE,Employees_Data[[#This Row],[First Name]],Employees_Data[[#This Row],[Last Name]])</f>
        <v>Husam Ziada</v>
      </c>
      <c r="B488" s="37">
        <f ca="1">DATEDIF(Employees!$F488,TODAY(),"Y")</f>
        <v>8</v>
      </c>
      <c r="C488" s="63">
        <v>4.5</v>
      </c>
      <c r="D488" s="54">
        <v>14</v>
      </c>
      <c r="E488" s="54">
        <v>1382</v>
      </c>
      <c r="F488" s="54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489" spans="1:6" x14ac:dyDescent="0.35">
      <c r="A489" s="40" t="str">
        <f>_xlfn.TEXTJOIN(" ",TRUE,Employees_Data[[#This Row],[First Name]],Employees_Data[[#This Row],[Last Name]])</f>
        <v>Ahmad Eashur</v>
      </c>
      <c r="B489" s="41">
        <f ca="1">DATEDIF(Employees!$F489,TODAY(),"Y")</f>
        <v>6</v>
      </c>
      <c r="C489" s="64">
        <v>5</v>
      </c>
      <c r="D489" s="56">
        <v>1</v>
      </c>
      <c r="E489" s="56">
        <v>1920</v>
      </c>
      <c r="F489" s="56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490" spans="1:6" x14ac:dyDescent="0.35">
      <c r="A490" s="36" t="str">
        <f>_xlfn.TEXTJOIN(" ",TRUE,Employees_Data[[#This Row],[First Name]],Employees_Data[[#This Row],[Last Name]])</f>
        <v>Ahmad Naqawuh</v>
      </c>
      <c r="B490" s="37">
        <f ca="1">DATEDIF(Employees!$F490,TODAY(),"Y")</f>
        <v>6</v>
      </c>
      <c r="C490" s="63">
        <v>4.5</v>
      </c>
      <c r="D490" s="54">
        <v>92</v>
      </c>
      <c r="E490" s="54">
        <v>1202</v>
      </c>
      <c r="F490" s="54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Eligible</v>
      </c>
    </row>
    <row r="491" spans="1:6" x14ac:dyDescent="0.35">
      <c r="A491" s="40" t="str">
        <f>_xlfn.TEXTJOIN(" ",TRUE,Employees_Data[[#This Row],[First Name]],Employees_Data[[#This Row],[Last Name]])</f>
        <v>Tamadur Barghuth</v>
      </c>
      <c r="B491" s="41">
        <f ca="1">DATEDIF(Employees!$F491,TODAY(),"Y")</f>
        <v>8</v>
      </c>
      <c r="C491" s="64">
        <v>5</v>
      </c>
      <c r="D491" s="56">
        <v>7</v>
      </c>
      <c r="E491" s="56">
        <v>1158</v>
      </c>
      <c r="F491" s="56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492" spans="1:6" x14ac:dyDescent="0.35">
      <c r="A492" s="36" t="str">
        <f>_xlfn.TEXTJOIN(" ",TRUE,Employees_Data[[#This Row],[First Name]],Employees_Data[[#This Row],[Last Name]])</f>
        <v>Diea Jazar</v>
      </c>
      <c r="B492" s="37">
        <f ca="1">DATEDIF(Employees!$F492,TODAY(),"Y")</f>
        <v>6</v>
      </c>
      <c r="C492" s="63">
        <v>3</v>
      </c>
      <c r="D492" s="54">
        <v>7</v>
      </c>
      <c r="E492" s="54">
        <v>1447</v>
      </c>
      <c r="F492" s="54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493" spans="1:6" x14ac:dyDescent="0.35">
      <c r="A493" s="40" t="str">
        <f>_xlfn.TEXTJOIN(" ",TRUE,Employees_Data[[#This Row],[First Name]],Employees_Data[[#This Row],[Last Name]])</f>
        <v>Bashshar Mareiun</v>
      </c>
      <c r="B493" s="41">
        <f ca="1">DATEDIF(Employees!$F493,TODAY(),"Y")</f>
        <v>7</v>
      </c>
      <c r="C493" s="64">
        <v>3</v>
      </c>
      <c r="D493" s="56">
        <v>95</v>
      </c>
      <c r="E493" s="56">
        <v>1598</v>
      </c>
      <c r="F493" s="56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Eligible</v>
      </c>
    </row>
    <row r="494" spans="1:6" x14ac:dyDescent="0.35">
      <c r="A494" s="36" t="str">
        <f>_xlfn.TEXTJOIN(" ",TRUE,Employees_Data[[#This Row],[First Name]],Employees_Data[[#This Row],[Last Name]])</f>
        <v>Abdaleziz Eiwad</v>
      </c>
      <c r="B494" s="37">
        <f ca="1">DATEDIF(Employees!$F494,TODAY(),"Y")</f>
        <v>6</v>
      </c>
      <c r="C494" s="63">
        <v>5</v>
      </c>
      <c r="D494" s="54">
        <v>11</v>
      </c>
      <c r="E494" s="54">
        <v>1714</v>
      </c>
      <c r="F494" s="54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495" spans="1:6" x14ac:dyDescent="0.35">
      <c r="A495" s="40" t="str">
        <f>_xlfn.TEXTJOIN(" ",TRUE,Employees_Data[[#This Row],[First Name]],Employees_Data[[#This Row],[Last Name]])</f>
        <v>Amir Alkhawam</v>
      </c>
      <c r="B495" s="41">
        <f ca="1">DATEDIF(Employees!$F495,TODAY(),"Y")</f>
        <v>8</v>
      </c>
      <c r="C495" s="64">
        <v>4.5</v>
      </c>
      <c r="D495" s="56">
        <v>4</v>
      </c>
      <c r="E495" s="56">
        <v>2994</v>
      </c>
      <c r="F495" s="56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496" spans="1:6" x14ac:dyDescent="0.35">
      <c r="A496" s="36" t="str">
        <f>_xlfn.TEXTJOIN(" ",TRUE,Employees_Data[[#This Row],[First Name]],Employees_Data[[#This Row],[Last Name]])</f>
        <v>Alia Maseud</v>
      </c>
      <c r="B496" s="37">
        <f ca="1">DATEDIF(Employees!$F496,TODAY(),"Y")</f>
        <v>6</v>
      </c>
      <c r="C496" s="63">
        <v>4.5</v>
      </c>
      <c r="D496" s="54">
        <v>6</v>
      </c>
      <c r="E496" s="54">
        <v>2125</v>
      </c>
      <c r="F496" s="54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497" spans="1:6" x14ac:dyDescent="0.35">
      <c r="A497" s="40" t="str">
        <f>_xlfn.TEXTJOIN(" ",TRUE,Employees_Data[[#This Row],[First Name]],Employees_Data[[#This Row],[Last Name]])</f>
        <v>Asra Abuhani</v>
      </c>
      <c r="B497" s="41">
        <f ca="1">DATEDIF(Employees!$F497,TODAY(),"Y")</f>
        <v>7</v>
      </c>
      <c r="C497" s="64">
        <v>4.5</v>
      </c>
      <c r="D497" s="56">
        <v>9</v>
      </c>
      <c r="E497" s="56">
        <v>3059</v>
      </c>
      <c r="F497" s="56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498" spans="1:6" x14ac:dyDescent="0.35">
      <c r="A498" s="36" t="str">
        <f>_xlfn.TEXTJOIN(" ",TRUE,Employees_Data[[#This Row],[First Name]],Employees_Data[[#This Row],[Last Name]])</f>
        <v>Ahmad Alshamy</v>
      </c>
      <c r="B498" s="37">
        <f ca="1">DATEDIF(Employees!$F498,TODAY(),"Y")</f>
        <v>7</v>
      </c>
      <c r="C498" s="63">
        <v>5</v>
      </c>
      <c r="D498" s="54">
        <v>4</v>
      </c>
      <c r="E498" s="54">
        <v>2077</v>
      </c>
      <c r="F498" s="54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499" spans="1:6" x14ac:dyDescent="0.35">
      <c r="A499" s="40" t="str">
        <f>_xlfn.TEXTJOIN(" ",TRUE,Employees_Data[[#This Row],[First Name]],Employees_Data[[#This Row],[Last Name]])</f>
        <v>Baha Eusqul</v>
      </c>
      <c r="B499" s="41">
        <f ca="1">DATEDIF(Employees!$F499,TODAY(),"Y")</f>
        <v>8</v>
      </c>
      <c r="C499" s="64">
        <v>4.5</v>
      </c>
      <c r="D499" s="56">
        <v>10</v>
      </c>
      <c r="E499" s="56">
        <v>1962</v>
      </c>
      <c r="F499" s="56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500" spans="1:6" x14ac:dyDescent="0.35">
      <c r="A500" s="36" t="str">
        <f>_xlfn.TEXTJOIN(" ",TRUE,Employees_Data[[#This Row],[First Name]],Employees_Data[[#This Row],[Last Name]])</f>
        <v>Muhamad Hylmyh</v>
      </c>
      <c r="B500" s="37">
        <f ca="1">DATEDIF(Employees!$F500,TODAY(),"Y")</f>
        <v>7</v>
      </c>
      <c r="C500" s="63">
        <v>3</v>
      </c>
      <c r="D500" s="54">
        <v>2</v>
      </c>
      <c r="E500" s="54">
        <v>1573</v>
      </c>
      <c r="F500" s="54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501" spans="1:6" x14ac:dyDescent="0.35">
      <c r="A501" s="40" t="str">
        <f>_xlfn.TEXTJOIN(" ",TRUE,Employees_Data[[#This Row],[First Name]],Employees_Data[[#This Row],[Last Name]])</f>
        <v>Khadijah Turkamani</v>
      </c>
      <c r="B501" s="41">
        <f ca="1">DATEDIF(Employees!$F501,TODAY(),"Y")</f>
        <v>7</v>
      </c>
      <c r="C501" s="64">
        <v>5</v>
      </c>
      <c r="D501" s="56">
        <v>8</v>
      </c>
      <c r="E501" s="56">
        <v>882</v>
      </c>
      <c r="F501" s="56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502" spans="1:6" x14ac:dyDescent="0.35">
      <c r="A502" s="36" t="str">
        <f>_xlfn.TEXTJOIN(" ",TRUE,Employees_Data[[#This Row],[First Name]],Employees_Data[[#This Row],[Last Name]])</f>
        <v>Asra Jameah</v>
      </c>
      <c r="B502" s="37">
        <f ca="1">DATEDIF(Employees!$F502,TODAY(),"Y")</f>
        <v>8</v>
      </c>
      <c r="C502" s="63">
        <v>5</v>
      </c>
      <c r="D502" s="54">
        <v>2</v>
      </c>
      <c r="E502" s="54">
        <v>1036</v>
      </c>
      <c r="F502" s="54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503" spans="1:6" x14ac:dyDescent="0.35">
      <c r="A503" s="40" t="str">
        <f>_xlfn.TEXTJOIN(" ",TRUE,Employees_Data[[#This Row],[First Name]],Employees_Data[[#This Row],[Last Name]])</f>
        <v>Akram Alhulwanii</v>
      </c>
      <c r="B503" s="41">
        <f ca="1">DATEDIF(Employees!$F503,TODAY(),"Y")</f>
        <v>10</v>
      </c>
      <c r="C503" s="64">
        <v>1</v>
      </c>
      <c r="D503" s="56">
        <v>8</v>
      </c>
      <c r="E503" s="56">
        <v>2790</v>
      </c>
      <c r="F503" s="56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504" spans="1:6" x14ac:dyDescent="0.35">
      <c r="A504" s="36" t="str">
        <f>_xlfn.TEXTJOIN(" ",TRUE,Employees_Data[[#This Row],[First Name]],Employees_Data[[#This Row],[Last Name]])</f>
        <v>Samir Almisri</v>
      </c>
      <c r="B504" s="37">
        <f ca="1">DATEDIF(Employees!$F504,TODAY(),"Y")</f>
        <v>7</v>
      </c>
      <c r="C504" s="63">
        <v>4.5</v>
      </c>
      <c r="D504" s="54">
        <v>8</v>
      </c>
      <c r="E504" s="54">
        <v>1951</v>
      </c>
      <c r="F504" s="54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505" spans="1:6" x14ac:dyDescent="0.35">
      <c r="A505" s="40" t="str">
        <f>_xlfn.TEXTJOIN(" ",TRUE,Employees_Data[[#This Row],[First Name]],Employees_Data[[#This Row],[Last Name]])</f>
        <v>Ahmad Iidris</v>
      </c>
      <c r="B505" s="41">
        <f ca="1">DATEDIF(Employees!$F505,TODAY(),"Y")</f>
        <v>8</v>
      </c>
      <c r="C505" s="64">
        <v>5</v>
      </c>
      <c r="D505" s="56">
        <v>10</v>
      </c>
      <c r="E505" s="56">
        <v>2255</v>
      </c>
      <c r="F505" s="56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506" spans="1:6" x14ac:dyDescent="0.35">
      <c r="A506" s="36" t="str">
        <f>_xlfn.TEXTJOIN(" ",TRUE,Employees_Data[[#This Row],[First Name]],Employees_Data[[#This Row],[Last Name]])</f>
        <v>Khawla Dawi</v>
      </c>
      <c r="B506" s="37">
        <f ca="1">DATEDIF(Employees!$F506,TODAY(),"Y")</f>
        <v>9</v>
      </c>
      <c r="C506" s="63">
        <v>3</v>
      </c>
      <c r="D506" s="54">
        <v>0</v>
      </c>
      <c r="E506" s="54">
        <v>3388</v>
      </c>
      <c r="F506" s="54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507" spans="1:6" x14ac:dyDescent="0.35">
      <c r="A507" s="40" t="str">
        <f>_xlfn.TEXTJOIN(" ",TRUE,Employees_Data[[#This Row],[First Name]],Employees_Data[[#This Row],[Last Name]])</f>
        <v>Rayid Zazana</v>
      </c>
      <c r="B507" s="41">
        <f ca="1">DATEDIF(Employees!$F507,TODAY(),"Y")</f>
        <v>6</v>
      </c>
      <c r="C507" s="64">
        <v>2</v>
      </c>
      <c r="D507" s="56">
        <v>9</v>
      </c>
      <c r="E507" s="56">
        <v>707</v>
      </c>
      <c r="F507" s="56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508" spans="1:6" x14ac:dyDescent="0.35">
      <c r="A508" s="36" t="str">
        <f>_xlfn.TEXTJOIN(" ",TRUE,Employees_Data[[#This Row],[First Name]],Employees_Data[[#This Row],[Last Name]])</f>
        <v>Razan Iybw</v>
      </c>
      <c r="B508" s="37">
        <f ca="1">DATEDIF(Employees!$F508,TODAY(),"Y")</f>
        <v>6</v>
      </c>
      <c r="C508" s="63">
        <v>5</v>
      </c>
      <c r="D508" s="54">
        <v>9</v>
      </c>
      <c r="E508" s="54">
        <v>1161</v>
      </c>
      <c r="F508" s="54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509" spans="1:6" x14ac:dyDescent="0.35">
      <c r="A509" s="40" t="str">
        <f>_xlfn.TEXTJOIN(" ",TRUE,Employees_Data[[#This Row],[First Name]],Employees_Data[[#This Row],[Last Name]])</f>
        <v>Jamil Ghabur</v>
      </c>
      <c r="B509" s="41">
        <f ca="1">DATEDIF(Employees!$F509,TODAY(),"Y")</f>
        <v>7</v>
      </c>
      <c r="C509" s="64">
        <v>5</v>
      </c>
      <c r="D509" s="56">
        <v>9</v>
      </c>
      <c r="E509" s="56">
        <v>1165</v>
      </c>
      <c r="F509" s="56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510" spans="1:6" x14ac:dyDescent="0.35">
      <c r="A510" s="36" t="str">
        <f>_xlfn.TEXTJOIN(" ",TRUE,Employees_Data[[#This Row],[First Name]],Employees_Data[[#This Row],[Last Name]])</f>
        <v>Alaa Sultan</v>
      </c>
      <c r="B510" s="37">
        <f ca="1">DATEDIF(Employees!$F510,TODAY(),"Y")</f>
        <v>7</v>
      </c>
      <c r="C510" s="63">
        <v>5</v>
      </c>
      <c r="D510" s="54">
        <v>7</v>
      </c>
      <c r="E510" s="54">
        <v>1351</v>
      </c>
      <c r="F510" s="54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511" spans="1:6" x14ac:dyDescent="0.35">
      <c r="A511" s="40" t="str">
        <f>_xlfn.TEXTJOIN(" ",TRUE,Employees_Data[[#This Row],[First Name]],Employees_Data[[#This Row],[Last Name]])</f>
        <v>Sultan Taysir</v>
      </c>
      <c r="B511" s="41">
        <f ca="1">DATEDIF(Employees!$F511,TODAY(),"Y")</f>
        <v>10</v>
      </c>
      <c r="C511" s="64">
        <v>3</v>
      </c>
      <c r="D511" s="56">
        <v>7</v>
      </c>
      <c r="E511" s="56">
        <v>1406</v>
      </c>
      <c r="F511" s="56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512" spans="1:6" x14ac:dyDescent="0.35">
      <c r="A512" s="36" t="str">
        <f>_xlfn.TEXTJOIN(" ",TRUE,Employees_Data[[#This Row],[First Name]],Employees_Data[[#This Row],[Last Name]])</f>
        <v>Hanan Kurdiun</v>
      </c>
      <c r="B512" s="37">
        <f ca="1">DATEDIF(Employees!$F512,TODAY(),"Y")</f>
        <v>7</v>
      </c>
      <c r="C512" s="63">
        <v>5</v>
      </c>
      <c r="D512" s="54">
        <v>5</v>
      </c>
      <c r="E512" s="54">
        <v>1699</v>
      </c>
      <c r="F512" s="54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513" spans="1:6" x14ac:dyDescent="0.35">
      <c r="A513" s="40" t="str">
        <f>_xlfn.TEXTJOIN(" ",TRUE,Employees_Data[[#This Row],[First Name]],Employees_Data[[#This Row],[Last Name]])</f>
        <v>Basil Salih</v>
      </c>
      <c r="B513" s="41">
        <f ca="1">DATEDIF(Employees!$F513,TODAY(),"Y")</f>
        <v>8</v>
      </c>
      <c r="C513" s="64">
        <v>5</v>
      </c>
      <c r="D513" s="56">
        <v>11</v>
      </c>
      <c r="E513" s="56">
        <v>3007</v>
      </c>
      <c r="F513" s="56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514" spans="1:6" x14ac:dyDescent="0.35">
      <c r="A514" s="36" t="str">
        <f>_xlfn.TEXTJOIN(" ",TRUE,Employees_Data[[#This Row],[First Name]],Employees_Data[[#This Row],[Last Name]])</f>
        <v>Rita Dib</v>
      </c>
      <c r="B514" s="37">
        <f ca="1">DATEDIF(Employees!$F514,TODAY(),"Y")</f>
        <v>6</v>
      </c>
      <c r="C514" s="63">
        <v>3</v>
      </c>
      <c r="D514" s="54">
        <v>1</v>
      </c>
      <c r="E514" s="54">
        <v>879</v>
      </c>
      <c r="F514" s="54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515" spans="1:6" x14ac:dyDescent="0.35">
      <c r="A515" s="40" t="str">
        <f>_xlfn.TEXTJOIN(" ",TRUE,Employees_Data[[#This Row],[First Name]],Employees_Data[[#This Row],[Last Name]])</f>
        <v>Muhamad Alghush</v>
      </c>
      <c r="B515" s="41">
        <f ca="1">DATEDIF(Employees!$F515,TODAY(),"Y")</f>
        <v>7</v>
      </c>
      <c r="C515" s="64">
        <v>2</v>
      </c>
      <c r="D515" s="56">
        <v>3</v>
      </c>
      <c r="E515" s="56">
        <v>2537</v>
      </c>
      <c r="F515" s="56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516" spans="1:6" x14ac:dyDescent="0.35">
      <c r="A516" s="36" t="str">
        <f>_xlfn.TEXTJOIN(" ",TRUE,Employees_Data[[#This Row],[First Name]],Employees_Data[[#This Row],[Last Name]])</f>
        <v>Muhamad Iismaeil</v>
      </c>
      <c r="B516" s="37">
        <f ca="1">DATEDIF(Employees!$F516,TODAY(),"Y")</f>
        <v>5</v>
      </c>
      <c r="C516" s="63">
        <v>3</v>
      </c>
      <c r="D516" s="54">
        <v>2</v>
      </c>
      <c r="E516" s="54">
        <v>2663</v>
      </c>
      <c r="F516" s="54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517" spans="1:6" x14ac:dyDescent="0.35">
      <c r="A517" s="40" t="str">
        <f>_xlfn.TEXTJOIN(" ",TRUE,Employees_Data[[#This Row],[First Name]],Employees_Data[[#This Row],[Last Name]])</f>
        <v>Khaldun Alsaedi</v>
      </c>
      <c r="B517" s="41">
        <f ca="1">DATEDIF(Employees!$F517,TODAY(),"Y")</f>
        <v>6</v>
      </c>
      <c r="C517" s="64">
        <v>4.5</v>
      </c>
      <c r="D517" s="56">
        <v>2</v>
      </c>
      <c r="E517" s="56">
        <v>2494</v>
      </c>
      <c r="F517" s="56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518" spans="1:6" x14ac:dyDescent="0.35">
      <c r="A518" s="36" t="str">
        <f>_xlfn.TEXTJOIN(" ",TRUE,Employees_Data[[#This Row],[First Name]],Employees_Data[[#This Row],[Last Name]])</f>
        <v>Ghaliah Eibad</v>
      </c>
      <c r="B518" s="37">
        <f ca="1">DATEDIF(Employees!$F518,TODAY(),"Y")</f>
        <v>6</v>
      </c>
      <c r="C518" s="63">
        <v>5</v>
      </c>
      <c r="D518" s="54">
        <v>7</v>
      </c>
      <c r="E518" s="54">
        <v>2585</v>
      </c>
      <c r="F518" s="54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519" spans="1:6" x14ac:dyDescent="0.35">
      <c r="A519" s="40" t="str">
        <f>_xlfn.TEXTJOIN(" ",TRUE,Employees_Data[[#This Row],[First Name]],Employees_Data[[#This Row],[Last Name]])</f>
        <v>Muhamad Alsaedi</v>
      </c>
      <c r="B519" s="41">
        <f ca="1">DATEDIF(Employees!$F519,TODAY(),"Y")</f>
        <v>6</v>
      </c>
      <c r="C519" s="64">
        <v>2</v>
      </c>
      <c r="D519" s="56">
        <v>0</v>
      </c>
      <c r="E519" s="56">
        <v>1776</v>
      </c>
      <c r="F519" s="56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520" spans="1:6" x14ac:dyDescent="0.35">
      <c r="A520" s="36" t="str">
        <f>_xlfn.TEXTJOIN(" ",TRUE,Employees_Data[[#This Row],[First Name]],Employees_Data[[#This Row],[Last Name]])</f>
        <v>Eala Zaniqa</v>
      </c>
      <c r="B520" s="37">
        <f ca="1">DATEDIF(Employees!$F520,TODAY(),"Y")</f>
        <v>9</v>
      </c>
      <c r="C520" s="63">
        <v>3</v>
      </c>
      <c r="D520" s="54">
        <v>9</v>
      </c>
      <c r="E520" s="54">
        <v>3055</v>
      </c>
      <c r="F520" s="54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521" spans="1:6" x14ac:dyDescent="0.35">
      <c r="A521" s="40" t="str">
        <f>_xlfn.TEXTJOIN(" ",TRUE,Employees_Data[[#This Row],[First Name]],Employees_Data[[#This Row],[Last Name]])</f>
        <v>Ayham Sharfah</v>
      </c>
      <c r="B521" s="41">
        <f ca="1">DATEDIF(Employees!$F521,TODAY(),"Y")</f>
        <v>8</v>
      </c>
      <c r="C521" s="64">
        <v>3</v>
      </c>
      <c r="D521" s="56">
        <v>4</v>
      </c>
      <c r="E521" s="56">
        <v>1707</v>
      </c>
      <c r="F521" s="56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522" spans="1:6" x14ac:dyDescent="0.35">
      <c r="A522" s="36" t="str">
        <f>_xlfn.TEXTJOIN(" ",TRUE,Employees_Data[[#This Row],[First Name]],Employees_Data[[#This Row],[Last Name]])</f>
        <v>Ahmad Kazeur</v>
      </c>
      <c r="B522" s="37">
        <f ca="1">DATEDIF(Employees!$F522,TODAY(),"Y")</f>
        <v>7</v>
      </c>
      <c r="C522" s="63">
        <v>3</v>
      </c>
      <c r="D522" s="54">
        <v>7</v>
      </c>
      <c r="E522" s="54">
        <v>2719</v>
      </c>
      <c r="F522" s="54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523" spans="1:6" x14ac:dyDescent="0.35">
      <c r="A523" s="40" t="str">
        <f>_xlfn.TEXTJOIN(" ",TRUE,Employees_Data[[#This Row],[First Name]],Employees_Data[[#This Row],[Last Name]])</f>
        <v>Mujdi Kiwan</v>
      </c>
      <c r="B523" s="41">
        <f ca="1">DATEDIF(Employees!$F523,TODAY(),"Y")</f>
        <v>5</v>
      </c>
      <c r="C523" s="64">
        <v>3</v>
      </c>
      <c r="D523" s="56">
        <v>10</v>
      </c>
      <c r="E523" s="56">
        <v>1715</v>
      </c>
      <c r="F523" s="56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524" spans="1:6" x14ac:dyDescent="0.35">
      <c r="A524" s="36" t="str">
        <f>_xlfn.TEXTJOIN(" ",TRUE,Employees_Data[[#This Row],[First Name]],Employees_Data[[#This Row],[Last Name]])</f>
        <v>Muhamad Altynawi</v>
      </c>
      <c r="B524" s="37">
        <f ca="1">DATEDIF(Employees!$F524,TODAY(),"Y")</f>
        <v>7</v>
      </c>
      <c r="C524" s="63">
        <v>2</v>
      </c>
      <c r="D524" s="54">
        <v>1</v>
      </c>
      <c r="E524" s="54">
        <v>2181</v>
      </c>
      <c r="F524" s="54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525" spans="1:6" x14ac:dyDescent="0.35">
      <c r="A525" s="40" t="str">
        <f>_xlfn.TEXTJOIN(" ",TRUE,Employees_Data[[#This Row],[First Name]],Employees_Data[[#This Row],[Last Name]])</f>
        <v>Lama Alhasan</v>
      </c>
      <c r="B525" s="41">
        <f ca="1">DATEDIF(Employees!$F525,TODAY(),"Y")</f>
        <v>8</v>
      </c>
      <c r="C525" s="64">
        <v>5</v>
      </c>
      <c r="D525" s="56">
        <v>8</v>
      </c>
      <c r="E525" s="56">
        <v>1382</v>
      </c>
      <c r="F525" s="56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526" spans="1:6" x14ac:dyDescent="0.35">
      <c r="A526" s="36" t="str">
        <f>_xlfn.TEXTJOIN(" ",TRUE,Employees_Data[[#This Row],[First Name]],Employees_Data[[#This Row],[Last Name]])</f>
        <v>Lama Almisri</v>
      </c>
      <c r="B526" s="37">
        <f ca="1">DATEDIF(Employees!$F526,TODAY(),"Y")</f>
        <v>6</v>
      </c>
      <c r="C526" s="63">
        <v>2</v>
      </c>
      <c r="D526" s="54">
        <v>8</v>
      </c>
      <c r="E526" s="54">
        <v>3350</v>
      </c>
      <c r="F526" s="54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527" spans="1:6" x14ac:dyDescent="0.35">
      <c r="A527" s="40" t="str">
        <f>_xlfn.TEXTJOIN(" ",TRUE,Employees_Data[[#This Row],[First Name]],Employees_Data[[#This Row],[Last Name]])</f>
        <v>Thayir Hamuwda</v>
      </c>
      <c r="B527" s="41">
        <f ca="1">DATEDIF(Employees!$F527,TODAY(),"Y")</f>
        <v>6</v>
      </c>
      <c r="C527" s="64">
        <v>5</v>
      </c>
      <c r="D527" s="56">
        <v>9</v>
      </c>
      <c r="E527" s="56">
        <v>1710</v>
      </c>
      <c r="F527" s="56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528" spans="1:6" x14ac:dyDescent="0.35">
      <c r="A528" s="36" t="str">
        <f>_xlfn.TEXTJOIN(" ",TRUE,Employees_Data[[#This Row],[First Name]],Employees_Data[[#This Row],[Last Name]])</f>
        <v>Abdallah Zakariaa</v>
      </c>
      <c r="B528" s="37">
        <f ca="1">DATEDIF(Employees!$F528,TODAY(),"Y")</f>
        <v>7</v>
      </c>
      <c r="C528" s="63">
        <v>1</v>
      </c>
      <c r="D528" s="54">
        <v>3</v>
      </c>
      <c r="E528" s="54">
        <v>2785</v>
      </c>
      <c r="F528" s="54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529" spans="1:6" x14ac:dyDescent="0.35">
      <c r="A529" s="40" t="str">
        <f>_xlfn.TEXTJOIN(" ",TRUE,Employees_Data[[#This Row],[First Name]],Employees_Data[[#This Row],[Last Name]])</f>
        <v>Ikhlas Alhasan</v>
      </c>
      <c r="B529" s="41">
        <f ca="1">DATEDIF(Employees!$F529,TODAY(),"Y")</f>
        <v>6</v>
      </c>
      <c r="C529" s="64">
        <v>4.5</v>
      </c>
      <c r="D529" s="56">
        <v>10</v>
      </c>
      <c r="E529" s="56">
        <v>2425</v>
      </c>
      <c r="F529" s="56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530" spans="1:6" x14ac:dyDescent="0.35">
      <c r="A530" s="36" t="str">
        <f>_xlfn.TEXTJOIN(" ",TRUE,Employees_Data[[#This Row],[First Name]],Employees_Data[[#This Row],[Last Name]])</f>
        <v>Muhamad Jzayrly</v>
      </c>
      <c r="B530" s="37">
        <f ca="1">DATEDIF(Employees!$F530,TODAY(),"Y")</f>
        <v>8</v>
      </c>
      <c r="C530" s="63">
        <v>3</v>
      </c>
      <c r="D530" s="54">
        <v>8</v>
      </c>
      <c r="E530" s="54">
        <v>1117</v>
      </c>
      <c r="F530" s="54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531" spans="1:6" x14ac:dyDescent="0.35">
      <c r="A531" s="40" t="str">
        <f>_xlfn.TEXTJOIN(" ",TRUE,Employees_Data[[#This Row],[First Name]],Employees_Data[[#This Row],[Last Name]])</f>
        <v>Husam Badr</v>
      </c>
      <c r="B531" s="41">
        <f ca="1">DATEDIF(Employees!$F531,TODAY(),"Y")</f>
        <v>7</v>
      </c>
      <c r="C531" s="64">
        <v>5</v>
      </c>
      <c r="D531" s="56">
        <v>40</v>
      </c>
      <c r="E531" s="56">
        <v>1112</v>
      </c>
      <c r="F531" s="56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532" spans="1:6" x14ac:dyDescent="0.35">
      <c r="A532" s="36" t="str">
        <f>_xlfn.TEXTJOIN(" ",TRUE,Employees_Data[[#This Row],[First Name]],Employees_Data[[#This Row],[Last Name]])</f>
        <v>Rami Hunun</v>
      </c>
      <c r="B532" s="37">
        <f ca="1">DATEDIF(Employees!$F532,TODAY(),"Y")</f>
        <v>6</v>
      </c>
      <c r="C532" s="63">
        <v>4.5</v>
      </c>
      <c r="D532" s="54">
        <v>1</v>
      </c>
      <c r="E532" s="54">
        <v>1928</v>
      </c>
      <c r="F532" s="54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533" spans="1:6" x14ac:dyDescent="0.35">
      <c r="A533" s="40" t="str">
        <f>_xlfn.TEXTJOIN(" ",TRUE,Employees_Data[[#This Row],[First Name]],Employees_Data[[#This Row],[Last Name]])</f>
        <v>Alia Abu</v>
      </c>
      <c r="B533" s="41">
        <f ca="1">DATEDIF(Employees!$F533,TODAY(),"Y")</f>
        <v>7</v>
      </c>
      <c r="C533" s="64">
        <v>5</v>
      </c>
      <c r="D533" s="56">
        <v>4</v>
      </c>
      <c r="E533" s="56">
        <v>3300</v>
      </c>
      <c r="F533" s="56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534" spans="1:6" x14ac:dyDescent="0.35">
      <c r="A534" s="36" t="str">
        <f>_xlfn.TEXTJOIN(" ",TRUE,Employees_Data[[#This Row],[First Name]],Employees_Data[[#This Row],[Last Name]])</f>
        <v>Samir Sariji</v>
      </c>
      <c r="B534" s="37">
        <f ca="1">DATEDIF(Employees!$F534,TODAY(),"Y")</f>
        <v>6</v>
      </c>
      <c r="C534" s="63">
        <v>5</v>
      </c>
      <c r="D534" s="54">
        <v>5</v>
      </c>
      <c r="E534" s="54">
        <v>2378</v>
      </c>
      <c r="F534" s="54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535" spans="1:6" x14ac:dyDescent="0.35">
      <c r="A535" s="40" t="str">
        <f>_xlfn.TEXTJOIN(" ",TRUE,Employees_Data[[#This Row],[First Name]],Employees_Data[[#This Row],[Last Name]])</f>
        <v>Muhamad Albieli</v>
      </c>
      <c r="B535" s="41">
        <f ca="1">DATEDIF(Employees!$F535,TODAY(),"Y")</f>
        <v>10</v>
      </c>
      <c r="C535" s="64">
        <v>5</v>
      </c>
      <c r="D535" s="56">
        <v>10</v>
      </c>
      <c r="E535" s="56">
        <v>3138</v>
      </c>
      <c r="F535" s="56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536" spans="1:6" x14ac:dyDescent="0.35">
      <c r="A536" s="36" t="str">
        <f>_xlfn.TEXTJOIN(" ",TRUE,Employees_Data[[#This Row],[First Name]],Employees_Data[[#This Row],[Last Name]])</f>
        <v>Ahmad Eyd Bndqjy</v>
      </c>
      <c r="B536" s="37">
        <f ca="1">DATEDIF(Employees!$F536,TODAY(),"Y")</f>
        <v>9</v>
      </c>
      <c r="C536" s="63">
        <v>5</v>
      </c>
      <c r="D536" s="54">
        <v>3</v>
      </c>
      <c r="E536" s="54">
        <v>1981</v>
      </c>
      <c r="F536" s="54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537" spans="1:6" x14ac:dyDescent="0.35">
      <c r="A537" s="40" t="str">
        <f>_xlfn.TEXTJOIN(" ",TRUE,Employees_Data[[#This Row],[First Name]],Employees_Data[[#This Row],[Last Name]])</f>
        <v>Maria Lulu</v>
      </c>
      <c r="B537" s="41">
        <f ca="1">DATEDIF(Employees!$F537,TODAY(),"Y")</f>
        <v>8</v>
      </c>
      <c r="C537" s="64">
        <v>3</v>
      </c>
      <c r="D537" s="56">
        <v>94</v>
      </c>
      <c r="E537" s="56">
        <v>1056</v>
      </c>
      <c r="F537" s="56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Eligible</v>
      </c>
    </row>
    <row r="538" spans="1:6" x14ac:dyDescent="0.35">
      <c r="A538" s="36" t="str">
        <f>_xlfn.TEXTJOIN(" ",TRUE,Employees_Data[[#This Row],[First Name]],Employees_Data[[#This Row],[Last Name]])</f>
        <v>Muhamad Shhybr</v>
      </c>
      <c r="B538" s="37">
        <f ca="1">DATEDIF(Employees!$F538,TODAY(),"Y")</f>
        <v>6</v>
      </c>
      <c r="C538" s="63">
        <v>5</v>
      </c>
      <c r="D538" s="54">
        <v>2</v>
      </c>
      <c r="E538" s="54">
        <v>3295</v>
      </c>
      <c r="F538" s="54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539" spans="1:6" x14ac:dyDescent="0.35">
      <c r="A539" s="40" t="str">
        <f>_xlfn.TEXTJOIN(" ",TRUE,Employees_Data[[#This Row],[First Name]],Employees_Data[[#This Row],[Last Name]])</f>
        <v>Abdalbasit Aljazayiriu</v>
      </c>
      <c r="B539" s="41">
        <f ca="1">DATEDIF(Employees!$F539,TODAY(),"Y")</f>
        <v>7</v>
      </c>
      <c r="C539" s="64">
        <v>4.5</v>
      </c>
      <c r="D539" s="56">
        <v>2</v>
      </c>
      <c r="E539" s="56">
        <v>1022</v>
      </c>
      <c r="F539" s="56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540" spans="1:6" x14ac:dyDescent="0.35">
      <c r="A540" s="36" t="str">
        <f>_xlfn.TEXTJOIN(" ",TRUE,Employees_Data[[#This Row],[First Name]],Employees_Data[[#This Row],[Last Name]])</f>
        <v>Bilal Aywbi</v>
      </c>
      <c r="B540" s="37">
        <f ca="1">DATEDIF(Employees!$F540,TODAY(),"Y")</f>
        <v>6</v>
      </c>
      <c r="C540" s="63">
        <v>3</v>
      </c>
      <c r="D540" s="54">
        <v>0</v>
      </c>
      <c r="E540" s="54">
        <v>969</v>
      </c>
      <c r="F540" s="54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541" spans="1:6" x14ac:dyDescent="0.35">
      <c r="A541" s="40" t="str">
        <f>_xlfn.TEXTJOIN(" ",TRUE,Employees_Data[[#This Row],[First Name]],Employees_Data[[#This Row],[Last Name]])</f>
        <v>Ahmad Dabana</v>
      </c>
      <c r="B541" s="41">
        <f ca="1">DATEDIF(Employees!$F541,TODAY(),"Y")</f>
        <v>7</v>
      </c>
      <c r="C541" s="64">
        <v>4.5</v>
      </c>
      <c r="D541" s="56">
        <v>1</v>
      </c>
      <c r="E541" s="56">
        <v>3354</v>
      </c>
      <c r="F541" s="56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542" spans="1:6" x14ac:dyDescent="0.35">
      <c r="A542" s="36" t="str">
        <f>_xlfn.TEXTJOIN(" ",TRUE,Employees_Data[[#This Row],[First Name]],Employees_Data[[#This Row],[Last Name]])</f>
        <v>Fawaz Ghazal</v>
      </c>
      <c r="B542" s="37">
        <f ca="1">DATEDIF(Employees!$F542,TODAY(),"Y")</f>
        <v>6</v>
      </c>
      <c r="C542" s="63">
        <v>5</v>
      </c>
      <c r="D542" s="54">
        <v>15</v>
      </c>
      <c r="E542" s="54">
        <v>2123</v>
      </c>
      <c r="F542" s="54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543" spans="1:6" x14ac:dyDescent="0.35">
      <c r="A543" s="40" t="str">
        <f>_xlfn.TEXTJOIN(" ",TRUE,Employees_Data[[#This Row],[First Name]],Employees_Data[[#This Row],[Last Name]])</f>
        <v>Bisam Altahhan</v>
      </c>
      <c r="B543" s="41">
        <f ca="1">DATEDIF(Employees!$F543,TODAY(),"Y")</f>
        <v>7</v>
      </c>
      <c r="C543" s="64">
        <v>3</v>
      </c>
      <c r="D543" s="56">
        <v>11</v>
      </c>
      <c r="E543" s="56">
        <v>897</v>
      </c>
      <c r="F543" s="56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544" spans="1:6" x14ac:dyDescent="0.35">
      <c r="A544" s="36" t="str">
        <f>_xlfn.TEXTJOIN(" ",TRUE,Employees_Data[[#This Row],[First Name]],Employees_Data[[#This Row],[Last Name]])</f>
        <v>Muhamad Amir</v>
      </c>
      <c r="B544" s="37">
        <f ca="1">DATEDIF(Employees!$F544,TODAY(),"Y")</f>
        <v>8</v>
      </c>
      <c r="C544" s="63">
        <v>3</v>
      </c>
      <c r="D544" s="54">
        <v>14</v>
      </c>
      <c r="E544" s="54">
        <v>2925</v>
      </c>
      <c r="F544" s="54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545" spans="1:6" x14ac:dyDescent="0.35">
      <c r="A545" s="40" t="str">
        <f>_xlfn.TEXTJOIN(" ",TRUE,Employees_Data[[#This Row],[First Name]],Employees_Data[[#This Row],[Last Name]])</f>
        <v>Lilas Nafae</v>
      </c>
      <c r="B545" s="41">
        <f ca="1">DATEDIF(Employees!$F545,TODAY(),"Y")</f>
        <v>8</v>
      </c>
      <c r="C545" s="64">
        <v>2</v>
      </c>
      <c r="D545" s="56">
        <v>81</v>
      </c>
      <c r="E545" s="56">
        <v>1895</v>
      </c>
      <c r="F545" s="56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546" spans="1:6" x14ac:dyDescent="0.35">
      <c r="A546" s="36" t="str">
        <f>_xlfn.TEXTJOIN(" ",TRUE,Employees_Data[[#This Row],[First Name]],Employees_Data[[#This Row],[Last Name]])</f>
        <v>Muhamad Ayman</v>
      </c>
      <c r="B546" s="37">
        <f ca="1">DATEDIF(Employees!$F546,TODAY(),"Y")</f>
        <v>10</v>
      </c>
      <c r="C546" s="63">
        <v>5</v>
      </c>
      <c r="D546" s="54">
        <v>7</v>
      </c>
      <c r="E546" s="54">
        <v>2191</v>
      </c>
      <c r="F546" s="54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547" spans="1:6" x14ac:dyDescent="0.35">
      <c r="A547" s="40" t="str">
        <f>_xlfn.TEXTJOIN(" ",TRUE,Employees_Data[[#This Row],[First Name]],Employees_Data[[#This Row],[Last Name]])</f>
        <v>Ranim Earabi</v>
      </c>
      <c r="B547" s="41">
        <f ca="1">DATEDIF(Employees!$F547,TODAY(),"Y")</f>
        <v>6</v>
      </c>
      <c r="C547" s="64">
        <v>3</v>
      </c>
      <c r="D547" s="56">
        <v>5</v>
      </c>
      <c r="E547" s="56">
        <v>3130</v>
      </c>
      <c r="F547" s="56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548" spans="1:6" x14ac:dyDescent="0.35">
      <c r="A548" s="36" t="str">
        <f>_xlfn.TEXTJOIN(" ",TRUE,Employees_Data[[#This Row],[First Name]],Employees_Data[[#This Row],[Last Name]])</f>
        <v>Amani Altujjar</v>
      </c>
      <c r="B548" s="37">
        <f ca="1">DATEDIF(Employees!$F548,TODAY(),"Y")</f>
        <v>9</v>
      </c>
      <c r="C548" s="63">
        <v>3</v>
      </c>
      <c r="D548" s="54">
        <v>7</v>
      </c>
      <c r="E548" s="54">
        <v>2654</v>
      </c>
      <c r="F548" s="54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549" spans="1:6" x14ac:dyDescent="0.35">
      <c r="A549" s="40" t="str">
        <f>_xlfn.TEXTJOIN(" ",TRUE,Employees_Data[[#This Row],[First Name]],Employees_Data[[#This Row],[Last Name]])</f>
        <v>Muhamad Rashid</v>
      </c>
      <c r="B549" s="41">
        <f ca="1">DATEDIF(Employees!$F549,TODAY(),"Y")</f>
        <v>5</v>
      </c>
      <c r="C549" s="64">
        <v>5</v>
      </c>
      <c r="D549" s="56">
        <v>5</v>
      </c>
      <c r="E549" s="56">
        <v>859</v>
      </c>
      <c r="F549" s="56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550" spans="1:6" x14ac:dyDescent="0.35">
      <c r="A550" s="36" t="str">
        <f>_xlfn.TEXTJOIN(" ",TRUE,Employees_Data[[#This Row],[First Name]],Employees_Data[[#This Row],[Last Name]])</f>
        <v>Amin Hamid</v>
      </c>
      <c r="B550" s="37">
        <f ca="1">DATEDIF(Employees!$F550,TODAY(),"Y")</f>
        <v>10</v>
      </c>
      <c r="C550" s="63">
        <v>3</v>
      </c>
      <c r="D550" s="54">
        <v>11</v>
      </c>
      <c r="E550" s="54">
        <v>1113</v>
      </c>
      <c r="F550" s="54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551" spans="1:6" x14ac:dyDescent="0.35">
      <c r="A551" s="40" t="str">
        <f>_xlfn.TEXTJOIN(" ",TRUE,Employees_Data[[#This Row],[First Name]],Employees_Data[[#This Row],[Last Name]])</f>
        <v>Khalid Jameah</v>
      </c>
      <c r="B551" s="41">
        <f ca="1">DATEDIF(Employees!$F551,TODAY(),"Y")</f>
        <v>7</v>
      </c>
      <c r="C551" s="64">
        <v>5</v>
      </c>
      <c r="D551" s="56">
        <v>10</v>
      </c>
      <c r="E551" s="56">
        <v>1234</v>
      </c>
      <c r="F551" s="56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552" spans="1:6" x14ac:dyDescent="0.35">
      <c r="A552" s="36" t="str">
        <f>_xlfn.TEXTJOIN(" ",TRUE,Employees_Data[[#This Row],[First Name]],Employees_Data[[#This Row],[Last Name]])</f>
        <v>Fahd Shaykh</v>
      </c>
      <c r="B552" s="37">
        <f ca="1">DATEDIF(Employees!$F552,TODAY(),"Y")</f>
        <v>6</v>
      </c>
      <c r="C552" s="63">
        <v>3</v>
      </c>
      <c r="D552" s="54">
        <v>1</v>
      </c>
      <c r="E552" s="54">
        <v>2647</v>
      </c>
      <c r="F552" s="54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553" spans="1:6" x14ac:dyDescent="0.35">
      <c r="A553" s="40" t="str">
        <f>_xlfn.TEXTJOIN(" ",TRUE,Employees_Data[[#This Row],[First Name]],Employees_Data[[#This Row],[Last Name]])</f>
        <v>Lilas Kashik</v>
      </c>
      <c r="B553" s="41">
        <f ca="1">DATEDIF(Employees!$F553,TODAY(),"Y")</f>
        <v>10</v>
      </c>
      <c r="C553" s="64">
        <v>1</v>
      </c>
      <c r="D553" s="56">
        <v>6</v>
      </c>
      <c r="E553" s="56">
        <v>2200</v>
      </c>
      <c r="F553" s="56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554" spans="1:6" x14ac:dyDescent="0.35">
      <c r="A554" s="36" t="str">
        <f>_xlfn.TEXTJOIN(" ",TRUE,Employees_Data[[#This Row],[First Name]],Employees_Data[[#This Row],[Last Name]])</f>
        <v>Fatima Hasan</v>
      </c>
      <c r="B554" s="37">
        <f ca="1">DATEDIF(Employees!$F554,TODAY(),"Y")</f>
        <v>8</v>
      </c>
      <c r="C554" s="63">
        <v>4.5</v>
      </c>
      <c r="D554" s="54">
        <v>10</v>
      </c>
      <c r="E554" s="54">
        <v>2381</v>
      </c>
      <c r="F554" s="54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555" spans="1:6" x14ac:dyDescent="0.35">
      <c r="A555" s="40" t="str">
        <f>_xlfn.TEXTJOIN(" ",TRUE,Employees_Data[[#This Row],[First Name]],Employees_Data[[#This Row],[Last Name]])</f>
        <v>Diea Dakhal</v>
      </c>
      <c r="B555" s="41">
        <f ca="1">DATEDIF(Employees!$F555,TODAY(),"Y")</f>
        <v>6</v>
      </c>
      <c r="C555" s="64">
        <v>2</v>
      </c>
      <c r="D555" s="56">
        <v>5</v>
      </c>
      <c r="E555" s="56">
        <v>2329</v>
      </c>
      <c r="F555" s="56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556" spans="1:6" x14ac:dyDescent="0.35">
      <c r="A556" s="36" t="str">
        <f>_xlfn.TEXTJOIN(" ",TRUE,Employees_Data[[#This Row],[First Name]],Employees_Data[[#This Row],[Last Name]])</f>
        <v>Amir Karishati</v>
      </c>
      <c r="B556" s="37">
        <f ca="1">DATEDIF(Employees!$F556,TODAY(),"Y")</f>
        <v>7</v>
      </c>
      <c r="C556" s="63">
        <v>3</v>
      </c>
      <c r="D556" s="54">
        <v>61</v>
      </c>
      <c r="E556" s="54">
        <v>1075</v>
      </c>
      <c r="F556" s="54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Eligible</v>
      </c>
    </row>
    <row r="557" spans="1:6" x14ac:dyDescent="0.35">
      <c r="A557" s="40" t="str">
        <f>_xlfn.TEXTJOIN(" ",TRUE,Employees_Data[[#This Row],[First Name]],Employees_Data[[#This Row],[Last Name]])</f>
        <v>Madlin Alsaed</v>
      </c>
      <c r="B557" s="41">
        <f ca="1">DATEDIF(Employees!$F557,TODAY(),"Y")</f>
        <v>9</v>
      </c>
      <c r="C557" s="64">
        <v>1</v>
      </c>
      <c r="D557" s="56">
        <v>1</v>
      </c>
      <c r="E557" s="56">
        <v>3110</v>
      </c>
      <c r="F557" s="56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558" spans="1:6" x14ac:dyDescent="0.35">
      <c r="A558" s="36" t="str">
        <f>_xlfn.TEXTJOIN(" ",TRUE,Employees_Data[[#This Row],[First Name]],Employees_Data[[#This Row],[Last Name]])</f>
        <v>Adnan Aleaqla</v>
      </c>
      <c r="B558" s="37">
        <f ca="1">DATEDIF(Employees!$F558,TODAY(),"Y")</f>
        <v>9</v>
      </c>
      <c r="C558" s="63">
        <v>5</v>
      </c>
      <c r="D558" s="54">
        <v>10</v>
      </c>
      <c r="E558" s="54">
        <v>2777</v>
      </c>
      <c r="F558" s="54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559" spans="1:6" x14ac:dyDescent="0.35">
      <c r="A559" s="40" t="str">
        <f>_xlfn.TEXTJOIN(" ",TRUE,Employees_Data[[#This Row],[First Name]],Employees_Data[[#This Row],[Last Name]])</f>
        <v>Muhamad Eursaly</v>
      </c>
      <c r="B559" s="41">
        <f ca="1">DATEDIF(Employees!$F559,TODAY(),"Y")</f>
        <v>7</v>
      </c>
      <c r="C559" s="64">
        <v>2</v>
      </c>
      <c r="D559" s="56">
        <v>11</v>
      </c>
      <c r="E559" s="56">
        <v>2306</v>
      </c>
      <c r="F559" s="56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560" spans="1:6" x14ac:dyDescent="0.35">
      <c r="A560" s="36" t="str">
        <f>_xlfn.TEXTJOIN(" ",TRUE,Employees_Data[[#This Row],[First Name]],Employees_Data[[#This Row],[Last Name]])</f>
        <v>Ranya Alaishhab</v>
      </c>
      <c r="B560" s="37">
        <f ca="1">DATEDIF(Employees!$F560,TODAY(),"Y")</f>
        <v>9</v>
      </c>
      <c r="C560" s="63">
        <v>3</v>
      </c>
      <c r="D560" s="54">
        <v>10</v>
      </c>
      <c r="E560" s="54">
        <v>1213</v>
      </c>
      <c r="F560" s="54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561" spans="1:6" x14ac:dyDescent="0.35">
      <c r="A561" s="40" t="str">
        <f>_xlfn.TEXTJOIN(" ",TRUE,Employees_Data[[#This Row],[First Name]],Employees_Data[[#This Row],[Last Name]])</f>
        <v>Rulaa Shannar</v>
      </c>
      <c r="B561" s="41">
        <f ca="1">DATEDIF(Employees!$F561,TODAY(),"Y")</f>
        <v>6</v>
      </c>
      <c r="C561" s="64">
        <v>4.5</v>
      </c>
      <c r="D561" s="56">
        <v>1</v>
      </c>
      <c r="E561" s="56">
        <v>2680</v>
      </c>
      <c r="F561" s="56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562" spans="1:6" x14ac:dyDescent="0.35">
      <c r="A562" s="36" t="str">
        <f>_xlfn.TEXTJOIN(" ",TRUE,Employees_Data[[#This Row],[First Name]],Employees_Data[[#This Row],[Last Name]])</f>
        <v>Aynas Alhiwat</v>
      </c>
      <c r="B562" s="37">
        <f ca="1">DATEDIF(Employees!$F562,TODAY(),"Y")</f>
        <v>5</v>
      </c>
      <c r="C562" s="63">
        <v>4.5</v>
      </c>
      <c r="D562" s="54">
        <v>4</v>
      </c>
      <c r="E562" s="54">
        <v>2204</v>
      </c>
      <c r="F562" s="54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563" spans="1:6" x14ac:dyDescent="0.35">
      <c r="A563" s="40" t="str">
        <f>_xlfn.TEXTJOIN(" ",TRUE,Employees_Data[[#This Row],[First Name]],Employees_Data[[#This Row],[Last Name]])</f>
        <v>Sara Tabanaj</v>
      </c>
      <c r="B563" s="41">
        <f ca="1">DATEDIF(Employees!$F563,TODAY(),"Y")</f>
        <v>8</v>
      </c>
      <c r="C563" s="64">
        <v>2</v>
      </c>
      <c r="D563" s="56">
        <v>8</v>
      </c>
      <c r="E563" s="56">
        <v>1297</v>
      </c>
      <c r="F563" s="56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564" spans="1:6" x14ac:dyDescent="0.35">
      <c r="A564" s="36" t="str">
        <f>_xlfn.TEXTJOIN(" ",TRUE,Employees_Data[[#This Row],[First Name]],Employees_Data[[#This Row],[Last Name]])</f>
        <v>Abd Allah Aldahan</v>
      </c>
      <c r="B564" s="37">
        <f ca="1">DATEDIF(Employees!$F564,TODAY(),"Y")</f>
        <v>5</v>
      </c>
      <c r="C564" s="63">
        <v>4.5</v>
      </c>
      <c r="D564" s="54">
        <v>48</v>
      </c>
      <c r="E564" s="54">
        <v>3024</v>
      </c>
      <c r="F564" s="54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565" spans="1:6" x14ac:dyDescent="0.35">
      <c r="A565" s="40" t="str">
        <f>_xlfn.TEXTJOIN(" ",TRUE,Employees_Data[[#This Row],[First Name]],Employees_Data[[#This Row],[Last Name]])</f>
        <v>Muhamad Ramzi</v>
      </c>
      <c r="B565" s="41">
        <f ca="1">DATEDIF(Employees!$F565,TODAY(),"Y")</f>
        <v>8</v>
      </c>
      <c r="C565" s="64">
        <v>5</v>
      </c>
      <c r="D565" s="56">
        <v>78</v>
      </c>
      <c r="E565" s="56">
        <v>2228</v>
      </c>
      <c r="F565" s="56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Eligible</v>
      </c>
    </row>
    <row r="566" spans="1:6" x14ac:dyDescent="0.35">
      <c r="A566" s="36" t="str">
        <f>_xlfn.TEXTJOIN(" ",TRUE,Employees_Data[[#This Row],[First Name]],Employees_Data[[#This Row],[Last Name]])</f>
        <v>Jan Mikayiylian</v>
      </c>
      <c r="B566" s="37">
        <f ca="1">DATEDIF(Employees!$F566,TODAY(),"Y")</f>
        <v>10</v>
      </c>
      <c r="C566" s="63">
        <v>4.5</v>
      </c>
      <c r="D566" s="54">
        <v>0</v>
      </c>
      <c r="E566" s="54">
        <v>2009</v>
      </c>
      <c r="F566" s="54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567" spans="1:6" x14ac:dyDescent="0.35">
      <c r="A567" s="40" t="str">
        <f>_xlfn.TEXTJOIN(" ",TRUE,Employees_Data[[#This Row],[First Name]],Employees_Data[[#This Row],[Last Name]])</f>
        <v>Almuthanaa Alsaediu</v>
      </c>
      <c r="B567" s="41">
        <f ca="1">DATEDIF(Employees!$F567,TODAY(),"Y")</f>
        <v>6</v>
      </c>
      <c r="C567" s="64">
        <v>5</v>
      </c>
      <c r="D567" s="56">
        <v>28</v>
      </c>
      <c r="E567" s="56">
        <v>2573</v>
      </c>
      <c r="F567" s="56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568" spans="1:6" x14ac:dyDescent="0.35">
      <c r="A568" s="36" t="str">
        <f>_xlfn.TEXTJOIN(" ",TRUE,Employees_Data[[#This Row],[First Name]],Employees_Data[[#This Row],[Last Name]])</f>
        <v>Emad Dulul</v>
      </c>
      <c r="B568" s="37">
        <f ca="1">DATEDIF(Employees!$F568,TODAY(),"Y")</f>
        <v>8</v>
      </c>
      <c r="C568" s="63">
        <v>3</v>
      </c>
      <c r="D568" s="54">
        <v>7</v>
      </c>
      <c r="E568" s="54">
        <v>1938</v>
      </c>
      <c r="F568" s="54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569" spans="1:6" x14ac:dyDescent="0.35">
      <c r="A569" s="40" t="str">
        <f>_xlfn.TEXTJOIN(" ",TRUE,Employees_Data[[#This Row],[First Name]],Employees_Data[[#This Row],[Last Name]])</f>
        <v>Sarah Haydar</v>
      </c>
      <c r="B569" s="41">
        <f ca="1">DATEDIF(Employees!$F569,TODAY(),"Y")</f>
        <v>7</v>
      </c>
      <c r="C569" s="64">
        <v>5</v>
      </c>
      <c r="D569" s="56">
        <v>10</v>
      </c>
      <c r="E569" s="56">
        <v>1208</v>
      </c>
      <c r="F569" s="56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570" spans="1:6" x14ac:dyDescent="0.35">
      <c r="A570" s="36" t="str">
        <f>_xlfn.TEXTJOIN(" ",TRUE,Employees_Data[[#This Row],[First Name]],Employees_Data[[#This Row],[Last Name]])</f>
        <v>Abdalkarim Shueayb</v>
      </c>
      <c r="B570" s="37">
        <f ca="1">DATEDIF(Employees!$F570,TODAY(),"Y")</f>
        <v>7</v>
      </c>
      <c r="C570" s="63">
        <v>4.5</v>
      </c>
      <c r="D570" s="54">
        <v>10</v>
      </c>
      <c r="E570" s="54">
        <v>2342</v>
      </c>
      <c r="F570" s="54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571" spans="1:6" x14ac:dyDescent="0.35">
      <c r="A571" s="40" t="str">
        <f>_xlfn.TEXTJOIN(" ",TRUE,Employees_Data[[#This Row],[First Name]],Employees_Data[[#This Row],[Last Name]])</f>
        <v>Muhamad Khayr</v>
      </c>
      <c r="B571" s="41">
        <f ca="1">DATEDIF(Employees!$F571,TODAY(),"Y")</f>
        <v>6</v>
      </c>
      <c r="C571" s="64">
        <v>4.5</v>
      </c>
      <c r="D571" s="56">
        <v>78</v>
      </c>
      <c r="E571" s="56">
        <v>3244</v>
      </c>
      <c r="F571" s="56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Eligible</v>
      </c>
    </row>
    <row r="572" spans="1:6" x14ac:dyDescent="0.35">
      <c r="A572" s="36" t="str">
        <f>_xlfn.TEXTJOIN(" ",TRUE,Employees_Data[[#This Row],[First Name]],Employees_Data[[#This Row],[Last Name]])</f>
        <v>Shadi Qitan</v>
      </c>
      <c r="B572" s="37">
        <f ca="1">DATEDIF(Employees!$F572,TODAY(),"Y")</f>
        <v>9</v>
      </c>
      <c r="C572" s="63">
        <v>4.5</v>
      </c>
      <c r="D572" s="54">
        <v>5</v>
      </c>
      <c r="E572" s="54">
        <v>2613</v>
      </c>
      <c r="F572" s="54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573" spans="1:6" x14ac:dyDescent="0.35">
      <c r="A573" s="40" t="str">
        <f>_xlfn.TEXTJOIN(" ",TRUE,Employees_Data[[#This Row],[First Name]],Employees_Data[[#This Row],[Last Name]])</f>
        <v>Muhamad Rajab</v>
      </c>
      <c r="B573" s="41">
        <f ca="1">DATEDIF(Employees!$F573,TODAY(),"Y")</f>
        <v>5</v>
      </c>
      <c r="C573" s="64">
        <v>5</v>
      </c>
      <c r="D573" s="56">
        <v>9</v>
      </c>
      <c r="E573" s="56">
        <v>2263</v>
      </c>
      <c r="F573" s="56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574" spans="1:6" x14ac:dyDescent="0.35">
      <c r="A574" s="36" t="str">
        <f>_xlfn.TEXTJOIN(" ",TRUE,Employees_Data[[#This Row],[First Name]],Employees_Data[[#This Row],[Last Name]])</f>
        <v>Khalid Alkhawam</v>
      </c>
      <c r="B574" s="37">
        <f ca="1">DATEDIF(Employees!$F574,TODAY(),"Y")</f>
        <v>10</v>
      </c>
      <c r="C574" s="63">
        <v>5</v>
      </c>
      <c r="D574" s="54">
        <v>1</v>
      </c>
      <c r="E574" s="54">
        <v>3157</v>
      </c>
      <c r="F574" s="54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575" spans="1:6" x14ac:dyDescent="0.35">
      <c r="A575" s="40" t="str">
        <f>_xlfn.TEXTJOIN(" ",TRUE,Employees_Data[[#This Row],[First Name]],Employees_Data[[#This Row],[Last Name]])</f>
        <v>Muhamad Asamh</v>
      </c>
      <c r="B575" s="41">
        <f ca="1">DATEDIF(Employees!$F575,TODAY(),"Y")</f>
        <v>8</v>
      </c>
      <c r="C575" s="64">
        <v>5</v>
      </c>
      <c r="D575" s="56">
        <v>10</v>
      </c>
      <c r="E575" s="56">
        <v>2519</v>
      </c>
      <c r="F575" s="56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576" spans="1:6" x14ac:dyDescent="0.35">
      <c r="A576" s="36" t="str">
        <f>_xlfn.TEXTJOIN(" ",TRUE,Employees_Data[[#This Row],[First Name]],Employees_Data[[#This Row],[Last Name]])</f>
        <v>Alaa Alyusif</v>
      </c>
      <c r="B576" s="37">
        <f ca="1">DATEDIF(Employees!$F576,TODAY(),"Y")</f>
        <v>6</v>
      </c>
      <c r="C576" s="63">
        <v>4.5</v>
      </c>
      <c r="D576" s="54">
        <v>15</v>
      </c>
      <c r="E576" s="54">
        <v>3019</v>
      </c>
      <c r="F576" s="54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577" spans="1:6" x14ac:dyDescent="0.35">
      <c r="A577" s="40" t="str">
        <f>_xlfn.TEXTJOIN(" ",TRUE,Employees_Data[[#This Row],[First Name]],Employees_Data[[#This Row],[Last Name]])</f>
        <v>Asym Aleaqqad</v>
      </c>
      <c r="B577" s="41">
        <f ca="1">DATEDIF(Employees!$F577,TODAY(),"Y")</f>
        <v>7</v>
      </c>
      <c r="C577" s="64">
        <v>2</v>
      </c>
      <c r="D577" s="56">
        <v>6</v>
      </c>
      <c r="E577" s="56">
        <v>3048</v>
      </c>
      <c r="F577" s="56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578" spans="1:6" x14ac:dyDescent="0.35">
      <c r="A578" s="36" t="str">
        <f>_xlfn.TEXTJOIN(" ",TRUE,Employees_Data[[#This Row],[First Name]],Employees_Data[[#This Row],[Last Name]])</f>
        <v>Ahmad Dahman</v>
      </c>
      <c r="B578" s="37">
        <f ca="1">DATEDIF(Employees!$F578,TODAY(),"Y")</f>
        <v>6</v>
      </c>
      <c r="C578" s="63">
        <v>4.5</v>
      </c>
      <c r="D578" s="54">
        <v>2</v>
      </c>
      <c r="E578" s="54">
        <v>1523</v>
      </c>
      <c r="F578" s="54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579" spans="1:6" x14ac:dyDescent="0.35">
      <c r="A579" s="40" t="str">
        <f>_xlfn.TEXTJOIN(" ",TRUE,Employees_Data[[#This Row],[First Name]],Employees_Data[[#This Row],[Last Name]])</f>
        <v>Oqba Alqintar</v>
      </c>
      <c r="B579" s="41">
        <f ca="1">DATEDIF(Employees!$F579,TODAY(),"Y")</f>
        <v>7</v>
      </c>
      <c r="C579" s="64">
        <v>1</v>
      </c>
      <c r="D579" s="56">
        <v>8</v>
      </c>
      <c r="E579" s="56">
        <v>2197</v>
      </c>
      <c r="F579" s="56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580" spans="1:6" x14ac:dyDescent="0.35">
      <c r="A580" s="36" t="str">
        <f>_xlfn.TEXTJOIN(" ",TRUE,Employees_Data[[#This Row],[First Name]],Employees_Data[[#This Row],[Last Name]])</f>
        <v>Rahaf Laylanaan</v>
      </c>
      <c r="B580" s="37">
        <f ca="1">DATEDIF(Employees!$F580,TODAY(),"Y")</f>
        <v>7</v>
      </c>
      <c r="C580" s="63">
        <v>4.5</v>
      </c>
      <c r="D580" s="54">
        <v>15</v>
      </c>
      <c r="E580" s="54">
        <v>1870</v>
      </c>
      <c r="F580" s="54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581" spans="1:6" x14ac:dyDescent="0.35">
      <c r="A581" s="40" t="str">
        <f>_xlfn.TEXTJOIN(" ",TRUE,Employees_Data[[#This Row],[First Name]],Employees_Data[[#This Row],[Last Name]])</f>
        <v>Muhamad Rajab</v>
      </c>
      <c r="B581" s="41">
        <f ca="1">DATEDIF(Employees!$F581,TODAY(),"Y")</f>
        <v>8</v>
      </c>
      <c r="C581" s="64">
        <v>5</v>
      </c>
      <c r="D581" s="56">
        <v>10</v>
      </c>
      <c r="E581" s="56">
        <v>1058</v>
      </c>
      <c r="F581" s="56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582" spans="1:6" x14ac:dyDescent="0.35">
      <c r="A582" s="36" t="str">
        <f>_xlfn.TEXTJOIN(" ",TRUE,Employees_Data[[#This Row],[First Name]],Employees_Data[[#This Row],[Last Name]])</f>
        <v>Ramadan Muhii Aldiyn</v>
      </c>
      <c r="B582" s="37">
        <f ca="1">DATEDIF(Employees!$F582,TODAY(),"Y")</f>
        <v>7</v>
      </c>
      <c r="C582" s="63">
        <v>4.5</v>
      </c>
      <c r="D582" s="54">
        <v>2</v>
      </c>
      <c r="E582" s="54">
        <v>1257</v>
      </c>
      <c r="F582" s="54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583" spans="1:6" x14ac:dyDescent="0.35">
      <c r="A583" s="40" t="str">
        <f>_xlfn.TEXTJOIN(" ",TRUE,Employees_Data[[#This Row],[First Name]],Employees_Data[[#This Row],[Last Name]])</f>
        <v>Zaynab Eirat</v>
      </c>
      <c r="B583" s="41">
        <f ca="1">DATEDIF(Employees!$F583,TODAY(),"Y")</f>
        <v>6</v>
      </c>
      <c r="C583" s="64">
        <v>4.5</v>
      </c>
      <c r="D583" s="56">
        <v>7</v>
      </c>
      <c r="E583" s="56">
        <v>819</v>
      </c>
      <c r="F583" s="56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584" spans="1:6" x14ac:dyDescent="0.35">
      <c r="A584" s="36" t="str">
        <f>_xlfn.TEXTJOIN(" ",TRUE,Employees_Data[[#This Row],[First Name]],Employees_Data[[#This Row],[Last Name]])</f>
        <v>Salah Aldiyn Altibae</v>
      </c>
      <c r="B584" s="37">
        <f ca="1">DATEDIF(Employees!$F584,TODAY(),"Y")</f>
        <v>6</v>
      </c>
      <c r="C584" s="63">
        <v>2</v>
      </c>
      <c r="D584" s="54">
        <v>8</v>
      </c>
      <c r="E584" s="54">
        <v>3068</v>
      </c>
      <c r="F584" s="54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585" spans="1:6" x14ac:dyDescent="0.35">
      <c r="A585" s="40" t="str">
        <f>_xlfn.TEXTJOIN(" ",TRUE,Employees_Data[[#This Row],[First Name]],Employees_Data[[#This Row],[Last Name]])</f>
        <v>Faras Alghandur</v>
      </c>
      <c r="B585" s="41">
        <f ca="1">DATEDIF(Employees!$F585,TODAY(),"Y")</f>
        <v>7</v>
      </c>
      <c r="C585" s="64">
        <v>3</v>
      </c>
      <c r="D585" s="56">
        <v>6</v>
      </c>
      <c r="E585" s="56">
        <v>1814</v>
      </c>
      <c r="F585" s="56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586" spans="1:6" x14ac:dyDescent="0.35">
      <c r="A586" s="36" t="str">
        <f>_xlfn.TEXTJOIN(" ",TRUE,Employees_Data[[#This Row],[First Name]],Employees_Data[[#This Row],[Last Name]])</f>
        <v>Husam Tamim</v>
      </c>
      <c r="B586" s="37">
        <f ca="1">DATEDIF(Employees!$F586,TODAY(),"Y")</f>
        <v>7</v>
      </c>
      <c r="C586" s="63">
        <v>5</v>
      </c>
      <c r="D586" s="54">
        <v>4</v>
      </c>
      <c r="E586" s="54">
        <v>1076</v>
      </c>
      <c r="F586" s="54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587" spans="1:6" x14ac:dyDescent="0.35">
      <c r="A587" s="40" t="str">
        <f>_xlfn.TEXTJOIN(" ",TRUE,Employees_Data[[#This Row],[First Name]],Employees_Data[[#This Row],[Last Name]])</f>
        <v>Ayat Byd</v>
      </c>
      <c r="B587" s="41">
        <f ca="1">DATEDIF(Employees!$F587,TODAY(),"Y")</f>
        <v>9</v>
      </c>
      <c r="C587" s="64">
        <v>3</v>
      </c>
      <c r="D587" s="56">
        <v>2</v>
      </c>
      <c r="E587" s="56">
        <v>3120</v>
      </c>
      <c r="F587" s="56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588" spans="1:6" x14ac:dyDescent="0.35">
      <c r="A588" s="36" t="str">
        <f>_xlfn.TEXTJOIN(" ",TRUE,Employees_Data[[#This Row],[First Name]],Employees_Data[[#This Row],[Last Name]])</f>
        <v>Rima Daly</v>
      </c>
      <c r="B588" s="37">
        <f ca="1">DATEDIF(Employees!$F588,TODAY(),"Y")</f>
        <v>6</v>
      </c>
      <c r="C588" s="63">
        <v>2</v>
      </c>
      <c r="D588" s="54">
        <v>8</v>
      </c>
      <c r="E588" s="54">
        <v>1359</v>
      </c>
      <c r="F588" s="54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589" spans="1:6" x14ac:dyDescent="0.35">
      <c r="A589" s="40" t="str">
        <f>_xlfn.TEXTJOIN(" ",TRUE,Employees_Data[[#This Row],[First Name]],Employees_Data[[#This Row],[Last Name]])</f>
        <v>Muhamad Almunajid</v>
      </c>
      <c r="B589" s="41">
        <f ca="1">DATEDIF(Employees!$F589,TODAY(),"Y")</f>
        <v>6</v>
      </c>
      <c r="C589" s="64">
        <v>1</v>
      </c>
      <c r="D589" s="56">
        <v>1</v>
      </c>
      <c r="E589" s="56">
        <v>3391</v>
      </c>
      <c r="F589" s="56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590" spans="1:6" x14ac:dyDescent="0.35">
      <c r="A590" s="36" t="str">
        <f>_xlfn.TEXTJOIN(" ",TRUE,Employees_Data[[#This Row],[First Name]],Employees_Data[[#This Row],[Last Name]])</f>
        <v>Eynas Muhamad</v>
      </c>
      <c r="B590" s="37">
        <f ca="1">DATEDIF(Employees!$F590,TODAY(),"Y")</f>
        <v>6</v>
      </c>
      <c r="C590" s="63">
        <v>5</v>
      </c>
      <c r="D590" s="54">
        <v>6</v>
      </c>
      <c r="E590" s="54">
        <v>1892</v>
      </c>
      <c r="F590" s="54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591" spans="1:6" x14ac:dyDescent="0.35">
      <c r="A591" s="40" t="str">
        <f>_xlfn.TEXTJOIN(" ",TRUE,Employees_Data[[#This Row],[First Name]],Employees_Data[[#This Row],[Last Name]])</f>
        <v>Ahmad Ahmid</v>
      </c>
      <c r="B591" s="41">
        <f ca="1">DATEDIF(Employees!$F591,TODAY(),"Y")</f>
        <v>6</v>
      </c>
      <c r="C591" s="64">
        <v>1</v>
      </c>
      <c r="D591" s="56">
        <v>3</v>
      </c>
      <c r="E591" s="56">
        <v>2639</v>
      </c>
      <c r="F591" s="56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592" spans="1:6" x14ac:dyDescent="0.35">
      <c r="A592" s="36" t="str">
        <f>_xlfn.TEXTJOIN(" ",TRUE,Employees_Data[[#This Row],[First Name]],Employees_Data[[#This Row],[Last Name]])</f>
        <v>Madlin Aljabaei</v>
      </c>
      <c r="B592" s="37">
        <f ca="1">DATEDIF(Employees!$F592,TODAY(),"Y")</f>
        <v>6</v>
      </c>
      <c r="C592" s="63">
        <v>5</v>
      </c>
      <c r="D592" s="54">
        <v>6</v>
      </c>
      <c r="E592" s="54">
        <v>1580</v>
      </c>
      <c r="F592" s="54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593" spans="1:6" x14ac:dyDescent="0.35">
      <c r="A593" s="40" t="str">
        <f>_xlfn.TEXTJOIN(" ",TRUE,Employees_Data[[#This Row],[First Name]],Employees_Data[[#This Row],[Last Name]])</f>
        <v>Ali Alqadri</v>
      </c>
      <c r="B593" s="41">
        <f ca="1">DATEDIF(Employees!$F593,TODAY(),"Y")</f>
        <v>7</v>
      </c>
      <c r="C593" s="64">
        <v>3</v>
      </c>
      <c r="D593" s="56">
        <v>4</v>
      </c>
      <c r="E593" s="56">
        <v>2186</v>
      </c>
      <c r="F593" s="56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594" spans="1:6" x14ac:dyDescent="0.35">
      <c r="A594" s="36" t="str">
        <f>_xlfn.TEXTJOIN(" ",TRUE,Employees_Data[[#This Row],[First Name]],Employees_Data[[#This Row],[Last Name]])</f>
        <v>Muhamad Dib</v>
      </c>
      <c r="B594" s="37">
        <f ca="1">DATEDIF(Employees!$F594,TODAY(),"Y")</f>
        <v>7</v>
      </c>
      <c r="C594" s="63">
        <v>2</v>
      </c>
      <c r="D594" s="54">
        <v>6</v>
      </c>
      <c r="E594" s="54">
        <v>1574</v>
      </c>
      <c r="F594" s="54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595" spans="1:6" x14ac:dyDescent="0.35">
      <c r="A595" s="40" t="str">
        <f>_xlfn.TEXTJOIN(" ",TRUE,Employees_Data[[#This Row],[First Name]],Employees_Data[[#This Row],[Last Name]])</f>
        <v>Hanan Bradiei</v>
      </c>
      <c r="B595" s="41">
        <f ca="1">DATEDIF(Employees!$F595,TODAY(),"Y")</f>
        <v>8</v>
      </c>
      <c r="C595" s="64">
        <v>4.5</v>
      </c>
      <c r="D595" s="56">
        <v>8</v>
      </c>
      <c r="E595" s="56">
        <v>2013</v>
      </c>
      <c r="F595" s="56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596" spans="1:6" x14ac:dyDescent="0.35">
      <c r="A596" s="36" t="str">
        <f>_xlfn.TEXTJOIN(" ",TRUE,Employees_Data[[#This Row],[First Name]],Employees_Data[[#This Row],[Last Name]])</f>
        <v>Danah Suirkili</v>
      </c>
      <c r="B596" s="37">
        <f ca="1">DATEDIF(Employees!$F596,TODAY(),"Y")</f>
        <v>6</v>
      </c>
      <c r="C596" s="63">
        <v>2</v>
      </c>
      <c r="D596" s="54">
        <v>5</v>
      </c>
      <c r="E596" s="54">
        <v>2075</v>
      </c>
      <c r="F596" s="54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597" spans="1:6" x14ac:dyDescent="0.35">
      <c r="A597" s="40" t="str">
        <f>_xlfn.TEXTJOIN(" ",TRUE,Employees_Data[[#This Row],[First Name]],Employees_Data[[#This Row],[Last Name]])</f>
        <v>Ghada Darakal</v>
      </c>
      <c r="B597" s="41">
        <f ca="1">DATEDIF(Employees!$F597,TODAY(),"Y")</f>
        <v>8</v>
      </c>
      <c r="C597" s="64">
        <v>1</v>
      </c>
      <c r="D597" s="56">
        <v>2</v>
      </c>
      <c r="E597" s="56">
        <v>1372</v>
      </c>
      <c r="F597" s="56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598" spans="1:6" x14ac:dyDescent="0.35">
      <c r="A598" s="36" t="str">
        <f>_xlfn.TEXTJOIN(" ",TRUE,Employees_Data[[#This Row],[First Name]],Employees_Data[[#This Row],[Last Name]])</f>
        <v>Mazin Bihtiti</v>
      </c>
      <c r="B598" s="37">
        <f ca="1">DATEDIF(Employees!$F598,TODAY(),"Y")</f>
        <v>8</v>
      </c>
      <c r="C598" s="63">
        <v>4.5</v>
      </c>
      <c r="D598" s="54">
        <v>7</v>
      </c>
      <c r="E598" s="54">
        <v>2026</v>
      </c>
      <c r="F598" s="54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599" spans="1:6" x14ac:dyDescent="0.35">
      <c r="A599" s="40" t="str">
        <f>_xlfn.TEXTJOIN(" ",TRUE,Employees_Data[[#This Row],[First Name]],Employees_Data[[#This Row],[Last Name]])</f>
        <v>Ridwan Alshulyan</v>
      </c>
      <c r="B599" s="41">
        <f ca="1">DATEDIF(Employees!$F599,TODAY(),"Y")</f>
        <v>9</v>
      </c>
      <c r="C599" s="64">
        <v>2</v>
      </c>
      <c r="D599" s="56">
        <v>8</v>
      </c>
      <c r="E599" s="56">
        <v>1351</v>
      </c>
      <c r="F599" s="56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600" spans="1:6" x14ac:dyDescent="0.35">
      <c r="A600" s="36" t="str">
        <f>_xlfn.TEXTJOIN(" ",TRUE,Employees_Data[[#This Row],[First Name]],Employees_Data[[#This Row],[Last Name]])</f>
        <v>Ali Barghaly</v>
      </c>
      <c r="B600" s="37">
        <f ca="1">DATEDIF(Employees!$F600,TODAY(),"Y")</f>
        <v>9</v>
      </c>
      <c r="C600" s="63">
        <v>1</v>
      </c>
      <c r="D600" s="54">
        <v>6</v>
      </c>
      <c r="E600" s="54">
        <v>1111</v>
      </c>
      <c r="F600" s="54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601" spans="1:6" x14ac:dyDescent="0.35">
      <c r="A601" s="40" t="str">
        <f>_xlfn.TEXTJOIN(" ",TRUE,Employees_Data[[#This Row],[First Name]],Employees_Data[[#This Row],[Last Name]])</f>
        <v>Iad Badran</v>
      </c>
      <c r="B601" s="41">
        <f ca="1">DATEDIF(Employees!$F601,TODAY(),"Y")</f>
        <v>6</v>
      </c>
      <c r="C601" s="64">
        <v>5</v>
      </c>
      <c r="D601" s="56">
        <v>8</v>
      </c>
      <c r="E601" s="56">
        <v>1554</v>
      </c>
      <c r="F601" s="56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602" spans="1:6" x14ac:dyDescent="0.35">
      <c r="A602" s="36" t="str">
        <f>_xlfn.TEXTJOIN(" ",TRUE,Employees_Data[[#This Row],[First Name]],Employees_Data[[#This Row],[Last Name]])</f>
        <v>Abdalrhmin Shwk</v>
      </c>
      <c r="B602" s="37">
        <f ca="1">DATEDIF(Employees!$F602,TODAY(),"Y")</f>
        <v>7</v>
      </c>
      <c r="C602" s="63">
        <v>5</v>
      </c>
      <c r="D602" s="54">
        <v>0</v>
      </c>
      <c r="E602" s="54">
        <v>3057</v>
      </c>
      <c r="F602" s="54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603" spans="1:6" x14ac:dyDescent="0.35">
      <c r="A603" s="40" t="str">
        <f>_xlfn.TEXTJOIN(" ",TRUE,Employees_Data[[#This Row],[First Name]],Employees_Data[[#This Row],[Last Name]])</f>
        <v>Husam Aldiyn</v>
      </c>
      <c r="B603" s="41">
        <f ca="1">DATEDIF(Employees!$F603,TODAY(),"Y")</f>
        <v>7</v>
      </c>
      <c r="C603" s="64">
        <v>3</v>
      </c>
      <c r="D603" s="56">
        <v>3</v>
      </c>
      <c r="E603" s="56">
        <v>1733</v>
      </c>
      <c r="F603" s="56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604" spans="1:6" x14ac:dyDescent="0.35">
      <c r="A604" s="36" t="str">
        <f>_xlfn.TEXTJOIN(" ",TRUE,Employees_Data[[#This Row],[First Name]],Employees_Data[[#This Row],[Last Name]])</f>
        <v>Ahmad Hamuwdatan</v>
      </c>
      <c r="B604" s="37">
        <f ca="1">DATEDIF(Employees!$F604,TODAY(),"Y")</f>
        <v>10</v>
      </c>
      <c r="C604" s="63">
        <v>5</v>
      </c>
      <c r="D604" s="54">
        <v>2</v>
      </c>
      <c r="E604" s="54">
        <v>1511</v>
      </c>
      <c r="F604" s="54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605" spans="1:6" x14ac:dyDescent="0.35">
      <c r="A605" s="40" t="str">
        <f>_xlfn.TEXTJOIN(" ",TRUE,Employees_Data[[#This Row],[First Name]],Employees_Data[[#This Row],[Last Name]])</f>
        <v>Ahmad Laylana</v>
      </c>
      <c r="B605" s="41">
        <f ca="1">DATEDIF(Employees!$F605,TODAY(),"Y")</f>
        <v>9</v>
      </c>
      <c r="C605" s="64">
        <v>5</v>
      </c>
      <c r="D605" s="56">
        <v>6</v>
      </c>
      <c r="E605" s="56">
        <v>2542</v>
      </c>
      <c r="F605" s="56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606" spans="1:6" x14ac:dyDescent="0.35">
      <c r="A606" s="36" t="str">
        <f>_xlfn.TEXTJOIN(" ",TRUE,Employees_Data[[#This Row],[First Name]],Employees_Data[[#This Row],[Last Name]])</f>
        <v>Shuruq Aljuju</v>
      </c>
      <c r="B606" s="37">
        <f ca="1">DATEDIF(Employees!$F606,TODAY(),"Y")</f>
        <v>6</v>
      </c>
      <c r="C606" s="63">
        <v>1</v>
      </c>
      <c r="D606" s="54">
        <v>3</v>
      </c>
      <c r="E606" s="54">
        <v>1573</v>
      </c>
      <c r="F606" s="54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607" spans="1:6" x14ac:dyDescent="0.35">
      <c r="A607" s="40" t="str">
        <f>_xlfn.TEXTJOIN(" ",TRUE,Employees_Data[[#This Row],[First Name]],Employees_Data[[#This Row],[Last Name]])</f>
        <v>Muhamad Alshahrur</v>
      </c>
      <c r="B607" s="41">
        <f ca="1">DATEDIF(Employees!$F607,TODAY(),"Y")</f>
        <v>9</v>
      </c>
      <c r="C607" s="64">
        <v>3</v>
      </c>
      <c r="D607" s="56">
        <v>1</v>
      </c>
      <c r="E607" s="56">
        <v>2604</v>
      </c>
      <c r="F607" s="56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608" spans="1:6" x14ac:dyDescent="0.35">
      <c r="A608" s="36" t="str">
        <f>_xlfn.TEXTJOIN(" ",TRUE,Employees_Data[[#This Row],[First Name]],Employees_Data[[#This Row],[Last Name]])</f>
        <v>Rafif Khalf</v>
      </c>
      <c r="B608" s="37">
        <f ca="1">DATEDIF(Employees!$F608,TODAY(),"Y")</f>
        <v>7</v>
      </c>
      <c r="C608" s="63">
        <v>5</v>
      </c>
      <c r="D608" s="54">
        <v>8</v>
      </c>
      <c r="E608" s="54">
        <v>3152</v>
      </c>
      <c r="F608" s="54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609" spans="1:6" x14ac:dyDescent="0.35">
      <c r="A609" s="40" t="str">
        <f>_xlfn.TEXTJOIN(" ",TRUE,Employees_Data[[#This Row],[First Name]],Employees_Data[[#This Row],[Last Name]])</f>
        <v>Muhamad Alkhatib</v>
      </c>
      <c r="B609" s="41">
        <f ca="1">DATEDIF(Employees!$F609,TODAY(),"Y")</f>
        <v>6</v>
      </c>
      <c r="C609" s="64">
        <v>5</v>
      </c>
      <c r="D609" s="56">
        <v>6</v>
      </c>
      <c r="E609" s="56">
        <v>2655</v>
      </c>
      <c r="F609" s="56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610" spans="1:6" x14ac:dyDescent="0.35">
      <c r="A610" s="36" t="str">
        <f>_xlfn.TEXTJOIN(" ",TRUE,Employees_Data[[#This Row],[First Name]],Employees_Data[[#This Row],[Last Name]])</f>
        <v>Muhamad Albarnawi</v>
      </c>
      <c r="B610" s="37">
        <f ca="1">DATEDIF(Employees!$F610,TODAY(),"Y")</f>
        <v>10</v>
      </c>
      <c r="C610" s="63">
        <v>5</v>
      </c>
      <c r="D610" s="54">
        <v>10</v>
      </c>
      <c r="E610" s="54">
        <v>1405</v>
      </c>
      <c r="F610" s="54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611" spans="1:6" x14ac:dyDescent="0.35">
      <c r="A611" s="40" t="str">
        <f>_xlfn.TEXTJOIN(" ",TRUE,Employees_Data[[#This Row],[First Name]],Employees_Data[[#This Row],[Last Name]])</f>
        <v>Ali Almiqdad</v>
      </c>
      <c r="B611" s="41">
        <f ca="1">DATEDIF(Employees!$F611,TODAY(),"Y")</f>
        <v>8</v>
      </c>
      <c r="C611" s="64">
        <v>5</v>
      </c>
      <c r="D611" s="56">
        <v>7</v>
      </c>
      <c r="E611" s="56">
        <v>3100</v>
      </c>
      <c r="F611" s="56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612" spans="1:6" x14ac:dyDescent="0.35">
      <c r="A612" s="36" t="str">
        <f>_xlfn.TEXTJOIN(" ",TRUE,Employees_Data[[#This Row],[First Name]],Employees_Data[[#This Row],[Last Name]])</f>
        <v>Ranya Faris</v>
      </c>
      <c r="B612" s="37">
        <f ca="1">DATEDIF(Employees!$F612,TODAY(),"Y")</f>
        <v>9</v>
      </c>
      <c r="C612" s="63">
        <v>4.5</v>
      </c>
      <c r="D612" s="54">
        <v>6</v>
      </c>
      <c r="E612" s="54">
        <v>2729</v>
      </c>
      <c r="F612" s="54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613" spans="1:6" x14ac:dyDescent="0.35">
      <c r="A613" s="40" t="str">
        <f>_xlfn.TEXTJOIN(" ",TRUE,Employees_Data[[#This Row],[First Name]],Employees_Data[[#This Row],[Last Name]])</f>
        <v>Ali Alshaykh</v>
      </c>
      <c r="B613" s="41">
        <f ca="1">DATEDIF(Employees!$F613,TODAY(),"Y")</f>
        <v>8</v>
      </c>
      <c r="C613" s="64">
        <v>5</v>
      </c>
      <c r="D613" s="56">
        <v>7</v>
      </c>
      <c r="E613" s="56">
        <v>1467</v>
      </c>
      <c r="F613" s="56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614" spans="1:6" x14ac:dyDescent="0.35">
      <c r="A614" s="36" t="str">
        <f>_xlfn.TEXTJOIN(" ",TRUE,Employees_Data[[#This Row],[First Name]],Employees_Data[[#This Row],[Last Name]])</f>
        <v>Iin Kafa</v>
      </c>
      <c r="B614" s="37">
        <f ca="1">DATEDIF(Employees!$F614,TODAY(),"Y")</f>
        <v>9</v>
      </c>
      <c r="C614" s="63">
        <v>5</v>
      </c>
      <c r="D614" s="54">
        <v>4</v>
      </c>
      <c r="E614" s="54">
        <v>1612</v>
      </c>
      <c r="F614" s="54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615" spans="1:6" x14ac:dyDescent="0.35">
      <c r="A615" s="40" t="str">
        <f>_xlfn.TEXTJOIN(" ",TRUE,Employees_Data[[#This Row],[First Name]],Employees_Data[[#This Row],[Last Name]])</f>
        <v>Muhamad Almaghribi</v>
      </c>
      <c r="B615" s="41">
        <f ca="1">DATEDIF(Employees!$F615,TODAY(),"Y")</f>
        <v>7</v>
      </c>
      <c r="C615" s="64">
        <v>5</v>
      </c>
      <c r="D615" s="56">
        <v>6</v>
      </c>
      <c r="E615" s="56">
        <v>2901</v>
      </c>
      <c r="F615" s="56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616" spans="1:6" x14ac:dyDescent="0.35">
      <c r="A616" s="36" t="str">
        <f>_xlfn.TEXTJOIN(" ",TRUE,Employees_Data[[#This Row],[First Name]],Employees_Data[[#This Row],[Last Name]])</f>
        <v>Sami Aldrwysh</v>
      </c>
      <c r="B616" s="37">
        <f ca="1">DATEDIF(Employees!$F616,TODAY(),"Y")</f>
        <v>9</v>
      </c>
      <c r="C616" s="63">
        <v>3</v>
      </c>
      <c r="D616" s="54">
        <v>4</v>
      </c>
      <c r="E616" s="54">
        <v>1999</v>
      </c>
      <c r="F616" s="54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617" spans="1:6" x14ac:dyDescent="0.35">
      <c r="A617" s="40" t="str">
        <f>_xlfn.TEXTJOIN(" ",TRUE,Employees_Data[[#This Row],[First Name]],Employees_Data[[#This Row],[Last Name]])</f>
        <v>Samah Alkhatib</v>
      </c>
      <c r="B617" s="41">
        <f ca="1">DATEDIF(Employees!$F617,TODAY(),"Y")</f>
        <v>8</v>
      </c>
      <c r="C617" s="64">
        <v>3</v>
      </c>
      <c r="D617" s="56">
        <v>8</v>
      </c>
      <c r="E617" s="56">
        <v>705</v>
      </c>
      <c r="F617" s="56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618" spans="1:6" x14ac:dyDescent="0.35">
      <c r="A618" s="36" t="str">
        <f>_xlfn.TEXTJOIN(" ",TRUE,Employees_Data[[#This Row],[First Name]],Employees_Data[[#This Row],[Last Name]])</f>
        <v>Eala Hatim</v>
      </c>
      <c r="B618" s="37">
        <f ca="1">DATEDIF(Employees!$F618,TODAY(),"Y")</f>
        <v>7</v>
      </c>
      <c r="C618" s="63">
        <v>4.5</v>
      </c>
      <c r="D618" s="54">
        <v>1</v>
      </c>
      <c r="E618" s="54">
        <v>3311</v>
      </c>
      <c r="F618" s="54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619" spans="1:6" x14ac:dyDescent="0.35">
      <c r="A619" s="40" t="str">
        <f>_xlfn.TEXTJOIN(" ",TRUE,Employees_Data[[#This Row],[First Name]],Employees_Data[[#This Row],[Last Name]])</f>
        <v>Dalia Nahlawi</v>
      </c>
      <c r="B619" s="41">
        <f ca="1">DATEDIF(Employees!$F619,TODAY(),"Y")</f>
        <v>8</v>
      </c>
      <c r="C619" s="64">
        <v>3</v>
      </c>
      <c r="D619" s="56">
        <v>3</v>
      </c>
      <c r="E619" s="56">
        <v>2516</v>
      </c>
      <c r="F619" s="56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620" spans="1:6" x14ac:dyDescent="0.35">
      <c r="A620" s="36" t="str">
        <f>_xlfn.TEXTJOIN(" ",TRUE,Employees_Data[[#This Row],[First Name]],Employees_Data[[#This Row],[Last Name]])</f>
        <v>Rabye' Alzrqawy</v>
      </c>
      <c r="B620" s="37">
        <f ca="1">DATEDIF(Employees!$F620,TODAY(),"Y")</f>
        <v>7</v>
      </c>
      <c r="C620" s="63">
        <v>3</v>
      </c>
      <c r="D620" s="54">
        <v>0</v>
      </c>
      <c r="E620" s="54">
        <v>2000</v>
      </c>
      <c r="F620" s="54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621" spans="1:6" x14ac:dyDescent="0.35">
      <c r="A621" s="40" t="str">
        <f>_xlfn.TEXTJOIN(" ",TRUE,Employees_Data[[#This Row],[First Name]],Employees_Data[[#This Row],[Last Name]])</f>
        <v>Kholoud Huquq</v>
      </c>
      <c r="B621" s="41">
        <f ca="1">DATEDIF(Employees!$F621,TODAY(),"Y")</f>
        <v>7</v>
      </c>
      <c r="C621" s="64">
        <v>3</v>
      </c>
      <c r="D621" s="56">
        <v>7</v>
      </c>
      <c r="E621" s="56">
        <v>2860</v>
      </c>
      <c r="F621" s="56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622" spans="1:6" x14ac:dyDescent="0.35">
      <c r="A622" s="36" t="str">
        <f>_xlfn.TEXTJOIN(" ",TRUE,Employees_Data[[#This Row],[First Name]],Employees_Data[[#This Row],[Last Name]])</f>
        <v>Ibrahim Alqatish</v>
      </c>
      <c r="B622" s="37">
        <f ca="1">DATEDIF(Employees!$F622,TODAY(),"Y")</f>
        <v>7</v>
      </c>
      <c r="C622" s="63">
        <v>4.5</v>
      </c>
      <c r="D622" s="54">
        <v>1</v>
      </c>
      <c r="E622" s="54">
        <v>943</v>
      </c>
      <c r="F622" s="54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623" spans="1:6" x14ac:dyDescent="0.35">
      <c r="A623" s="40" t="str">
        <f>_xlfn.TEXTJOIN(" ",TRUE,Employees_Data[[#This Row],[First Name]],Employees_Data[[#This Row],[Last Name]])</f>
        <v>Salih Altawil</v>
      </c>
      <c r="B623" s="41">
        <f ca="1">DATEDIF(Employees!$F623,TODAY(),"Y")</f>
        <v>7</v>
      </c>
      <c r="C623" s="64">
        <v>2</v>
      </c>
      <c r="D623" s="56">
        <v>10</v>
      </c>
      <c r="E623" s="56">
        <v>1018</v>
      </c>
      <c r="F623" s="56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624" spans="1:6" x14ac:dyDescent="0.35">
      <c r="A624" s="36" t="str">
        <f>_xlfn.TEXTJOIN(" ",TRUE,Employees_Data[[#This Row],[First Name]],Employees_Data[[#This Row],[Last Name]])</f>
        <v>Sami Alsyd Ahmad</v>
      </c>
      <c r="B624" s="37">
        <f ca="1">DATEDIF(Employees!$F624,TODAY(),"Y")</f>
        <v>7</v>
      </c>
      <c r="C624" s="63">
        <v>3</v>
      </c>
      <c r="D624" s="54">
        <v>50</v>
      </c>
      <c r="E624" s="54">
        <v>1835</v>
      </c>
      <c r="F624" s="54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625" spans="1:6" x14ac:dyDescent="0.35">
      <c r="A625" s="40" t="str">
        <f>_xlfn.TEXTJOIN(" ",TRUE,Employees_Data[[#This Row],[First Name]],Employees_Data[[#This Row],[Last Name]])</f>
        <v>Zahir Aleitar</v>
      </c>
      <c r="B625" s="41">
        <f ca="1">DATEDIF(Employees!$F625,TODAY(),"Y")</f>
        <v>8</v>
      </c>
      <c r="C625" s="64">
        <v>4.5</v>
      </c>
      <c r="D625" s="56">
        <v>1</v>
      </c>
      <c r="E625" s="56">
        <v>2192</v>
      </c>
      <c r="F625" s="56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626" spans="1:6" x14ac:dyDescent="0.35">
      <c r="A626" s="36" t="str">
        <f>_xlfn.TEXTJOIN(" ",TRUE,Employees_Data[[#This Row],[First Name]],Employees_Data[[#This Row],[Last Name]])</f>
        <v>Fatir Alealiu</v>
      </c>
      <c r="B626" s="37">
        <f ca="1">DATEDIF(Employees!$F626,TODAY(),"Y")</f>
        <v>7</v>
      </c>
      <c r="C626" s="63">
        <v>3</v>
      </c>
      <c r="D626" s="54">
        <v>4</v>
      </c>
      <c r="E626" s="54">
        <v>2875</v>
      </c>
      <c r="F626" s="54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627" spans="1:6" x14ac:dyDescent="0.35">
      <c r="A627" s="40" t="str">
        <f>_xlfn.TEXTJOIN(" ",TRUE,Employees_Data[[#This Row],[First Name]],Employees_Data[[#This Row],[Last Name]])</f>
        <v>Samir Alealiu</v>
      </c>
      <c r="B627" s="41">
        <f ca="1">DATEDIF(Employees!$F627,TODAY(),"Y")</f>
        <v>7</v>
      </c>
      <c r="C627" s="64">
        <v>2</v>
      </c>
      <c r="D627" s="56">
        <v>14</v>
      </c>
      <c r="E627" s="56">
        <v>1332</v>
      </c>
      <c r="F627" s="56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628" spans="1:6" x14ac:dyDescent="0.35">
      <c r="A628" s="36" t="str">
        <f>_xlfn.TEXTJOIN(" ",TRUE,Employees_Data[[#This Row],[First Name]],Employees_Data[[#This Row],[Last Name]])</f>
        <v>Muhamad Sulayman</v>
      </c>
      <c r="B628" s="37">
        <f ca="1">DATEDIF(Employees!$F628,TODAY(),"Y")</f>
        <v>8</v>
      </c>
      <c r="C628" s="63">
        <v>5</v>
      </c>
      <c r="D628" s="54">
        <v>5</v>
      </c>
      <c r="E628" s="54">
        <v>2023</v>
      </c>
      <c r="F628" s="54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629" spans="1:6" x14ac:dyDescent="0.35">
      <c r="A629" s="40" t="str">
        <f>_xlfn.TEXTJOIN(" ",TRUE,Employees_Data[[#This Row],[First Name]],Employees_Data[[#This Row],[Last Name]])</f>
        <v>Muhamad Suqabani</v>
      </c>
      <c r="B629" s="41">
        <f ca="1">DATEDIF(Employees!$F629,TODAY(),"Y")</f>
        <v>5</v>
      </c>
      <c r="C629" s="64">
        <v>4.5</v>
      </c>
      <c r="D629" s="56">
        <v>2</v>
      </c>
      <c r="E629" s="56">
        <v>2094</v>
      </c>
      <c r="F629" s="56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630" spans="1:6" x14ac:dyDescent="0.35">
      <c r="A630" s="36" t="str">
        <f>_xlfn.TEXTJOIN(" ",TRUE,Employees_Data[[#This Row],[First Name]],Employees_Data[[#This Row],[Last Name]])</f>
        <v>Muhamad Aldubbas</v>
      </c>
      <c r="B630" s="37">
        <f ca="1">DATEDIF(Employees!$F630,TODAY(),"Y")</f>
        <v>7</v>
      </c>
      <c r="C630" s="63">
        <v>4.5</v>
      </c>
      <c r="D630" s="54">
        <v>7</v>
      </c>
      <c r="E630" s="54">
        <v>3006</v>
      </c>
      <c r="F630" s="54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631" spans="1:6" x14ac:dyDescent="0.35">
      <c r="A631" s="40" t="str">
        <f>_xlfn.TEXTJOIN(" ",TRUE,Employees_Data[[#This Row],[First Name]],Employees_Data[[#This Row],[Last Name]])</f>
        <v>Hamzaa Astitih</v>
      </c>
      <c r="B631" s="41">
        <f ca="1">DATEDIF(Employees!$F631,TODAY(),"Y")</f>
        <v>6</v>
      </c>
      <c r="C631" s="64">
        <v>5</v>
      </c>
      <c r="D631" s="56">
        <v>7</v>
      </c>
      <c r="E631" s="56">
        <v>2717</v>
      </c>
      <c r="F631" s="56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632" spans="1:6" x14ac:dyDescent="0.35">
      <c r="A632" s="36" t="str">
        <f>_xlfn.TEXTJOIN(" ",TRUE,Employees_Data[[#This Row],[First Name]],Employees_Data[[#This Row],[Last Name]])</f>
        <v>Sulayman Zinu</v>
      </c>
      <c r="B632" s="37">
        <f ca="1">DATEDIF(Employees!$F632,TODAY(),"Y")</f>
        <v>8</v>
      </c>
      <c r="C632" s="63">
        <v>3</v>
      </c>
      <c r="D632" s="54">
        <v>5</v>
      </c>
      <c r="E632" s="54">
        <v>3135</v>
      </c>
      <c r="F632" s="54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633" spans="1:6" x14ac:dyDescent="0.35">
      <c r="A633" s="40" t="str">
        <f>_xlfn.TEXTJOIN(" ",TRUE,Employees_Data[[#This Row],[First Name]],Employees_Data[[#This Row],[Last Name]])</f>
        <v>Alaa Alrifaei</v>
      </c>
      <c r="B633" s="41">
        <f ca="1">DATEDIF(Employees!$F633,TODAY(),"Y")</f>
        <v>6</v>
      </c>
      <c r="C633" s="64">
        <v>1</v>
      </c>
      <c r="D633" s="56">
        <v>2</v>
      </c>
      <c r="E633" s="56">
        <v>2334</v>
      </c>
      <c r="F633" s="56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634" spans="1:6" x14ac:dyDescent="0.35">
      <c r="A634" s="36" t="str">
        <f>_xlfn.TEXTJOIN(" ",TRUE,Employees_Data[[#This Row],[First Name]],Employees_Data[[#This Row],[Last Name]])</f>
        <v>Rasha Alrifaei</v>
      </c>
      <c r="B634" s="37">
        <f ca="1">DATEDIF(Employees!$F634,TODAY(),"Y")</f>
        <v>7</v>
      </c>
      <c r="C634" s="63">
        <v>5</v>
      </c>
      <c r="D634" s="54">
        <v>9</v>
      </c>
      <c r="E634" s="54">
        <v>1661</v>
      </c>
      <c r="F634" s="54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635" spans="1:6" x14ac:dyDescent="0.35">
      <c r="A635" s="40" t="str">
        <f>_xlfn.TEXTJOIN(" ",TRUE,Employees_Data[[#This Row],[First Name]],Employees_Data[[#This Row],[Last Name]])</f>
        <v>Bayan Darbika</v>
      </c>
      <c r="B635" s="41">
        <f ca="1">DATEDIF(Employees!$F635,TODAY(),"Y")</f>
        <v>7</v>
      </c>
      <c r="C635" s="64">
        <v>5</v>
      </c>
      <c r="D635" s="56">
        <v>5</v>
      </c>
      <c r="E635" s="56">
        <v>1230</v>
      </c>
      <c r="F635" s="56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636" spans="1:6" x14ac:dyDescent="0.35">
      <c r="A636" s="36" t="str">
        <f>_xlfn.TEXTJOIN(" ",TRUE,Employees_Data[[#This Row],[First Name]],Employees_Data[[#This Row],[Last Name]])</f>
        <v>Iin Almunzilijiu</v>
      </c>
      <c r="B636" s="37">
        <f ca="1">DATEDIF(Employees!$F636,TODAY(),"Y")</f>
        <v>10</v>
      </c>
      <c r="C636" s="63">
        <v>5</v>
      </c>
      <c r="D636" s="54">
        <v>8</v>
      </c>
      <c r="E636" s="54">
        <v>1483</v>
      </c>
      <c r="F636" s="54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637" spans="1:6" x14ac:dyDescent="0.35">
      <c r="A637" s="40" t="str">
        <f>_xlfn.TEXTJOIN(" ",TRUE,Employees_Data[[#This Row],[First Name]],Employees_Data[[#This Row],[Last Name]])</f>
        <v>Abd Alwahhab Aldhiyab</v>
      </c>
      <c r="B637" s="41">
        <f ca="1">DATEDIF(Employees!$F637,TODAY(),"Y")</f>
        <v>7</v>
      </c>
      <c r="C637" s="64">
        <v>3</v>
      </c>
      <c r="D637" s="56">
        <v>2</v>
      </c>
      <c r="E637" s="56">
        <v>2462</v>
      </c>
      <c r="F637" s="56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638" spans="1:6" x14ac:dyDescent="0.35">
      <c r="A638" s="36" t="str">
        <f>_xlfn.TEXTJOIN(" ",TRUE,Employees_Data[[#This Row],[First Name]],Employees_Data[[#This Row],[Last Name]])</f>
        <v>Hanan Salahi</v>
      </c>
      <c r="B638" s="37">
        <f ca="1">DATEDIF(Employees!$F638,TODAY(),"Y")</f>
        <v>5</v>
      </c>
      <c r="C638" s="63">
        <v>5</v>
      </c>
      <c r="D638" s="54">
        <v>0</v>
      </c>
      <c r="E638" s="54">
        <v>2180</v>
      </c>
      <c r="F638" s="54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639" spans="1:6" x14ac:dyDescent="0.35">
      <c r="A639" s="40" t="str">
        <f>_xlfn.TEXTJOIN(" ",TRUE,Employees_Data[[#This Row],[First Name]],Employees_Data[[#This Row],[Last Name]])</f>
        <v>Mari Ayuwb</v>
      </c>
      <c r="B639" s="41">
        <f ca="1">DATEDIF(Employees!$F639,TODAY(),"Y")</f>
        <v>10</v>
      </c>
      <c r="C639" s="64">
        <v>5</v>
      </c>
      <c r="D639" s="56">
        <v>7</v>
      </c>
      <c r="E639" s="56">
        <v>943</v>
      </c>
      <c r="F639" s="56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640" spans="1:6" x14ac:dyDescent="0.35">
      <c r="A640" s="36" t="str">
        <f>_xlfn.TEXTJOIN(" ",TRUE,Employees_Data[[#This Row],[First Name]],Employees_Data[[#This Row],[Last Name]])</f>
        <v>Omar Shawqi</v>
      </c>
      <c r="B640" s="37">
        <f ca="1">DATEDIF(Employees!$F640,TODAY(),"Y")</f>
        <v>7</v>
      </c>
      <c r="C640" s="63">
        <v>3</v>
      </c>
      <c r="D640" s="54">
        <v>3</v>
      </c>
      <c r="E640" s="54">
        <v>2489</v>
      </c>
      <c r="F640" s="54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641" spans="1:6" x14ac:dyDescent="0.35">
      <c r="A641" s="40" t="str">
        <f>_xlfn.TEXTJOIN(" ",TRUE,Employees_Data[[#This Row],[First Name]],Employees_Data[[#This Row],[Last Name]])</f>
        <v>Tariq Aldhahabi</v>
      </c>
      <c r="B641" s="41">
        <f ca="1">DATEDIF(Employees!$F641,TODAY(),"Y")</f>
        <v>6</v>
      </c>
      <c r="C641" s="64">
        <v>5</v>
      </c>
      <c r="D641" s="56">
        <v>4</v>
      </c>
      <c r="E641" s="56">
        <v>2279</v>
      </c>
      <c r="F641" s="56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642" spans="1:6" x14ac:dyDescent="0.35">
      <c r="A642" s="36" t="str">
        <f>_xlfn.TEXTJOIN(" ",TRUE,Employees_Data[[#This Row],[First Name]],Employees_Data[[#This Row],[Last Name]])</f>
        <v>Rama Asead</v>
      </c>
      <c r="B642" s="37">
        <f ca="1">DATEDIF(Employees!$F642,TODAY(),"Y")</f>
        <v>7</v>
      </c>
      <c r="C642" s="63">
        <v>3</v>
      </c>
      <c r="D642" s="54">
        <v>10</v>
      </c>
      <c r="E642" s="54">
        <v>840</v>
      </c>
      <c r="F642" s="54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643" spans="1:6" x14ac:dyDescent="0.35">
      <c r="A643" s="40" t="str">
        <f>_xlfn.TEXTJOIN(" ",TRUE,Employees_Data[[#This Row],[First Name]],Employees_Data[[#This Row],[Last Name]])</f>
        <v>Ghayth Eali</v>
      </c>
      <c r="B643" s="41">
        <f ca="1">DATEDIF(Employees!$F643,TODAY(),"Y")</f>
        <v>7</v>
      </c>
      <c r="C643" s="64">
        <v>5</v>
      </c>
      <c r="D643" s="56">
        <v>3</v>
      </c>
      <c r="E643" s="56">
        <v>1601</v>
      </c>
      <c r="F643" s="56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644" spans="1:6" x14ac:dyDescent="0.35">
      <c r="A644" s="36" t="str">
        <f>_xlfn.TEXTJOIN(" ",TRUE,Employees_Data[[#This Row],[First Name]],Employees_Data[[#This Row],[Last Name]])</f>
        <v>Mahir Eabuwd</v>
      </c>
      <c r="B644" s="37">
        <f ca="1">DATEDIF(Employees!$F644,TODAY(),"Y")</f>
        <v>8</v>
      </c>
      <c r="C644" s="63">
        <v>5</v>
      </c>
      <c r="D644" s="54">
        <v>10</v>
      </c>
      <c r="E644" s="54">
        <v>1414</v>
      </c>
      <c r="F644" s="54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645" spans="1:6" x14ac:dyDescent="0.35">
      <c r="A645" s="40" t="str">
        <f>_xlfn.TEXTJOIN(" ",TRUE,Employees_Data[[#This Row],[First Name]],Employees_Data[[#This Row],[Last Name]])</f>
        <v>Muwmin Almujahid</v>
      </c>
      <c r="B645" s="41">
        <f ca="1">DATEDIF(Employees!$F645,TODAY(),"Y")</f>
        <v>6</v>
      </c>
      <c r="C645" s="64">
        <v>3</v>
      </c>
      <c r="D645" s="56">
        <v>8</v>
      </c>
      <c r="E645" s="56">
        <v>905</v>
      </c>
      <c r="F645" s="56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646" spans="1:6" x14ac:dyDescent="0.35">
      <c r="A646" s="36" t="str">
        <f>_xlfn.TEXTJOIN(" ",TRUE,Employees_Data[[#This Row],[First Name]],Employees_Data[[#This Row],[Last Name]])</f>
        <v>Dima Drwysh</v>
      </c>
      <c r="B646" s="37">
        <f ca="1">DATEDIF(Employees!$F646,TODAY(),"Y")</f>
        <v>6</v>
      </c>
      <c r="C646" s="63">
        <v>3</v>
      </c>
      <c r="D646" s="54">
        <v>10</v>
      </c>
      <c r="E646" s="54">
        <v>2525</v>
      </c>
      <c r="F646" s="54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647" spans="1:6" x14ac:dyDescent="0.35">
      <c r="A647" s="40" t="str">
        <f>_xlfn.TEXTJOIN(" ",TRUE,Employees_Data[[#This Row],[First Name]],Employees_Data[[#This Row],[Last Name]])</f>
        <v>Muhamad Khalid</v>
      </c>
      <c r="B647" s="41">
        <f ca="1">DATEDIF(Employees!$F647,TODAY(),"Y")</f>
        <v>8</v>
      </c>
      <c r="C647" s="64">
        <v>2</v>
      </c>
      <c r="D647" s="56">
        <v>7</v>
      </c>
      <c r="E647" s="56">
        <v>1412</v>
      </c>
      <c r="F647" s="56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648" spans="1:6" x14ac:dyDescent="0.35">
      <c r="A648" s="36" t="str">
        <f>_xlfn.TEXTJOIN(" ",TRUE,Employees_Data[[#This Row],[First Name]],Employees_Data[[#This Row],[Last Name]])</f>
        <v>Diea Filyun</v>
      </c>
      <c r="B648" s="37">
        <f ca="1">DATEDIF(Employees!$F648,TODAY(),"Y")</f>
        <v>6</v>
      </c>
      <c r="C648" s="63">
        <v>3</v>
      </c>
      <c r="D648" s="54">
        <v>100</v>
      </c>
      <c r="E648" s="54">
        <v>2397</v>
      </c>
      <c r="F648" s="54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Eligible</v>
      </c>
    </row>
    <row r="649" spans="1:6" x14ac:dyDescent="0.35">
      <c r="A649" s="40" t="str">
        <f>_xlfn.TEXTJOIN(" ",TRUE,Employees_Data[[#This Row],[First Name]],Employees_Data[[#This Row],[Last Name]])</f>
        <v>Muhamad Tasbihji</v>
      </c>
      <c r="B649" s="41">
        <f ca="1">DATEDIF(Employees!$F649,TODAY(),"Y")</f>
        <v>6</v>
      </c>
      <c r="C649" s="64">
        <v>4.5</v>
      </c>
      <c r="D649" s="56">
        <v>10</v>
      </c>
      <c r="E649" s="56">
        <v>1153</v>
      </c>
      <c r="F649" s="56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650" spans="1:6" x14ac:dyDescent="0.35">
      <c r="A650" s="36" t="str">
        <f>_xlfn.TEXTJOIN(" ",TRUE,Employees_Data[[#This Row],[First Name]],Employees_Data[[#This Row],[Last Name]])</f>
        <v>Mazin Shumut</v>
      </c>
      <c r="B650" s="37">
        <f ca="1">DATEDIF(Employees!$F650,TODAY(),"Y")</f>
        <v>9</v>
      </c>
      <c r="C650" s="63">
        <v>2</v>
      </c>
      <c r="D650" s="54">
        <v>6</v>
      </c>
      <c r="E650" s="54">
        <v>2091</v>
      </c>
      <c r="F650" s="54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651" spans="1:6" x14ac:dyDescent="0.35">
      <c r="A651" s="40" t="str">
        <f>_xlfn.TEXTJOIN(" ",TRUE,Employees_Data[[#This Row],[First Name]],Employees_Data[[#This Row],[Last Name]])</f>
        <v>Omar Zaqzuq</v>
      </c>
      <c r="B651" s="41">
        <f ca="1">DATEDIF(Employees!$F651,TODAY(),"Y")</f>
        <v>6</v>
      </c>
      <c r="C651" s="64">
        <v>5</v>
      </c>
      <c r="D651" s="56">
        <v>7</v>
      </c>
      <c r="E651" s="56">
        <v>1444</v>
      </c>
      <c r="F651" s="56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652" spans="1:6" x14ac:dyDescent="0.35">
      <c r="A652" s="36" t="str">
        <f>_xlfn.TEXTJOIN(" ",TRUE,Employees_Data[[#This Row],[First Name]],Employees_Data[[#This Row],[Last Name]])</f>
        <v>Yasmin Eamir</v>
      </c>
      <c r="B652" s="37">
        <f ca="1">DATEDIF(Employees!$F652,TODAY(),"Y")</f>
        <v>9</v>
      </c>
      <c r="C652" s="63">
        <v>4.5</v>
      </c>
      <c r="D652" s="54">
        <v>1</v>
      </c>
      <c r="E652" s="54">
        <v>2360</v>
      </c>
      <c r="F652" s="54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653" spans="1:6" x14ac:dyDescent="0.35">
      <c r="A653" s="40" t="str">
        <f>_xlfn.TEXTJOIN(" ",TRUE,Employees_Data[[#This Row],[First Name]],Employees_Data[[#This Row],[Last Name]])</f>
        <v>Muhamad Haydar</v>
      </c>
      <c r="B653" s="41">
        <f ca="1">DATEDIF(Employees!$F653,TODAY(),"Y")</f>
        <v>5</v>
      </c>
      <c r="C653" s="64">
        <v>1</v>
      </c>
      <c r="D653" s="56">
        <v>6</v>
      </c>
      <c r="E653" s="56">
        <v>2576</v>
      </c>
      <c r="F653" s="56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654" spans="1:6" x14ac:dyDescent="0.35">
      <c r="A654" s="36" t="str">
        <f>_xlfn.TEXTJOIN(" ",TRUE,Employees_Data[[#This Row],[First Name]],Employees_Data[[#This Row],[Last Name]])</f>
        <v>Muhamad Ratib</v>
      </c>
      <c r="B654" s="37">
        <f ca="1">DATEDIF(Employees!$F654,TODAY(),"Y")</f>
        <v>6</v>
      </c>
      <c r="C654" s="63">
        <v>2</v>
      </c>
      <c r="D654" s="54">
        <v>57</v>
      </c>
      <c r="E654" s="54">
        <v>2376</v>
      </c>
      <c r="F654" s="54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655" spans="1:6" x14ac:dyDescent="0.35">
      <c r="A655" s="40" t="str">
        <f>_xlfn.TEXTJOIN(" ",TRUE,Employees_Data[[#This Row],[First Name]],Employees_Data[[#This Row],[Last Name]])</f>
        <v>Muayid Siedih</v>
      </c>
      <c r="B655" s="41">
        <f ca="1">DATEDIF(Employees!$F655,TODAY(),"Y")</f>
        <v>7</v>
      </c>
      <c r="C655" s="64">
        <v>4.5</v>
      </c>
      <c r="D655" s="56">
        <v>10</v>
      </c>
      <c r="E655" s="56">
        <v>2924</v>
      </c>
      <c r="F655" s="56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656" spans="1:6" x14ac:dyDescent="0.35">
      <c r="A656" s="36" t="str">
        <f>_xlfn.TEXTJOIN(" ",TRUE,Employees_Data[[#This Row],[First Name]],Employees_Data[[#This Row],[Last Name]])</f>
        <v>Husam Alhamd</v>
      </c>
      <c r="B656" s="37">
        <f ca="1">DATEDIF(Employees!$F656,TODAY(),"Y")</f>
        <v>9</v>
      </c>
      <c r="C656" s="63">
        <v>1</v>
      </c>
      <c r="D656" s="54">
        <v>10</v>
      </c>
      <c r="E656" s="54">
        <v>2548</v>
      </c>
      <c r="F656" s="54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657" spans="1:6" x14ac:dyDescent="0.35">
      <c r="A657" s="40" t="str">
        <f>_xlfn.TEXTJOIN(" ",TRUE,Employees_Data[[#This Row],[First Name]],Employees_Data[[#This Row],[Last Name]])</f>
        <v>Abdalkrim Fadal</v>
      </c>
      <c r="B657" s="41">
        <f ca="1">DATEDIF(Employees!$F657,TODAY(),"Y")</f>
        <v>6</v>
      </c>
      <c r="C657" s="64">
        <v>1</v>
      </c>
      <c r="D657" s="56">
        <v>7</v>
      </c>
      <c r="E657" s="56">
        <v>841</v>
      </c>
      <c r="F657" s="56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658" spans="1:6" x14ac:dyDescent="0.35">
      <c r="A658" s="36" t="str">
        <f>_xlfn.TEXTJOIN(" ",TRUE,Employees_Data[[#This Row],[First Name]],Employees_Data[[#This Row],[Last Name]])</f>
        <v>Bayan Eurnus</v>
      </c>
      <c r="B658" s="37">
        <f ca="1">DATEDIF(Employees!$F658,TODAY(),"Y")</f>
        <v>6</v>
      </c>
      <c r="C658" s="63">
        <v>3</v>
      </c>
      <c r="D658" s="54">
        <v>6</v>
      </c>
      <c r="E658" s="54">
        <v>3017</v>
      </c>
      <c r="F658" s="54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659" spans="1:6" x14ac:dyDescent="0.35">
      <c r="A659" s="40" t="str">
        <f>_xlfn.TEXTJOIN(" ",TRUE,Employees_Data[[#This Row],[First Name]],Employees_Data[[#This Row],[Last Name]])</f>
        <v>Abd Almueiyn Eitaya</v>
      </c>
      <c r="B659" s="41">
        <f ca="1">DATEDIF(Employees!$F659,TODAY(),"Y")</f>
        <v>8</v>
      </c>
      <c r="C659" s="64">
        <v>5</v>
      </c>
      <c r="D659" s="56">
        <v>9</v>
      </c>
      <c r="E659" s="56">
        <v>1077</v>
      </c>
      <c r="F659" s="56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660" spans="1:6" x14ac:dyDescent="0.35">
      <c r="A660" s="36" t="str">
        <f>_xlfn.TEXTJOIN(" ",TRUE,Employees_Data[[#This Row],[First Name]],Employees_Data[[#This Row],[Last Name]])</f>
        <v>Sahar Qisam</v>
      </c>
      <c r="B660" s="37">
        <f ca="1">DATEDIF(Employees!$F660,TODAY(),"Y")</f>
        <v>8</v>
      </c>
      <c r="C660" s="63">
        <v>4.5</v>
      </c>
      <c r="D660" s="54">
        <v>8</v>
      </c>
      <c r="E660" s="54">
        <v>3316</v>
      </c>
      <c r="F660" s="54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661" spans="1:6" x14ac:dyDescent="0.35">
      <c r="A661" s="40" t="str">
        <f>_xlfn.TEXTJOIN(" ",TRUE,Employees_Data[[#This Row],[First Name]],Employees_Data[[#This Row],[Last Name]])</f>
        <v>Rafat Musaa</v>
      </c>
      <c r="B661" s="41">
        <f ca="1">DATEDIF(Employees!$F661,TODAY(),"Y")</f>
        <v>7</v>
      </c>
      <c r="C661" s="64">
        <v>4.5</v>
      </c>
      <c r="D661" s="56">
        <v>9</v>
      </c>
      <c r="E661" s="56">
        <v>2188</v>
      </c>
      <c r="F661" s="56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662" spans="1:6" x14ac:dyDescent="0.35">
      <c r="A662" s="36" t="str">
        <f>_xlfn.TEXTJOIN(" ",TRUE,Employees_Data[[#This Row],[First Name]],Employees_Data[[#This Row],[Last Name]])</f>
        <v>Shafiq Almalih</v>
      </c>
      <c r="B662" s="37">
        <f ca="1">DATEDIF(Employees!$F662,TODAY(),"Y")</f>
        <v>7</v>
      </c>
      <c r="C662" s="63">
        <v>5</v>
      </c>
      <c r="D662" s="54">
        <v>6</v>
      </c>
      <c r="E662" s="54">
        <v>1684</v>
      </c>
      <c r="F662" s="54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663" spans="1:6" x14ac:dyDescent="0.35">
      <c r="A663" s="40" t="str">
        <f>_xlfn.TEXTJOIN(" ",TRUE,Employees_Data[[#This Row],[First Name]],Employees_Data[[#This Row],[Last Name]])</f>
        <v>Raghad Aghasi</v>
      </c>
      <c r="B663" s="41">
        <f ca="1">DATEDIF(Employees!$F663,TODAY(),"Y")</f>
        <v>6</v>
      </c>
      <c r="C663" s="64">
        <v>3</v>
      </c>
      <c r="D663" s="56">
        <v>8</v>
      </c>
      <c r="E663" s="56">
        <v>716</v>
      </c>
      <c r="F663" s="56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664" spans="1:6" x14ac:dyDescent="0.35">
      <c r="A664" s="36" t="str">
        <f>_xlfn.TEXTJOIN(" ",TRUE,Employees_Data[[#This Row],[First Name]],Employees_Data[[#This Row],[Last Name]])</f>
        <v>Ruba Alhumwi</v>
      </c>
      <c r="B664" s="37">
        <f ca="1">DATEDIF(Employees!$F664,TODAY(),"Y")</f>
        <v>7</v>
      </c>
      <c r="C664" s="63">
        <v>2</v>
      </c>
      <c r="D664" s="54">
        <v>4</v>
      </c>
      <c r="E664" s="54">
        <v>2703</v>
      </c>
      <c r="F664" s="54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665" spans="1:6" x14ac:dyDescent="0.35">
      <c r="A665" s="40" t="str">
        <f>_xlfn.TEXTJOIN(" ",TRUE,Employees_Data[[#This Row],[First Name]],Employees_Data[[#This Row],[Last Name]])</f>
        <v>Bilal Alqalish</v>
      </c>
      <c r="B665" s="41">
        <f ca="1">DATEDIF(Employees!$F665,TODAY(),"Y")</f>
        <v>8</v>
      </c>
      <c r="C665" s="64">
        <v>5</v>
      </c>
      <c r="D665" s="56">
        <v>1</v>
      </c>
      <c r="E665" s="56">
        <v>2361</v>
      </c>
      <c r="F665" s="56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666" spans="1:6" x14ac:dyDescent="0.35">
      <c r="A666" s="36" t="str">
        <f>_xlfn.TEXTJOIN(" ",TRUE,Employees_Data[[#This Row],[First Name]],Employees_Data[[#This Row],[Last Name]])</f>
        <v>Muhamad Almisri</v>
      </c>
      <c r="B666" s="37">
        <f ca="1">DATEDIF(Employees!$F666,TODAY(),"Y")</f>
        <v>5</v>
      </c>
      <c r="C666" s="63">
        <v>1</v>
      </c>
      <c r="D666" s="54">
        <v>7</v>
      </c>
      <c r="E666" s="54">
        <v>1797</v>
      </c>
      <c r="F666" s="54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667" spans="1:6" x14ac:dyDescent="0.35">
      <c r="A667" s="40" t="str">
        <f>_xlfn.TEXTJOIN(" ",TRUE,Employees_Data[[#This Row],[First Name]],Employees_Data[[#This Row],[Last Name]])</f>
        <v>Husayn Hawria</v>
      </c>
      <c r="B667" s="41">
        <f ca="1">DATEDIF(Employees!$F667,TODAY(),"Y")</f>
        <v>6</v>
      </c>
      <c r="C667" s="64">
        <v>3</v>
      </c>
      <c r="D667" s="56">
        <v>2</v>
      </c>
      <c r="E667" s="56">
        <v>2252</v>
      </c>
      <c r="F667" s="56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668" spans="1:6" x14ac:dyDescent="0.35">
      <c r="A668" s="36" t="str">
        <f>_xlfn.TEXTJOIN(" ",TRUE,Employees_Data[[#This Row],[First Name]],Employees_Data[[#This Row],[Last Name]])</f>
        <v>Safa Alshahadat</v>
      </c>
      <c r="B668" s="37">
        <f ca="1">DATEDIF(Employees!$F668,TODAY(),"Y")</f>
        <v>8</v>
      </c>
      <c r="C668" s="63">
        <v>5</v>
      </c>
      <c r="D668" s="54">
        <v>9</v>
      </c>
      <c r="E668" s="54">
        <v>2486</v>
      </c>
      <c r="F668" s="54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669" spans="1:6" x14ac:dyDescent="0.35">
      <c r="A669" s="40" t="str">
        <f>_xlfn.TEXTJOIN(" ",TRUE,Employees_Data[[#This Row],[First Name]],Employees_Data[[#This Row],[Last Name]])</f>
        <v>Ahmad Aldiyk</v>
      </c>
      <c r="B669" s="41">
        <f ca="1">DATEDIF(Employees!$F669,TODAY(),"Y")</f>
        <v>6</v>
      </c>
      <c r="C669" s="64">
        <v>2</v>
      </c>
      <c r="D669" s="56">
        <v>8</v>
      </c>
      <c r="E669" s="56">
        <v>1197</v>
      </c>
      <c r="F669" s="56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670" spans="1:6" x14ac:dyDescent="0.35">
      <c r="A670" s="36" t="str">
        <f>_xlfn.TEXTJOIN(" ",TRUE,Employees_Data[[#This Row],[First Name]],Employees_Data[[#This Row],[Last Name]])</f>
        <v>Hind Almueasaeas</v>
      </c>
      <c r="B670" s="37">
        <f ca="1">DATEDIF(Employees!$F670,TODAY(),"Y")</f>
        <v>7</v>
      </c>
      <c r="C670" s="63">
        <v>3</v>
      </c>
      <c r="D670" s="54">
        <v>7</v>
      </c>
      <c r="E670" s="54">
        <v>3389</v>
      </c>
      <c r="F670" s="54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671" spans="1:6" x14ac:dyDescent="0.35">
      <c r="A671" s="40" t="str">
        <f>_xlfn.TEXTJOIN(" ",TRUE,Employees_Data[[#This Row],[First Name]],Employees_Data[[#This Row],[Last Name]])</f>
        <v>Dania Earmush</v>
      </c>
      <c r="B671" s="41">
        <f ca="1">DATEDIF(Employees!$F671,TODAY(),"Y")</f>
        <v>6</v>
      </c>
      <c r="C671" s="64">
        <v>1</v>
      </c>
      <c r="D671" s="56">
        <v>1</v>
      </c>
      <c r="E671" s="56">
        <v>2760</v>
      </c>
      <c r="F671" s="56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672" spans="1:6" x14ac:dyDescent="0.35">
      <c r="A672" s="36" t="str">
        <f>_xlfn.TEXTJOIN(" ",TRUE,Employees_Data[[#This Row],[First Name]],Employees_Data[[#This Row],[Last Name]])</f>
        <v>Ayly Bahriin</v>
      </c>
      <c r="B672" s="37">
        <f ca="1">DATEDIF(Employees!$F672,TODAY(),"Y")</f>
        <v>9</v>
      </c>
      <c r="C672" s="63">
        <v>5</v>
      </c>
      <c r="D672" s="54">
        <v>10</v>
      </c>
      <c r="E672" s="54">
        <v>1232</v>
      </c>
      <c r="F672" s="54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673" spans="1:6" x14ac:dyDescent="0.35">
      <c r="A673" s="40" t="str">
        <f>_xlfn.TEXTJOIN(" ",TRUE,Employees_Data[[#This Row],[First Name]],Employees_Data[[#This Row],[Last Name]])</f>
        <v>Jihan Nadir</v>
      </c>
      <c r="B673" s="41">
        <f ca="1">DATEDIF(Employees!$F673,TODAY(),"Y")</f>
        <v>7</v>
      </c>
      <c r="C673" s="64">
        <v>5</v>
      </c>
      <c r="D673" s="56">
        <v>4</v>
      </c>
      <c r="E673" s="56">
        <v>1045</v>
      </c>
      <c r="F673" s="56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674" spans="1:6" x14ac:dyDescent="0.35">
      <c r="A674" s="36" t="str">
        <f>_xlfn.TEXTJOIN(" ",TRUE,Employees_Data[[#This Row],[First Name]],Employees_Data[[#This Row],[Last Name]])</f>
        <v>Muhamad Sharif Aldaghly</v>
      </c>
      <c r="B674" s="37">
        <f ca="1">DATEDIF(Employees!$F674,TODAY(),"Y")</f>
        <v>8</v>
      </c>
      <c r="C674" s="63">
        <v>3</v>
      </c>
      <c r="D674" s="54">
        <v>6</v>
      </c>
      <c r="E674" s="54">
        <v>3257</v>
      </c>
      <c r="F674" s="54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675" spans="1:6" x14ac:dyDescent="0.35">
      <c r="A675" s="40" t="str">
        <f>_xlfn.TEXTJOIN(" ",TRUE,Employees_Data[[#This Row],[First Name]],Employees_Data[[#This Row],[Last Name]])</f>
        <v>Emara bwalsibae</v>
      </c>
      <c r="B675" s="41">
        <f ca="1">DATEDIF(Employees!$F675,TODAY(),"Y")</f>
        <v>8</v>
      </c>
      <c r="C675" s="64">
        <v>3</v>
      </c>
      <c r="D675" s="56">
        <v>1</v>
      </c>
      <c r="E675" s="56">
        <v>3026</v>
      </c>
      <c r="F675" s="56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676" spans="1:6" x14ac:dyDescent="0.35">
      <c r="A676" s="36" t="str">
        <f>_xlfn.TEXTJOIN(" ",TRUE,Employees_Data[[#This Row],[First Name]],Employees_Data[[#This Row],[Last Name]])</f>
        <v>Razzan Alhusayni</v>
      </c>
      <c r="B676" s="37">
        <f ca="1">DATEDIF(Employees!$F676,TODAY(),"Y")</f>
        <v>6</v>
      </c>
      <c r="C676" s="63">
        <v>4.5</v>
      </c>
      <c r="D676" s="54">
        <v>2</v>
      </c>
      <c r="E676" s="54">
        <v>1898</v>
      </c>
      <c r="F676" s="54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677" spans="1:6" x14ac:dyDescent="0.35">
      <c r="A677" s="40" t="str">
        <f>_xlfn.TEXTJOIN(" ",TRUE,Employees_Data[[#This Row],[First Name]],Employees_Data[[#This Row],[Last Name]])</f>
        <v>Ghassan Aljamal</v>
      </c>
      <c r="B677" s="41">
        <f ca="1">DATEDIF(Employees!$F677,TODAY(),"Y")</f>
        <v>8</v>
      </c>
      <c r="C677" s="64">
        <v>3</v>
      </c>
      <c r="D677" s="56">
        <v>20</v>
      </c>
      <c r="E677" s="56">
        <v>2778</v>
      </c>
      <c r="F677" s="56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678" spans="1:6" x14ac:dyDescent="0.35">
      <c r="A678" s="36" t="str">
        <f>_xlfn.TEXTJOIN(" ",TRUE,Employees_Data[[#This Row],[First Name]],Employees_Data[[#This Row],[Last Name]])</f>
        <v>Omar Kahulus</v>
      </c>
      <c r="B678" s="37">
        <f ca="1">DATEDIF(Employees!$F678,TODAY(),"Y")</f>
        <v>8</v>
      </c>
      <c r="C678" s="63">
        <v>2</v>
      </c>
      <c r="D678" s="54">
        <v>5</v>
      </c>
      <c r="E678" s="54">
        <v>2880</v>
      </c>
      <c r="F678" s="54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679" spans="1:6" x14ac:dyDescent="0.35">
      <c r="A679" s="40" t="str">
        <f>_xlfn.TEXTJOIN(" ",TRUE,Employees_Data[[#This Row],[First Name]],Employees_Data[[#This Row],[Last Name]])</f>
        <v>Amjad Nasir</v>
      </c>
      <c r="B679" s="41">
        <f ca="1">DATEDIF(Employees!$F679,TODAY(),"Y")</f>
        <v>7</v>
      </c>
      <c r="C679" s="64">
        <v>3</v>
      </c>
      <c r="D679" s="56">
        <v>2</v>
      </c>
      <c r="E679" s="56">
        <v>2815</v>
      </c>
      <c r="F679" s="56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680" spans="1:6" x14ac:dyDescent="0.35">
      <c r="A680" s="36" t="str">
        <f>_xlfn.TEXTJOIN(" ",TRUE,Employees_Data[[#This Row],[First Name]],Employees_Data[[#This Row],[Last Name]])</f>
        <v>Iman Ghrz Aldiyn</v>
      </c>
      <c r="B680" s="37">
        <f ca="1">DATEDIF(Employees!$F680,TODAY(),"Y")</f>
        <v>7</v>
      </c>
      <c r="C680" s="63">
        <v>2</v>
      </c>
      <c r="D680" s="54">
        <v>14</v>
      </c>
      <c r="E680" s="54">
        <v>1134</v>
      </c>
      <c r="F680" s="54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681" spans="1:6" x14ac:dyDescent="0.35">
      <c r="A681" s="40" t="str">
        <f>_xlfn.TEXTJOIN(" ",TRUE,Employees_Data[[#This Row],[First Name]],Employees_Data[[#This Row],[Last Name]])</f>
        <v>Alysia Alyaghshiu</v>
      </c>
      <c r="B681" s="41">
        <f ca="1">DATEDIF(Employees!$F681,TODAY(),"Y")</f>
        <v>7</v>
      </c>
      <c r="C681" s="64">
        <v>1</v>
      </c>
      <c r="D681" s="56">
        <v>4</v>
      </c>
      <c r="E681" s="56">
        <v>3334</v>
      </c>
      <c r="F681" s="56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682" spans="1:6" x14ac:dyDescent="0.35">
      <c r="A682" s="36" t="str">
        <f>_xlfn.TEXTJOIN(" ",TRUE,Employees_Data[[#This Row],[First Name]],Employees_Data[[#This Row],[Last Name]])</f>
        <v>Ayham Alqadi</v>
      </c>
      <c r="B682" s="37">
        <f ca="1">DATEDIF(Employees!$F682,TODAY(),"Y")</f>
        <v>6</v>
      </c>
      <c r="C682" s="63">
        <v>3</v>
      </c>
      <c r="D682" s="54">
        <v>4</v>
      </c>
      <c r="E682" s="54">
        <v>2574</v>
      </c>
      <c r="F682" s="54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683" spans="1:6" x14ac:dyDescent="0.35">
      <c r="A683" s="40" t="str">
        <f>_xlfn.TEXTJOIN(" ",TRUE,Employees_Data[[#This Row],[First Name]],Employees_Data[[#This Row],[Last Name]])</f>
        <v>Diea Shuelan</v>
      </c>
      <c r="B683" s="41">
        <f ca="1">DATEDIF(Employees!$F683,TODAY(),"Y")</f>
        <v>7</v>
      </c>
      <c r="C683" s="64">
        <v>1</v>
      </c>
      <c r="D683" s="56">
        <v>7</v>
      </c>
      <c r="E683" s="56">
        <v>1123</v>
      </c>
      <c r="F683" s="56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684" spans="1:6" x14ac:dyDescent="0.35">
      <c r="A684" s="36" t="str">
        <f>_xlfn.TEXTJOIN(" ",TRUE,Employees_Data[[#This Row],[First Name]],Employees_Data[[#This Row],[Last Name]])</f>
        <v>Husam Alsaed</v>
      </c>
      <c r="B684" s="37">
        <f ca="1">DATEDIF(Employees!$F684,TODAY(),"Y")</f>
        <v>10</v>
      </c>
      <c r="C684" s="63">
        <v>3</v>
      </c>
      <c r="D684" s="54">
        <v>2</v>
      </c>
      <c r="E684" s="54">
        <v>2147</v>
      </c>
      <c r="F684" s="54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685" spans="1:6" x14ac:dyDescent="0.35">
      <c r="A685" s="40" t="str">
        <f>_xlfn.TEXTJOIN(" ",TRUE,Employees_Data[[#This Row],[First Name]],Employees_Data[[#This Row],[Last Name]])</f>
        <v>Asd Bwfaeur</v>
      </c>
      <c r="B685" s="41">
        <f ca="1">DATEDIF(Employees!$F685,TODAY(),"Y")</f>
        <v>9</v>
      </c>
      <c r="C685" s="64">
        <v>4.5</v>
      </c>
      <c r="D685" s="56">
        <v>2</v>
      </c>
      <c r="E685" s="56">
        <v>2929</v>
      </c>
      <c r="F685" s="56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686" spans="1:6" x14ac:dyDescent="0.35">
      <c r="A686" s="36" t="str">
        <f>_xlfn.TEXTJOIN(" ",TRUE,Employees_Data[[#This Row],[First Name]],Employees_Data[[#This Row],[Last Name]])</f>
        <v>Sari Hanna</v>
      </c>
      <c r="B686" s="37">
        <f ca="1">DATEDIF(Employees!$F686,TODAY(),"Y")</f>
        <v>6</v>
      </c>
      <c r="C686" s="63">
        <v>2</v>
      </c>
      <c r="D686" s="54">
        <v>1</v>
      </c>
      <c r="E686" s="54">
        <v>1452</v>
      </c>
      <c r="F686" s="54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687" spans="1:6" x14ac:dyDescent="0.35">
      <c r="A687" s="40" t="str">
        <f>_xlfn.TEXTJOIN(" ",TRUE,Employees_Data[[#This Row],[First Name]],Employees_Data[[#This Row],[Last Name]])</f>
        <v>Eubayda Kayd</v>
      </c>
      <c r="B687" s="41">
        <f ca="1">DATEDIF(Employees!$F687,TODAY(),"Y")</f>
        <v>6</v>
      </c>
      <c r="C687" s="64">
        <v>3</v>
      </c>
      <c r="D687" s="56">
        <v>4</v>
      </c>
      <c r="E687" s="56">
        <v>3237</v>
      </c>
      <c r="F687" s="56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688" spans="1:6" x14ac:dyDescent="0.35">
      <c r="A688" s="36" t="str">
        <f>_xlfn.TEXTJOIN(" ",TRUE,Employees_Data[[#This Row],[First Name]],Employees_Data[[#This Row],[Last Name]])</f>
        <v>Khalil Alkalu</v>
      </c>
      <c r="B688" s="37">
        <f ca="1">DATEDIF(Employees!$F688,TODAY(),"Y")</f>
        <v>9</v>
      </c>
      <c r="C688" s="63">
        <v>5</v>
      </c>
      <c r="D688" s="54">
        <v>0</v>
      </c>
      <c r="E688" s="54">
        <v>2819</v>
      </c>
      <c r="F688" s="54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689" spans="1:6" x14ac:dyDescent="0.35">
      <c r="A689" s="40" t="str">
        <f>_xlfn.TEXTJOIN(" ",TRUE,Employees_Data[[#This Row],[First Name]],Employees_Data[[#This Row],[Last Name]])</f>
        <v>Muhamad Shrbjy</v>
      </c>
      <c r="B689" s="41">
        <f ca="1">DATEDIF(Employees!$F689,TODAY(),"Y")</f>
        <v>8</v>
      </c>
      <c r="C689" s="64">
        <v>3</v>
      </c>
      <c r="D689" s="56">
        <v>10</v>
      </c>
      <c r="E689" s="56">
        <v>2069</v>
      </c>
      <c r="F689" s="56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  <row r="690" spans="1:6" x14ac:dyDescent="0.35">
      <c r="A690" s="44" t="str">
        <f>_xlfn.TEXTJOIN(" ",TRUE,Employees_Data[[#This Row],[First Name]],Employees_Data[[#This Row],[Last Name]])</f>
        <v>Abd Albasit AlAhmar</v>
      </c>
      <c r="B690" s="45">
        <f ca="1">DATEDIF(Employees!$F690,TODAY(),"Y")</f>
        <v>6</v>
      </c>
      <c r="C690" s="66">
        <v>5</v>
      </c>
      <c r="D690" s="58">
        <v>0</v>
      </c>
      <c r="E690" s="58">
        <v>2606</v>
      </c>
      <c r="F690" s="58" t="str">
        <f ca="1">IFERROR(IF(AND(Bonus_Eligibility[[#This Row],[Years]]&gt;=5,Bonus_Eligibility[[#This Row],[Job Rate]]&gt;=3,OR(Bonus_Eligibility[[#This Row],[Overtime Hours]]&gt;50,Bonus_Eligibility[[#This Row],[Monthly Salary]]&gt;7000)),"Eligible","Not Eligible"),"Not Found")</f>
        <v>Not Eligible</v>
      </c>
    </row>
  </sheetData>
  <conditionalFormatting sqref="A2:A690">
    <cfRule type="containsBlanks" dxfId="5" priority="7">
      <formula>LEN(TRIM(A2))=0</formula>
    </cfRule>
  </conditionalFormatting>
  <conditionalFormatting sqref="B2:B690">
    <cfRule type="containsBlanks" dxfId="4" priority="6">
      <formula>LEN(TRIM(B2))=0</formula>
    </cfRule>
  </conditionalFormatting>
  <conditionalFormatting sqref="C2:C690">
    <cfRule type="containsBlanks" dxfId="3" priority="5">
      <formula>LEN(TRIM(C2))=0</formula>
    </cfRule>
  </conditionalFormatting>
  <conditionalFormatting sqref="D2:D690">
    <cfRule type="containsBlanks" dxfId="2" priority="4">
      <formula>LEN(TRIM(D2))=0</formula>
    </cfRule>
  </conditionalFormatting>
  <conditionalFormatting sqref="E2:E690">
    <cfRule type="containsBlanks" dxfId="1" priority="2">
      <formula>LEN(TRIM(E2))=0</formula>
    </cfRule>
  </conditionalFormatting>
  <conditionalFormatting sqref="F2:F690">
    <cfRule type="containsBlanks" dxfId="0" priority="1">
      <formula>LEN(TRIM(F2))=0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Employees</vt:lpstr>
      <vt:lpstr>Lookup Practice</vt:lpstr>
      <vt:lpstr>Significant Overtime</vt:lpstr>
      <vt:lpstr>Classify employees based on Mon</vt:lpstr>
      <vt:lpstr>Experience Level</vt:lpstr>
      <vt:lpstr>Hardworking Employee</vt:lpstr>
      <vt:lpstr>Attendance Warning</vt:lpstr>
      <vt:lpstr>Bonus Eligibility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Al-Munthir Saffan</dc:creator>
  <cp:lastModifiedBy>mahmoud elsayed</cp:lastModifiedBy>
  <dcterms:created xsi:type="dcterms:W3CDTF">2021-01-14T04:56:01Z</dcterms:created>
  <dcterms:modified xsi:type="dcterms:W3CDTF">2026-10-26T21:39:29Z</dcterms:modified>
</cp:coreProperties>
</file>